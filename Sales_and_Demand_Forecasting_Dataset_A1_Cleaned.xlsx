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kyle/Desktop/"/>
    </mc:Choice>
  </mc:AlternateContent>
  <xr:revisionPtr revIDLastSave="0" documentId="13_ncr:1_{8108F7AE-C16F-794F-9782-8BC107A69B08}" xr6:coauthVersionLast="47" xr6:coauthVersionMax="47" xr10:uidLastSave="{00000000-0000-0000-0000-000000000000}"/>
  <bookViews>
    <workbookView xWindow="4440" yWindow="3980" windowWidth="35660" windowHeight="20920" activeTab="2" xr2:uid="{00000000-000D-0000-FFFF-FFFF00000000}"/>
  </bookViews>
  <sheets>
    <sheet name="Profit Margin" sheetId="3" r:id="rId1"/>
    <sheet name="Price Elasticity" sheetId="4" r:id="rId2"/>
    <sheet name="Demand Forecast" sheetId="5" r:id="rId3"/>
    <sheet name="Sales_and_Demand_Forecasting" sheetId="1" r:id="rId4"/>
    <sheet name="DataDictionary" sheetId="2" r:id="rId5"/>
  </sheets>
  <definedNames>
    <definedName name="_xlnm._FilterDatabase" localSheetId="2">'Demand Forecast'!$A$1:$S$109</definedName>
    <definedName name="_xlnm._FilterDatabase" localSheetId="1" hidden="1">'Price Elasticity'!$A$1:$K$217</definedName>
    <definedName name="_xlnm._FilterDatabase" localSheetId="3" hidden="1">Sales_and_Demand_Forecasting!$A$1:$J$217</definedName>
    <definedName name="_ftn1" localSheetId="0">'Profit Margin'!#REF!</definedName>
    <definedName name="_ftnref1" localSheetId="0">'Profit Margin'!$A$5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5" i="5"/>
  <c r="J3" i="5"/>
  <c r="S120" i="5"/>
  <c r="S119" i="5"/>
  <c r="S118" i="5"/>
  <c r="S117" i="5"/>
  <c r="S116" i="5"/>
  <c r="S115" i="5"/>
  <c r="S114" i="5"/>
  <c r="S113" i="5"/>
  <c r="S112" i="5"/>
  <c r="Q120" i="5"/>
  <c r="P120" i="5"/>
  <c r="O120" i="5"/>
  <c r="N120" i="5"/>
  <c r="M120" i="5"/>
  <c r="L120" i="5"/>
  <c r="K120" i="5"/>
  <c r="Q119" i="5"/>
  <c r="P119" i="5"/>
  <c r="O119" i="5"/>
  <c r="N119" i="5"/>
  <c r="M119" i="5"/>
  <c r="L119" i="5"/>
  <c r="K119" i="5"/>
  <c r="Q118" i="5"/>
  <c r="P118" i="5"/>
  <c r="O118" i="5"/>
  <c r="N118" i="5"/>
  <c r="M118" i="5"/>
  <c r="L118" i="5"/>
  <c r="K118" i="5"/>
  <c r="Q117" i="5"/>
  <c r="P117" i="5"/>
  <c r="O117" i="5"/>
  <c r="N117" i="5"/>
  <c r="M117" i="5"/>
  <c r="L117" i="5"/>
  <c r="K117" i="5"/>
  <c r="Q116" i="5"/>
  <c r="P116" i="5"/>
  <c r="O116" i="5"/>
  <c r="N116" i="5"/>
  <c r="M116" i="5"/>
  <c r="L116" i="5"/>
  <c r="K116" i="5"/>
  <c r="Q115" i="5"/>
  <c r="P115" i="5"/>
  <c r="O115" i="5"/>
  <c r="N115" i="5"/>
  <c r="M115" i="5"/>
  <c r="L115" i="5"/>
  <c r="K115" i="5"/>
  <c r="Q114" i="5"/>
  <c r="P114" i="5"/>
  <c r="O114" i="5"/>
  <c r="N114" i="5"/>
  <c r="M114" i="5"/>
  <c r="L114" i="5"/>
  <c r="K114" i="5"/>
  <c r="Q113" i="5"/>
  <c r="P113" i="5"/>
  <c r="O113" i="5"/>
  <c r="N113" i="5"/>
  <c r="M113" i="5"/>
  <c r="L113" i="5"/>
  <c r="K113" i="5"/>
  <c r="Q112" i="5"/>
  <c r="P112" i="5"/>
  <c r="O112" i="5"/>
  <c r="N112" i="5"/>
  <c r="M112" i="5"/>
  <c r="L112" i="5"/>
  <c r="K112" i="5"/>
  <c r="J120" i="5"/>
  <c r="J119" i="5"/>
  <c r="J118" i="5"/>
  <c r="J117" i="5"/>
  <c r="J116" i="5"/>
  <c r="J115" i="5"/>
  <c r="J114" i="5"/>
  <c r="J113" i="5"/>
  <c r="J112" i="5"/>
  <c r="G120" i="5"/>
  <c r="G119" i="5"/>
  <c r="G118" i="5"/>
  <c r="G117" i="5"/>
  <c r="G116" i="5"/>
  <c r="G115" i="5"/>
  <c r="G114" i="5"/>
  <c r="G113" i="5"/>
  <c r="G112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L89" i="5"/>
  <c r="K89" i="5"/>
  <c r="M88" i="5"/>
  <c r="L88" i="5"/>
  <c r="K88" i="5"/>
  <c r="M87" i="5"/>
  <c r="L87" i="5"/>
  <c r="K87" i="5"/>
  <c r="M86" i="5"/>
  <c r="L86" i="5"/>
  <c r="K86" i="5"/>
  <c r="M85" i="5"/>
  <c r="L85" i="5"/>
  <c r="K85" i="5"/>
  <c r="M84" i="5"/>
  <c r="L84" i="5"/>
  <c r="K84" i="5"/>
  <c r="M83" i="5"/>
  <c r="L83" i="5"/>
  <c r="K83" i="5"/>
  <c r="M82" i="5"/>
  <c r="L82" i="5"/>
  <c r="K82" i="5"/>
  <c r="M81" i="5"/>
  <c r="L81" i="5"/>
  <c r="K81" i="5"/>
  <c r="M80" i="5"/>
  <c r="L80" i="5"/>
  <c r="K80" i="5"/>
  <c r="M79" i="5"/>
  <c r="L79" i="5"/>
  <c r="K79" i="5"/>
  <c r="M78" i="5"/>
  <c r="L78" i="5"/>
  <c r="K78" i="5"/>
  <c r="M77" i="5"/>
  <c r="L77" i="5"/>
  <c r="K77" i="5"/>
  <c r="M76" i="5"/>
  <c r="L76" i="5"/>
  <c r="K76" i="5"/>
  <c r="M75" i="5"/>
  <c r="L75" i="5"/>
  <c r="K75" i="5"/>
  <c r="M74" i="5"/>
  <c r="L74" i="5"/>
  <c r="K74" i="5"/>
  <c r="M73" i="5"/>
  <c r="L73" i="5"/>
  <c r="K73" i="5"/>
  <c r="M72" i="5"/>
  <c r="L72" i="5"/>
  <c r="K72" i="5"/>
  <c r="M71" i="5"/>
  <c r="L71" i="5"/>
  <c r="K71" i="5"/>
  <c r="M70" i="5"/>
  <c r="L70" i="5"/>
  <c r="K70" i="5"/>
  <c r="M69" i="5"/>
  <c r="L69" i="5"/>
  <c r="K69" i="5"/>
  <c r="M68" i="5"/>
  <c r="L68" i="5"/>
  <c r="K68" i="5"/>
  <c r="M67" i="5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M60" i="5"/>
  <c r="L60" i="5"/>
  <c r="K60" i="5"/>
  <c r="M59" i="5"/>
  <c r="L59" i="5"/>
  <c r="K59" i="5"/>
  <c r="M58" i="5"/>
  <c r="L58" i="5"/>
  <c r="K58" i="5"/>
  <c r="M57" i="5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L52" i="5"/>
  <c r="K52" i="5"/>
  <c r="M51" i="5"/>
  <c r="L51" i="5"/>
  <c r="K51" i="5"/>
  <c r="M50" i="5"/>
  <c r="L50" i="5"/>
  <c r="K50" i="5"/>
  <c r="M49" i="5"/>
  <c r="L49" i="5"/>
  <c r="K49" i="5"/>
  <c r="M48" i="5"/>
  <c r="L48" i="5"/>
  <c r="K48" i="5"/>
  <c r="M47" i="5"/>
  <c r="L47" i="5"/>
  <c r="K47" i="5"/>
  <c r="M46" i="5"/>
  <c r="L46" i="5"/>
  <c r="K46" i="5"/>
  <c r="M45" i="5"/>
  <c r="L45" i="5"/>
  <c r="K45" i="5"/>
  <c r="M44" i="5"/>
  <c r="L44" i="5"/>
  <c r="K44" i="5"/>
  <c r="M43" i="5"/>
  <c r="L43" i="5"/>
  <c r="K43" i="5"/>
  <c r="M42" i="5"/>
  <c r="L42" i="5"/>
  <c r="K42" i="5"/>
  <c r="M41" i="5"/>
  <c r="L41" i="5"/>
  <c r="K41" i="5"/>
  <c r="M40" i="5"/>
  <c r="L40" i="5"/>
  <c r="K40" i="5"/>
  <c r="M39" i="5"/>
  <c r="L39" i="5"/>
  <c r="K39" i="5"/>
  <c r="M38" i="5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L22" i="5"/>
  <c r="K22" i="5"/>
  <c r="M21" i="5"/>
  <c r="L21" i="5"/>
  <c r="K21" i="5"/>
  <c r="M20" i="5"/>
  <c r="L20" i="5"/>
  <c r="K20" i="5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K2" i="5"/>
  <c r="L2" i="5"/>
  <c r="I2" i="5"/>
  <c r="T3" i="5"/>
  <c r="T113" i="5" s="1"/>
  <c r="T4" i="5"/>
  <c r="T120" i="5" s="1"/>
  <c r="D120" i="5" s="1"/>
  <c r="E120" i="5" s="1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2" i="5"/>
  <c r="T118" i="5" s="1"/>
  <c r="Q109" i="5"/>
  <c r="P109" i="5"/>
  <c r="O109" i="5"/>
  <c r="N109" i="5"/>
  <c r="Q108" i="5"/>
  <c r="P108" i="5"/>
  <c r="O108" i="5"/>
  <c r="N108" i="5"/>
  <c r="Q107" i="5"/>
  <c r="P107" i="5"/>
  <c r="O107" i="5"/>
  <c r="N107" i="5"/>
  <c r="Q106" i="5"/>
  <c r="P106" i="5"/>
  <c r="O106" i="5"/>
  <c r="N106" i="5"/>
  <c r="Q105" i="5"/>
  <c r="P105" i="5"/>
  <c r="O105" i="5"/>
  <c r="N105" i="5"/>
  <c r="Q104" i="5"/>
  <c r="P104" i="5"/>
  <c r="O104" i="5"/>
  <c r="N104" i="5"/>
  <c r="Q103" i="5"/>
  <c r="P103" i="5"/>
  <c r="O103" i="5"/>
  <c r="N103" i="5"/>
  <c r="Q102" i="5"/>
  <c r="P102" i="5"/>
  <c r="O102" i="5"/>
  <c r="N102" i="5"/>
  <c r="Q101" i="5"/>
  <c r="P101" i="5"/>
  <c r="O101" i="5"/>
  <c r="N101" i="5"/>
  <c r="Q100" i="5"/>
  <c r="P100" i="5"/>
  <c r="O100" i="5"/>
  <c r="N100" i="5"/>
  <c r="Q99" i="5"/>
  <c r="P99" i="5"/>
  <c r="O99" i="5"/>
  <c r="N99" i="5"/>
  <c r="Q98" i="5"/>
  <c r="P98" i="5"/>
  <c r="O98" i="5"/>
  <c r="N98" i="5"/>
  <c r="Q97" i="5"/>
  <c r="P97" i="5"/>
  <c r="O97" i="5"/>
  <c r="N97" i="5"/>
  <c r="Q96" i="5"/>
  <c r="P96" i="5"/>
  <c r="O96" i="5"/>
  <c r="N96" i="5"/>
  <c r="Q95" i="5"/>
  <c r="P95" i="5"/>
  <c r="O95" i="5"/>
  <c r="N95" i="5"/>
  <c r="Q94" i="5"/>
  <c r="P94" i="5"/>
  <c r="O94" i="5"/>
  <c r="N94" i="5"/>
  <c r="Q93" i="5"/>
  <c r="P93" i="5"/>
  <c r="O93" i="5"/>
  <c r="N93" i="5"/>
  <c r="Q92" i="5"/>
  <c r="P92" i="5"/>
  <c r="O92" i="5"/>
  <c r="N92" i="5"/>
  <c r="Q91" i="5"/>
  <c r="P91" i="5"/>
  <c r="O91" i="5"/>
  <c r="N91" i="5"/>
  <c r="Q90" i="5"/>
  <c r="P90" i="5"/>
  <c r="O90" i="5"/>
  <c r="N90" i="5"/>
  <c r="Q89" i="5"/>
  <c r="P89" i="5"/>
  <c r="O89" i="5"/>
  <c r="N89" i="5"/>
  <c r="Q88" i="5"/>
  <c r="P88" i="5"/>
  <c r="O88" i="5"/>
  <c r="N88" i="5"/>
  <c r="Q87" i="5"/>
  <c r="P87" i="5"/>
  <c r="O87" i="5"/>
  <c r="N87" i="5"/>
  <c r="Q86" i="5"/>
  <c r="P86" i="5"/>
  <c r="O86" i="5"/>
  <c r="N86" i="5"/>
  <c r="Q85" i="5"/>
  <c r="P85" i="5"/>
  <c r="O85" i="5"/>
  <c r="N85" i="5"/>
  <c r="Q84" i="5"/>
  <c r="P84" i="5"/>
  <c r="O84" i="5"/>
  <c r="N84" i="5"/>
  <c r="Q83" i="5"/>
  <c r="P83" i="5"/>
  <c r="O83" i="5"/>
  <c r="N83" i="5"/>
  <c r="Q82" i="5"/>
  <c r="P82" i="5"/>
  <c r="O82" i="5"/>
  <c r="N82" i="5"/>
  <c r="Q81" i="5"/>
  <c r="P81" i="5"/>
  <c r="O81" i="5"/>
  <c r="N81" i="5"/>
  <c r="Q80" i="5"/>
  <c r="P80" i="5"/>
  <c r="O80" i="5"/>
  <c r="N80" i="5"/>
  <c r="Q79" i="5"/>
  <c r="P79" i="5"/>
  <c r="O79" i="5"/>
  <c r="N79" i="5"/>
  <c r="Q78" i="5"/>
  <c r="P78" i="5"/>
  <c r="O78" i="5"/>
  <c r="N78" i="5"/>
  <c r="Q77" i="5"/>
  <c r="P77" i="5"/>
  <c r="O77" i="5"/>
  <c r="N77" i="5"/>
  <c r="Q76" i="5"/>
  <c r="P76" i="5"/>
  <c r="O76" i="5"/>
  <c r="N76" i="5"/>
  <c r="Q75" i="5"/>
  <c r="P75" i="5"/>
  <c r="O75" i="5"/>
  <c r="N75" i="5"/>
  <c r="Q74" i="5"/>
  <c r="P74" i="5"/>
  <c r="O74" i="5"/>
  <c r="N74" i="5"/>
  <c r="Q73" i="5"/>
  <c r="P73" i="5"/>
  <c r="O73" i="5"/>
  <c r="N73" i="5"/>
  <c r="Q72" i="5"/>
  <c r="P72" i="5"/>
  <c r="O72" i="5"/>
  <c r="N72" i="5"/>
  <c r="Q71" i="5"/>
  <c r="P71" i="5"/>
  <c r="O71" i="5"/>
  <c r="N71" i="5"/>
  <c r="Q70" i="5"/>
  <c r="P70" i="5"/>
  <c r="O70" i="5"/>
  <c r="N70" i="5"/>
  <c r="Q69" i="5"/>
  <c r="P69" i="5"/>
  <c r="O69" i="5"/>
  <c r="N69" i="5"/>
  <c r="Q68" i="5"/>
  <c r="P68" i="5"/>
  <c r="O68" i="5"/>
  <c r="N68" i="5"/>
  <c r="Q67" i="5"/>
  <c r="P67" i="5"/>
  <c r="O67" i="5"/>
  <c r="N67" i="5"/>
  <c r="Q66" i="5"/>
  <c r="P66" i="5"/>
  <c r="O66" i="5"/>
  <c r="N66" i="5"/>
  <c r="Q65" i="5"/>
  <c r="P65" i="5"/>
  <c r="O65" i="5"/>
  <c r="N65" i="5"/>
  <c r="Q64" i="5"/>
  <c r="P64" i="5"/>
  <c r="O64" i="5"/>
  <c r="N64" i="5"/>
  <c r="Q63" i="5"/>
  <c r="P63" i="5"/>
  <c r="O63" i="5"/>
  <c r="N63" i="5"/>
  <c r="Q62" i="5"/>
  <c r="P62" i="5"/>
  <c r="O62" i="5"/>
  <c r="N62" i="5"/>
  <c r="Q61" i="5"/>
  <c r="P61" i="5"/>
  <c r="O61" i="5"/>
  <c r="N61" i="5"/>
  <c r="Q60" i="5"/>
  <c r="P60" i="5"/>
  <c r="O60" i="5"/>
  <c r="N60" i="5"/>
  <c r="Q59" i="5"/>
  <c r="P59" i="5"/>
  <c r="O59" i="5"/>
  <c r="N59" i="5"/>
  <c r="Q58" i="5"/>
  <c r="P58" i="5"/>
  <c r="O58" i="5"/>
  <c r="N58" i="5"/>
  <c r="Q57" i="5"/>
  <c r="P57" i="5"/>
  <c r="O57" i="5"/>
  <c r="N57" i="5"/>
  <c r="Q56" i="5"/>
  <c r="P56" i="5"/>
  <c r="O56" i="5"/>
  <c r="N56" i="5"/>
  <c r="Q55" i="5"/>
  <c r="P55" i="5"/>
  <c r="O55" i="5"/>
  <c r="N55" i="5"/>
  <c r="Q54" i="5"/>
  <c r="P54" i="5"/>
  <c r="O54" i="5"/>
  <c r="N54" i="5"/>
  <c r="Q53" i="5"/>
  <c r="P53" i="5"/>
  <c r="O53" i="5"/>
  <c r="N53" i="5"/>
  <c r="Q52" i="5"/>
  <c r="P52" i="5"/>
  <c r="O52" i="5"/>
  <c r="N52" i="5"/>
  <c r="Q51" i="5"/>
  <c r="P51" i="5"/>
  <c r="O51" i="5"/>
  <c r="N51" i="5"/>
  <c r="Q50" i="5"/>
  <c r="P50" i="5"/>
  <c r="O50" i="5"/>
  <c r="N50" i="5"/>
  <c r="Q49" i="5"/>
  <c r="P49" i="5"/>
  <c r="O49" i="5"/>
  <c r="N49" i="5"/>
  <c r="Q48" i="5"/>
  <c r="P48" i="5"/>
  <c r="O48" i="5"/>
  <c r="N48" i="5"/>
  <c r="Q47" i="5"/>
  <c r="P47" i="5"/>
  <c r="O47" i="5"/>
  <c r="N47" i="5"/>
  <c r="Q46" i="5"/>
  <c r="P46" i="5"/>
  <c r="O46" i="5"/>
  <c r="N46" i="5"/>
  <c r="Q45" i="5"/>
  <c r="P45" i="5"/>
  <c r="O45" i="5"/>
  <c r="N45" i="5"/>
  <c r="Q44" i="5"/>
  <c r="P44" i="5"/>
  <c r="O44" i="5"/>
  <c r="N44" i="5"/>
  <c r="Q43" i="5"/>
  <c r="P43" i="5"/>
  <c r="O43" i="5"/>
  <c r="N43" i="5"/>
  <c r="Q42" i="5"/>
  <c r="P42" i="5"/>
  <c r="O42" i="5"/>
  <c r="N42" i="5"/>
  <c r="Q41" i="5"/>
  <c r="P41" i="5"/>
  <c r="O41" i="5"/>
  <c r="N41" i="5"/>
  <c r="Q40" i="5"/>
  <c r="P40" i="5"/>
  <c r="O40" i="5"/>
  <c r="N40" i="5"/>
  <c r="Q39" i="5"/>
  <c r="P39" i="5"/>
  <c r="O39" i="5"/>
  <c r="N39" i="5"/>
  <c r="Q38" i="5"/>
  <c r="P38" i="5"/>
  <c r="O38" i="5"/>
  <c r="N38" i="5"/>
  <c r="Q37" i="5"/>
  <c r="P37" i="5"/>
  <c r="O37" i="5"/>
  <c r="N37" i="5"/>
  <c r="Q36" i="5"/>
  <c r="P36" i="5"/>
  <c r="O36" i="5"/>
  <c r="N36" i="5"/>
  <c r="Q35" i="5"/>
  <c r="P35" i="5"/>
  <c r="O35" i="5"/>
  <c r="N35" i="5"/>
  <c r="Q34" i="5"/>
  <c r="P34" i="5"/>
  <c r="O34" i="5"/>
  <c r="N34" i="5"/>
  <c r="Q33" i="5"/>
  <c r="P33" i="5"/>
  <c r="O33" i="5"/>
  <c r="N33" i="5"/>
  <c r="Q32" i="5"/>
  <c r="P32" i="5"/>
  <c r="O32" i="5"/>
  <c r="N32" i="5"/>
  <c r="Q31" i="5"/>
  <c r="P31" i="5"/>
  <c r="O31" i="5"/>
  <c r="N31" i="5"/>
  <c r="Q30" i="5"/>
  <c r="P30" i="5"/>
  <c r="O30" i="5"/>
  <c r="N30" i="5"/>
  <c r="Q29" i="5"/>
  <c r="P29" i="5"/>
  <c r="O29" i="5"/>
  <c r="N29" i="5"/>
  <c r="Q28" i="5"/>
  <c r="P28" i="5"/>
  <c r="O28" i="5"/>
  <c r="N28" i="5"/>
  <c r="Q27" i="5"/>
  <c r="P27" i="5"/>
  <c r="O27" i="5"/>
  <c r="N27" i="5"/>
  <c r="Q26" i="5"/>
  <c r="P26" i="5"/>
  <c r="O26" i="5"/>
  <c r="N26" i="5"/>
  <c r="Q25" i="5"/>
  <c r="P25" i="5"/>
  <c r="O25" i="5"/>
  <c r="N25" i="5"/>
  <c r="Q24" i="5"/>
  <c r="P24" i="5"/>
  <c r="O24" i="5"/>
  <c r="N24" i="5"/>
  <c r="Q23" i="5"/>
  <c r="P23" i="5"/>
  <c r="O23" i="5"/>
  <c r="N23" i="5"/>
  <c r="Q22" i="5"/>
  <c r="P22" i="5"/>
  <c r="O22" i="5"/>
  <c r="N22" i="5"/>
  <c r="Q21" i="5"/>
  <c r="P21" i="5"/>
  <c r="O21" i="5"/>
  <c r="N21" i="5"/>
  <c r="Q20" i="5"/>
  <c r="P20" i="5"/>
  <c r="O20" i="5"/>
  <c r="N20" i="5"/>
  <c r="Q19" i="5"/>
  <c r="P19" i="5"/>
  <c r="O19" i="5"/>
  <c r="N19" i="5"/>
  <c r="Q18" i="5"/>
  <c r="P18" i="5"/>
  <c r="O18" i="5"/>
  <c r="N18" i="5"/>
  <c r="Q17" i="5"/>
  <c r="P17" i="5"/>
  <c r="O17" i="5"/>
  <c r="N17" i="5"/>
  <c r="Q16" i="5"/>
  <c r="P16" i="5"/>
  <c r="O16" i="5"/>
  <c r="N16" i="5"/>
  <c r="Q15" i="5"/>
  <c r="P15" i="5"/>
  <c r="O15" i="5"/>
  <c r="N15" i="5"/>
  <c r="Q14" i="5"/>
  <c r="P14" i="5"/>
  <c r="O14" i="5"/>
  <c r="N14" i="5"/>
  <c r="Q13" i="5"/>
  <c r="P13" i="5"/>
  <c r="O13" i="5"/>
  <c r="N13" i="5"/>
  <c r="Q12" i="5"/>
  <c r="P12" i="5"/>
  <c r="O12" i="5"/>
  <c r="N12" i="5"/>
  <c r="Q11" i="5"/>
  <c r="P11" i="5"/>
  <c r="O11" i="5"/>
  <c r="N11" i="5"/>
  <c r="Q10" i="5"/>
  <c r="P10" i="5"/>
  <c r="O10" i="5"/>
  <c r="N10" i="5"/>
  <c r="Q9" i="5"/>
  <c r="P9" i="5"/>
  <c r="O9" i="5"/>
  <c r="N9" i="5"/>
  <c r="Q8" i="5"/>
  <c r="P8" i="5"/>
  <c r="O8" i="5"/>
  <c r="N8" i="5"/>
  <c r="Q7" i="5"/>
  <c r="P7" i="5"/>
  <c r="O7" i="5"/>
  <c r="N7" i="5"/>
  <c r="Q6" i="5"/>
  <c r="P6" i="5"/>
  <c r="O6" i="5"/>
  <c r="N6" i="5"/>
  <c r="Q5" i="5"/>
  <c r="P5" i="5"/>
  <c r="O5" i="5"/>
  <c r="N5" i="5"/>
  <c r="Q4" i="5"/>
  <c r="P4" i="5"/>
  <c r="O4" i="5"/>
  <c r="N4" i="5"/>
  <c r="Q3" i="5"/>
  <c r="P3" i="5"/>
  <c r="O3" i="5"/>
  <c r="N3" i="5"/>
  <c r="Q2" i="5"/>
  <c r="P2" i="5"/>
  <c r="O2" i="5"/>
  <c r="N2" i="5"/>
  <c r="J109" i="5"/>
  <c r="V109" i="5" s="1"/>
  <c r="J108" i="5"/>
  <c r="V108" i="5" s="1"/>
  <c r="J107" i="5"/>
  <c r="V107" i="5" s="1"/>
  <c r="J106" i="5"/>
  <c r="V106" i="5" s="1"/>
  <c r="J105" i="5"/>
  <c r="V105" i="5" s="1"/>
  <c r="J104" i="5"/>
  <c r="V104" i="5" s="1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G2" i="5"/>
  <c r="J4" i="5"/>
  <c r="J6" i="5"/>
  <c r="J7" i="5"/>
  <c r="J8" i="5"/>
  <c r="J9" i="5"/>
  <c r="J10" i="5"/>
  <c r="J11" i="5"/>
  <c r="J12" i="5"/>
  <c r="J13" i="5"/>
  <c r="G217" i="4"/>
  <c r="H217" i="4" s="1"/>
  <c r="G216" i="4"/>
  <c r="H216" i="4" s="1"/>
  <c r="G215" i="4"/>
  <c r="H215" i="4" s="1"/>
  <c r="G214" i="4"/>
  <c r="H214" i="4" s="1"/>
  <c r="G213" i="4"/>
  <c r="H213" i="4" s="1"/>
  <c r="G212" i="4"/>
  <c r="H212" i="4" s="1"/>
  <c r="G211" i="4"/>
  <c r="H211" i="4" s="1"/>
  <c r="G210" i="4"/>
  <c r="H210" i="4" s="1"/>
  <c r="G209" i="4"/>
  <c r="H209" i="4" s="1"/>
  <c r="G208" i="4"/>
  <c r="H208" i="4" s="1"/>
  <c r="G207" i="4"/>
  <c r="H207" i="4" s="1"/>
  <c r="G206" i="4"/>
  <c r="H206" i="4" s="1"/>
  <c r="G205" i="4"/>
  <c r="H205" i="4" s="1"/>
  <c r="G204" i="4"/>
  <c r="H204" i="4" s="1"/>
  <c r="G203" i="4"/>
  <c r="H203" i="4" s="1"/>
  <c r="G202" i="4"/>
  <c r="H202" i="4" s="1"/>
  <c r="G201" i="4"/>
  <c r="H201" i="4" s="1"/>
  <c r="G200" i="4"/>
  <c r="H200" i="4" s="1"/>
  <c r="G199" i="4"/>
  <c r="H199" i="4" s="1"/>
  <c r="G198" i="4"/>
  <c r="H198" i="4" s="1"/>
  <c r="G197" i="4"/>
  <c r="H197" i="4" s="1"/>
  <c r="G196" i="4"/>
  <c r="H196" i="4" s="1"/>
  <c r="G195" i="4"/>
  <c r="H195" i="4" s="1"/>
  <c r="G194" i="4"/>
  <c r="H194" i="4" s="1"/>
  <c r="G193" i="4"/>
  <c r="H193" i="4" s="1"/>
  <c r="G192" i="4"/>
  <c r="H192" i="4" s="1"/>
  <c r="G191" i="4"/>
  <c r="H191" i="4" s="1"/>
  <c r="G190" i="4"/>
  <c r="H190" i="4" s="1"/>
  <c r="G189" i="4"/>
  <c r="H189" i="4" s="1"/>
  <c r="G188" i="4"/>
  <c r="H188" i="4" s="1"/>
  <c r="G187" i="4"/>
  <c r="H187" i="4" s="1"/>
  <c r="G186" i="4"/>
  <c r="H186" i="4" s="1"/>
  <c r="G185" i="4"/>
  <c r="H185" i="4" s="1"/>
  <c r="G184" i="4"/>
  <c r="H184" i="4" s="1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H177" i="4" s="1"/>
  <c r="G176" i="4"/>
  <c r="H176" i="4" s="1"/>
  <c r="G175" i="4"/>
  <c r="H175" i="4" s="1"/>
  <c r="G174" i="4"/>
  <c r="H174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C4" i="3"/>
  <c r="D4" i="3"/>
  <c r="D5" i="3" s="1"/>
  <c r="E4" i="3"/>
  <c r="E5" i="3" s="1"/>
  <c r="F4" i="3"/>
  <c r="F5" i="3" s="1"/>
  <c r="G4" i="3"/>
  <c r="G5" i="3" s="1"/>
  <c r="C5" i="3"/>
  <c r="B5" i="3"/>
  <c r="B4" i="3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X104" i="5" l="1"/>
  <c r="W104" i="5"/>
  <c r="D112" i="5"/>
  <c r="E112" i="5" s="1"/>
  <c r="D113" i="5"/>
  <c r="E113" i="5" s="1"/>
  <c r="D115" i="5"/>
  <c r="E115" i="5" s="1"/>
  <c r="T116" i="5"/>
  <c r="D116" i="5" s="1"/>
  <c r="E116" i="5" s="1"/>
  <c r="T119" i="5"/>
  <c r="D119" i="5" s="1"/>
  <c r="E119" i="5" s="1"/>
  <c r="T114" i="5"/>
  <c r="D114" i="5" s="1"/>
  <c r="E114" i="5" s="1"/>
  <c r="D118" i="5"/>
  <c r="E118" i="5" s="1"/>
  <c r="T117" i="5"/>
  <c r="T112" i="5"/>
  <c r="T115" i="5"/>
  <c r="D117" i="5"/>
  <c r="E117" i="5" s="1"/>
  <c r="X109" i="5"/>
  <c r="X107" i="5"/>
  <c r="W107" i="5"/>
  <c r="W109" i="5"/>
  <c r="N5" i="4"/>
  <c r="N3" i="4"/>
  <c r="N4" i="4"/>
  <c r="N6" i="4"/>
  <c r="N2" i="4"/>
  <c r="W106" i="5" l="1"/>
  <c r="X106" i="5"/>
  <c r="X108" i="5"/>
  <c r="W108" i="5"/>
  <c r="W105" i="5"/>
  <c r="X105" i="5"/>
</calcChain>
</file>

<file path=xl/sharedStrings.xml><?xml version="1.0" encoding="utf-8"?>
<sst xmlns="http://schemas.openxmlformats.org/spreadsheetml/2006/main" count="1788" uniqueCount="97">
  <si>
    <t>ProductID</t>
  </si>
  <si>
    <t>ProductName</t>
  </si>
  <si>
    <t>Category</t>
  </si>
  <si>
    <t>MonthYear</t>
  </si>
  <si>
    <t>SalesVolume</t>
  </si>
  <si>
    <t>Revenue</t>
  </si>
  <si>
    <t>MarketingActivities</t>
  </si>
  <si>
    <t>EconomicIndicator</t>
  </si>
  <si>
    <t>Season</t>
  </si>
  <si>
    <t>Smartphone</t>
  </si>
  <si>
    <t>Electronics</t>
  </si>
  <si>
    <t>Summer</t>
  </si>
  <si>
    <t>Laptop</t>
  </si>
  <si>
    <t>Computing</t>
  </si>
  <si>
    <t>Tablet</t>
  </si>
  <si>
    <t>Mobile</t>
  </si>
  <si>
    <t>Smartwatch</t>
  </si>
  <si>
    <t>Wearables</t>
  </si>
  <si>
    <t>Headphones</t>
  </si>
  <si>
    <t>Audio</t>
  </si>
  <si>
    <t>Camera</t>
  </si>
  <si>
    <t>Photography</t>
  </si>
  <si>
    <t>Autumn</t>
  </si>
  <si>
    <t>Winter</t>
  </si>
  <si>
    <t>Spring</t>
  </si>
  <si>
    <t>Column</t>
  </si>
  <si>
    <t>Description</t>
  </si>
  <si>
    <r>
      <t xml:space="preserve">A </t>
    </r>
    <r>
      <rPr>
        <b/>
        <sz val="11"/>
        <color theme="1"/>
        <rFont val="Aptos Narrow"/>
        <scheme val="minor"/>
      </rPr>
      <t>unique numerical identifier</t>
    </r>
    <r>
      <rPr>
        <sz val="11"/>
        <color theme="1"/>
        <rFont val="Aptos Narrow"/>
        <family val="2"/>
        <scheme val="minor"/>
      </rPr>
      <t xml:space="preserve"> for each product, used to track sales data and analyze performance across different products.</t>
    </r>
  </si>
  <si>
    <r>
      <t xml:space="preserve">The </t>
    </r>
    <r>
      <rPr>
        <b/>
        <sz val="11"/>
        <color theme="1"/>
        <rFont val="Aptos Narrow"/>
        <scheme val="minor"/>
      </rPr>
      <t>name of the product</t>
    </r>
    <r>
      <rPr>
        <sz val="11"/>
        <color theme="1"/>
        <rFont val="Aptos Narrow"/>
        <family val="2"/>
        <scheme val="minor"/>
      </rPr>
      <t>, aiding in identifying products without referring to their ID, facilitating easier analysis and reporting.</t>
    </r>
  </si>
  <si>
    <r>
      <t xml:space="preserve">The </t>
    </r>
    <r>
      <rPr>
        <b/>
        <sz val="11"/>
        <color theme="1"/>
        <rFont val="Aptos Narrow"/>
        <scheme val="minor"/>
      </rPr>
      <t>category of the product</t>
    </r>
    <r>
      <rPr>
        <sz val="11"/>
        <color theme="1"/>
        <rFont val="Aptos Narrow"/>
        <family val="2"/>
        <scheme val="minor"/>
      </rPr>
      <t xml:space="preserve"> (e.g., Electronics, Computing, Mobile), providing context </t>
    </r>
    <r>
      <rPr>
        <b/>
        <sz val="11"/>
        <color theme="1"/>
        <rFont val="Aptos Narrow"/>
        <scheme val="minor"/>
      </rPr>
      <t>for comparative analysis and market segmentation</t>
    </r>
    <r>
      <rPr>
        <sz val="11"/>
        <color theme="1"/>
        <rFont val="Aptos Narrow"/>
        <family val="2"/>
        <scheme val="minor"/>
      </rPr>
      <t>.</t>
    </r>
  </si>
  <si>
    <r>
      <t>The</t>
    </r>
    <r>
      <rPr>
        <b/>
        <sz val="11"/>
        <color theme="1"/>
        <rFont val="Aptos Narrow"/>
        <scheme val="minor"/>
      </rPr>
      <t xml:space="preserve"> month and year for the sales record</t>
    </r>
    <r>
      <rPr>
        <sz val="11"/>
        <color theme="1"/>
        <rFont val="Aptos Narrow"/>
        <family val="2"/>
        <scheme val="minor"/>
      </rPr>
      <t>, formatted as "</t>
    </r>
    <r>
      <rPr>
        <b/>
        <sz val="11"/>
        <color theme="1"/>
        <rFont val="Aptos Narrow"/>
        <scheme val="minor"/>
      </rPr>
      <t>Mon-YYYY</t>
    </r>
    <r>
      <rPr>
        <sz val="11"/>
        <color theme="1"/>
        <rFont val="Aptos Narrow"/>
        <family val="2"/>
        <scheme val="minor"/>
      </rPr>
      <t>", indicating the specific time period for which the sales data applies.</t>
    </r>
  </si>
  <si>
    <r>
      <t xml:space="preserve">The </t>
    </r>
    <r>
      <rPr>
        <b/>
        <sz val="11"/>
        <color theme="1"/>
        <rFont val="Aptos Narrow"/>
        <scheme val="minor"/>
      </rPr>
      <t>number of units sold</t>
    </r>
    <r>
      <rPr>
        <sz val="11"/>
        <color theme="1"/>
        <rFont val="Aptos Narrow"/>
        <family val="2"/>
        <scheme val="minor"/>
      </rPr>
      <t xml:space="preserve"> for the product in the specified month, reflecting the </t>
    </r>
    <r>
      <rPr>
        <b/>
        <sz val="11"/>
        <color theme="1"/>
        <rFont val="Aptos Narrow"/>
        <scheme val="minor"/>
      </rPr>
      <t>product's demand and sales performance</t>
    </r>
    <r>
      <rPr>
        <sz val="11"/>
        <color theme="1"/>
        <rFont val="Aptos Narrow"/>
        <family val="2"/>
        <scheme val="minor"/>
      </rPr>
      <t xml:space="preserve"> during that period.</t>
    </r>
  </si>
  <si>
    <r>
      <rPr>
        <b/>
        <sz val="11"/>
        <color theme="1"/>
        <rFont val="Aptos Narrow"/>
        <scheme val="minor"/>
      </rPr>
      <t>Total revenue</t>
    </r>
    <r>
      <rPr>
        <sz val="11"/>
        <color theme="1"/>
        <rFont val="Aptos Narrow"/>
        <family val="2"/>
        <scheme val="minor"/>
      </rPr>
      <t xml:space="preserve"> generated from the product in the specified month, essential </t>
    </r>
    <r>
      <rPr>
        <b/>
        <sz val="11"/>
        <color theme="1"/>
        <rFont val="Aptos Narrow"/>
        <scheme val="minor"/>
      </rPr>
      <t>for assessing financial performance and the product's contribution to overall sales</t>
    </r>
    <r>
      <rPr>
        <sz val="11"/>
        <color theme="1"/>
        <rFont val="Aptos Narrow"/>
        <family val="2"/>
        <scheme val="minor"/>
      </rPr>
      <t>.</t>
    </r>
  </si>
  <si>
    <r>
      <t>An indicator of marketing campaigns active during the month (</t>
    </r>
    <r>
      <rPr>
        <b/>
        <sz val="11"/>
        <color theme="1"/>
        <rFont val="Aptos Narrow"/>
        <scheme val="minor"/>
      </rPr>
      <t>0 for no activity, 1 for activity</t>
    </r>
    <r>
      <rPr>
        <sz val="11"/>
        <color theme="1"/>
        <rFont val="Aptos Narrow"/>
        <family val="2"/>
        <scheme val="minor"/>
      </rPr>
      <t xml:space="preserve">), used </t>
    </r>
    <r>
      <rPr>
        <b/>
        <sz val="11"/>
        <color theme="1"/>
        <rFont val="Aptos Narrow"/>
        <scheme val="minor"/>
      </rPr>
      <t>to analyze the impact of marketing on sales volume</t>
    </r>
    <r>
      <rPr>
        <sz val="11"/>
        <color theme="1"/>
        <rFont val="Aptos Narrow"/>
        <family val="2"/>
        <scheme val="minor"/>
      </rPr>
      <t>.</t>
    </r>
  </si>
  <si>
    <r>
      <t xml:space="preserve">A value of an </t>
    </r>
    <r>
      <rPr>
        <b/>
        <sz val="11"/>
        <color theme="1"/>
        <rFont val="Aptos Narrow"/>
        <scheme val="minor"/>
      </rPr>
      <t>economic indicator that might affect sales (e.g., consumer confidence index)</t>
    </r>
    <r>
      <rPr>
        <sz val="11"/>
        <color theme="1"/>
        <rFont val="Aptos Narrow"/>
        <family val="2"/>
        <scheme val="minor"/>
      </rPr>
      <t xml:space="preserve">, included to </t>
    </r>
    <r>
      <rPr>
        <b/>
        <sz val="11"/>
        <color theme="1"/>
        <rFont val="Aptos Narrow"/>
        <scheme val="minor"/>
      </rPr>
      <t>explore external impacts on product demand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</si>
  <si>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scheme val="minor"/>
      </rPr>
      <t>season during which the sales occurred</t>
    </r>
    <r>
      <rPr>
        <sz val="11"/>
        <color theme="1"/>
        <rFont val="Aptos Narrow"/>
        <family val="2"/>
        <scheme val="minor"/>
      </rPr>
      <t xml:space="preserve">, </t>
    </r>
    <r>
      <rPr>
        <u/>
        <sz val="11"/>
        <color theme="1"/>
        <rFont val="Aptos Narrow (Body)"/>
      </rPr>
      <t>adjusted for the Australian context</t>
    </r>
    <r>
      <rPr>
        <sz val="11"/>
        <color theme="1"/>
        <rFont val="Aptos Narrow"/>
        <family val="2"/>
        <scheme val="minor"/>
      </rPr>
      <t xml:space="preserve">, to </t>
    </r>
    <r>
      <rPr>
        <b/>
        <sz val="11"/>
        <color theme="1"/>
        <rFont val="Aptos Narrow"/>
        <scheme val="minor"/>
      </rPr>
      <t>investigate seasonal effects on product sales</t>
    </r>
    <r>
      <rPr>
        <sz val="11"/>
        <color theme="1"/>
        <rFont val="Aptos Narrow"/>
        <family val="2"/>
        <scheme val="minor"/>
      </rPr>
      <t>.</t>
    </r>
  </si>
  <si>
    <t>UnitPrice</t>
  </si>
  <si>
    <t>Unit Price</t>
  </si>
  <si>
    <t>Unit Cost</t>
  </si>
  <si>
    <t>Profit</t>
  </si>
  <si>
    <t>Profit Margin</t>
  </si>
  <si>
    <t>Max price</t>
  </si>
  <si>
    <t>Min price</t>
  </si>
  <si>
    <t>Price Range</t>
  </si>
  <si>
    <t>Median</t>
  </si>
  <si>
    <t>1st Quartile</t>
  </si>
  <si>
    <t>3rd Quartile</t>
  </si>
  <si>
    <t>&gt; 137</t>
  </si>
  <si>
    <t>&gt;91 &amp; &lt;=137</t>
  </si>
  <si>
    <t>&gt;64 &amp; &lt;=91</t>
  </si>
  <si>
    <t>&lt;=64</t>
  </si>
  <si>
    <t>Lowest range</t>
  </si>
  <si>
    <t>Lower range</t>
  </si>
  <si>
    <t>Higher range</t>
  </si>
  <si>
    <t>Highest range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</si>
  <si>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</si>
  <si>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</si>
  <si>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</si>
  <si>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</si>
  <si>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</si>
  <si>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</si>
  <si>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</si>
  <si>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</si>
  <si>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</si>
  <si>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</si>
  <si>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</si>
  <si>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</si>
  <si>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</si>
  <si>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</si>
  <si>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</si>
  <si>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</si>
  <si>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</si>
  <si>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</si>
  <si>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SeasonNum</t>
  </si>
  <si>
    <t>MonthNum</t>
  </si>
  <si>
    <t>MonthText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</si>
  <si>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</si>
  <si>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</si>
  <si>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</si>
  <si>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</si>
  <si>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</si>
  <si>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</si>
  <si>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</si>
  <si>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</si>
  <si>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</si>
  <si>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</si>
  <si>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</si>
  <si>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</si>
  <si>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</si>
  <si>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</si>
  <si>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</si>
  <si>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</si>
  <si>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</si>
  <si>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Forecast</t>
  </si>
  <si>
    <t>Discrepancy</t>
  </si>
  <si>
    <t>Discrepancy%</t>
  </si>
  <si>
    <t>Mockup Data for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</si>
</sst>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"/>
      <name val="Aptos Narrow (Body)"/>
    </font>
    <font>
      <b/>
      <sz val="11"/>
      <color rgb="FF0070C0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16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164" fontId="21" fillId="33" borderId="0" xfId="0" applyNumberFormat="1" applyFont="1" applyFill="1" applyAlignment="1">
      <alignment horizontal="center"/>
    </xf>
    <xf numFmtId="164" fontId="0" fillId="33" borderId="0" xfId="0" applyNumberFormat="1" applyFill="1"/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horizontal="center" vertical="center" wrapText="1"/>
    </xf>
    <xf numFmtId="9" fontId="22" fillId="0" borderId="13" xfId="42" applyFont="1" applyBorder="1" applyAlignment="1">
      <alignment horizontal="center" vertical="center" wrapText="1"/>
    </xf>
    <xf numFmtId="164" fontId="18" fillId="33" borderId="0" xfId="0" applyNumberFormat="1" applyFont="1" applyFill="1" applyAlignment="1">
      <alignment horizontal="center"/>
    </xf>
    <xf numFmtId="0" fontId="26" fillId="0" borderId="0" xfId="0" applyFont="1"/>
    <xf numFmtId="0" fontId="27" fillId="0" borderId="16" xfId="0" applyFont="1" applyBorder="1" applyAlignment="1">
      <alignment horizontal="center"/>
    </xf>
    <xf numFmtId="0" fontId="26" fillId="0" borderId="15" xfId="0" applyFont="1" applyBorder="1"/>
    <xf numFmtId="165" fontId="26" fillId="0" borderId="0" xfId="0" applyNumberFormat="1" applyFont="1"/>
    <xf numFmtId="0" fontId="26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0" fontId="28" fillId="35" borderId="0" xfId="0" applyFont="1" applyFill="1" applyAlignment="1">
      <alignment horizontal="center"/>
    </xf>
    <xf numFmtId="2" fontId="29" fillId="35" borderId="0" xfId="0" applyNumberFormat="1" applyFont="1" applyFill="1" applyAlignment="1">
      <alignment horizontal="center"/>
    </xf>
    <xf numFmtId="164" fontId="26" fillId="0" borderId="0" xfId="0" applyNumberFormat="1" applyFont="1"/>
    <xf numFmtId="17" fontId="26" fillId="0" borderId="0" xfId="0" applyNumberFormat="1" applyFont="1"/>
    <xf numFmtId="2" fontId="26" fillId="0" borderId="0" xfId="0" applyNumberFormat="1" applyFont="1"/>
    <xf numFmtId="0" fontId="28" fillId="33" borderId="0" xfId="0" applyFont="1" applyFill="1" applyAlignment="1">
      <alignment horizontal="center"/>
    </xf>
    <xf numFmtId="17" fontId="26" fillId="33" borderId="0" xfId="0" applyNumberFormat="1" applyFont="1" applyFill="1"/>
    <xf numFmtId="0" fontId="26" fillId="33" borderId="0" xfId="0" applyFont="1" applyFill="1"/>
    <xf numFmtId="1" fontId="26" fillId="33" borderId="0" xfId="0" applyNumberFormat="1" applyFont="1" applyFill="1"/>
    <xf numFmtId="0" fontId="28" fillId="36" borderId="0" xfId="0" applyFont="1" applyFill="1" applyAlignment="1">
      <alignment horizontal="center"/>
    </xf>
    <xf numFmtId="0" fontId="27" fillId="0" borderId="16" xfId="0" applyFont="1" applyBorder="1" applyAlignment="1">
      <alignment horizontal="centerContinuous"/>
    </xf>
    <xf numFmtId="0" fontId="28" fillId="37" borderId="0" xfId="0" applyFont="1" applyFill="1" applyAlignment="1">
      <alignment horizontal="center"/>
    </xf>
    <xf numFmtId="0" fontId="26" fillId="37" borderId="0" xfId="0" applyFont="1" applyFill="1"/>
    <xf numFmtId="164" fontId="21" fillId="35" borderId="0" xfId="0" applyNumberFormat="1" applyFont="1" applyFill="1" applyAlignment="1">
      <alignment horizontal="center"/>
    </xf>
    <xf numFmtId="0" fontId="25" fillId="0" borderId="0" xfId="0" applyFont="1" applyAlignment="1">
      <alignment horizontal="centerContinuous"/>
    </xf>
    <xf numFmtId="0" fontId="25" fillId="0" borderId="0" xfId="0" applyFont="1" applyAlignment="1">
      <alignment horizontal="center"/>
    </xf>
    <xf numFmtId="1" fontId="26" fillId="0" borderId="0" xfId="0" applyNumberFormat="1" applyFont="1"/>
    <xf numFmtId="0" fontId="31" fillId="0" borderId="17" xfId="0" applyFont="1" applyBorder="1"/>
    <xf numFmtId="0" fontId="26" fillId="0" borderId="14" xfId="0" applyFont="1" applyBorder="1"/>
    <xf numFmtId="164" fontId="26" fillId="0" borderId="14" xfId="0" applyNumberFormat="1" applyFont="1" applyBorder="1"/>
    <xf numFmtId="2" fontId="26" fillId="0" borderId="14" xfId="0" applyNumberFormat="1" applyFont="1" applyBorder="1"/>
    <xf numFmtId="164" fontId="26" fillId="0" borderId="18" xfId="0" applyNumberFormat="1" applyFont="1" applyBorder="1"/>
    <xf numFmtId="0" fontId="26" fillId="0" borderId="19" xfId="0" applyFont="1" applyBorder="1"/>
    <xf numFmtId="1" fontId="26" fillId="34" borderId="0" xfId="0" applyNumberFormat="1" applyFont="1" applyFill="1"/>
    <xf numFmtId="0" fontId="26" fillId="35" borderId="0" xfId="0" applyFont="1" applyFill="1"/>
    <xf numFmtId="2" fontId="26" fillId="35" borderId="0" xfId="0" applyNumberFormat="1" applyFont="1" applyFill="1"/>
    <xf numFmtId="2" fontId="26" fillId="35" borderId="20" xfId="0" applyNumberFormat="1" applyFont="1" applyFill="1" applyBorder="1"/>
    <xf numFmtId="0" fontId="26" fillId="0" borderId="21" xfId="0" applyFont="1" applyBorder="1"/>
    <xf numFmtId="1" fontId="26" fillId="34" borderId="15" xfId="0" applyNumberFormat="1" applyFont="1" applyFill="1" applyBorder="1"/>
    <xf numFmtId="164" fontId="26" fillId="0" borderId="15" xfId="0" applyNumberFormat="1" applyFont="1" applyBorder="1"/>
    <xf numFmtId="17" fontId="26" fillId="0" borderId="15" xfId="0" applyNumberFormat="1" applyFont="1" applyBorder="1"/>
    <xf numFmtId="1" fontId="26" fillId="0" borderId="15" xfId="0" applyNumberFormat="1" applyFont="1" applyBorder="1"/>
    <xf numFmtId="0" fontId="26" fillId="35" borderId="15" xfId="0" applyFont="1" applyFill="1" applyBorder="1"/>
    <xf numFmtId="2" fontId="26" fillId="35" borderId="15" xfId="0" applyNumberFormat="1" applyFont="1" applyFill="1" applyBorder="1"/>
    <xf numFmtId="2" fontId="26" fillId="35" borderId="13" xfId="0" applyNumberFormat="1" applyFont="1" applyFill="1" applyBorder="1"/>
    <xf numFmtId="1" fontId="30" fillId="0" borderId="17" xfId="0" applyNumberFormat="1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9" fontId="26" fillId="0" borderId="20" xfId="42" applyFont="1" applyBorder="1"/>
    <xf numFmtId="9" fontId="26" fillId="0" borderId="13" xfId="42" applyFont="1" applyBorder="1"/>
    <xf numFmtId="0" fontId="29" fillId="34" borderId="0" xfId="0" applyFont="1" applyFill="1" applyAlignment="1">
      <alignment horizontal="center"/>
    </xf>
    <xf numFmtId="0" fontId="26" fillId="38" borderId="0" xfId="0" applyFont="1" applyFill="1"/>
    <xf numFmtId="1" fontId="26" fillId="38" borderId="19" xfId="0" applyNumberFormat="1" applyFont="1" applyFill="1" applyBorder="1"/>
    <xf numFmtId="1" fontId="26" fillId="38" borderId="21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9405-FC27-5B4E-ACB7-CBD6CA448929}">
  <sheetPr>
    <tabColor rgb="FFFFFF00"/>
  </sheetPr>
  <dimension ref="A1:G5"/>
  <sheetViews>
    <sheetView zoomScale="140" zoomScaleNormal="140" workbookViewId="0"/>
  </sheetViews>
  <sheetFormatPr baseColWidth="10" defaultRowHeight="15" x14ac:dyDescent="0.2"/>
  <cols>
    <col min="1" max="1" width="13.1640625" customWidth="1"/>
    <col min="2" max="2" width="11.6640625" customWidth="1"/>
    <col min="3" max="3" width="12.83203125" customWidth="1"/>
    <col min="4" max="4" width="11.6640625" customWidth="1"/>
    <col min="5" max="5" width="12.6640625" customWidth="1"/>
    <col min="6" max="6" width="12.33203125" customWidth="1"/>
    <col min="7" max="7" width="11.6640625" customWidth="1"/>
  </cols>
  <sheetData>
    <row r="1" spans="1:7" ht="18" thickBot="1" x14ac:dyDescent="0.25">
      <c r="A1" s="13"/>
      <c r="B1" s="14" t="s">
        <v>20</v>
      </c>
      <c r="C1" s="14" t="s">
        <v>18</v>
      </c>
      <c r="D1" s="14" t="s">
        <v>12</v>
      </c>
      <c r="E1" s="14" t="s">
        <v>9</v>
      </c>
      <c r="F1" s="14" t="s">
        <v>16</v>
      </c>
      <c r="G1" s="14" t="s">
        <v>14</v>
      </c>
    </row>
    <row r="2" spans="1:7" ht="18" thickBot="1" x14ac:dyDescent="0.25">
      <c r="A2" s="15" t="s">
        <v>37</v>
      </c>
      <c r="B2" s="16">
        <v>147.59</v>
      </c>
      <c r="C2" s="16">
        <v>94.04</v>
      </c>
      <c r="D2" s="16">
        <v>148.88</v>
      </c>
      <c r="E2" s="16">
        <v>103.95</v>
      </c>
      <c r="F2" s="16">
        <v>112.94</v>
      </c>
      <c r="G2" s="16">
        <v>151.55000000000001</v>
      </c>
    </row>
    <row r="3" spans="1:7" ht="18" thickBot="1" x14ac:dyDescent="0.25">
      <c r="A3" s="15" t="s">
        <v>38</v>
      </c>
      <c r="B3" s="16">
        <v>105.53</v>
      </c>
      <c r="C3" s="16">
        <v>64.489999999999995</v>
      </c>
      <c r="D3" s="16">
        <v>102.85</v>
      </c>
      <c r="E3" s="16">
        <v>71.69</v>
      </c>
      <c r="F3" s="16">
        <v>79.33</v>
      </c>
      <c r="G3" s="16">
        <v>106.76</v>
      </c>
    </row>
    <row r="4" spans="1:7" ht="18" thickBot="1" x14ac:dyDescent="0.25">
      <c r="A4" s="15" t="s">
        <v>39</v>
      </c>
      <c r="B4" s="16">
        <f>B2-B3</f>
        <v>42.06</v>
      </c>
      <c r="C4" s="16">
        <f t="shared" ref="C4:G4" si="0">C2-C3</f>
        <v>29.550000000000011</v>
      </c>
      <c r="D4" s="16">
        <f t="shared" si="0"/>
        <v>46.03</v>
      </c>
      <c r="E4" s="16">
        <f t="shared" si="0"/>
        <v>32.260000000000005</v>
      </c>
      <c r="F4" s="16">
        <f t="shared" si="0"/>
        <v>33.61</v>
      </c>
      <c r="G4" s="16">
        <f t="shared" si="0"/>
        <v>44.790000000000006</v>
      </c>
    </row>
    <row r="5" spans="1:7" ht="18" thickBot="1" x14ac:dyDescent="0.25">
      <c r="A5" s="15" t="s">
        <v>40</v>
      </c>
      <c r="B5" s="17">
        <f>B4/B2</f>
        <v>0.28497865709058878</v>
      </c>
      <c r="C5" s="17">
        <f t="shared" ref="C5:G5" si="1">C4/C2</f>
        <v>0.31422798809017449</v>
      </c>
      <c r="D5" s="17">
        <f t="shared" si="1"/>
        <v>0.30917517463729177</v>
      </c>
      <c r="E5" s="17">
        <f t="shared" si="1"/>
        <v>0.31034151034151036</v>
      </c>
      <c r="F5" s="17">
        <f t="shared" si="1"/>
        <v>0.29759164157959977</v>
      </c>
      <c r="G5" s="17">
        <f t="shared" si="1"/>
        <v>0.29554602441438471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E6FA-045A-BD47-8755-0114891D7F1E}">
  <sheetPr>
    <tabColor rgb="FFFFC000"/>
  </sheetPr>
  <dimension ref="A1:AA217"/>
  <sheetViews>
    <sheetView topLeftCell="G1" zoomScale="130" zoomScaleNormal="130" workbookViewId="0">
      <selection activeCell="N12" sqref="N12"/>
    </sheetView>
  </sheetViews>
  <sheetFormatPr baseColWidth="10" defaultColWidth="8.83203125" defaultRowHeight="15" x14ac:dyDescent="0.2"/>
  <cols>
    <col min="1" max="1" width="8.6640625" bestFit="1" customWidth="1"/>
    <col min="2" max="2" width="11.33203125" bestFit="1" customWidth="1"/>
    <col min="3" max="3" width="10.6640625" hidden="1" customWidth="1"/>
    <col min="4" max="4" width="9.1640625" bestFit="1" customWidth="1"/>
    <col min="5" max="5" width="11" bestFit="1" customWidth="1"/>
    <col min="6" max="6" width="11.1640625" style="3" bestFit="1" customWidth="1"/>
    <col min="7" max="7" width="11.1640625" style="3" customWidth="1"/>
    <col min="8" max="8" width="11.83203125" style="3" customWidth="1"/>
    <col min="9" max="9" width="15" hidden="1" customWidth="1"/>
    <col min="10" max="10" width="15.33203125" style="2" hidden="1" customWidth="1"/>
    <col min="11" max="11" width="1" hidden="1" customWidth="1"/>
    <col min="12" max="12" width="2.6640625" customWidth="1"/>
    <col min="13" max="13" width="11.5" customWidth="1"/>
    <col min="14" max="14" width="11.1640625" customWidth="1"/>
    <col min="15" max="15" width="2.6640625" customWidth="1"/>
    <col min="16" max="16" width="10.83203125" bestFit="1" customWidth="1"/>
    <col min="17" max="17" width="10" bestFit="1" customWidth="1"/>
    <col min="18" max="18" width="10.5" bestFit="1" customWidth="1"/>
    <col min="19" max="19" width="11.1640625" bestFit="1" customWidth="1"/>
    <col min="20" max="20" width="2.6640625" customWidth="1"/>
    <col min="21" max="21" width="14.83203125" customWidth="1"/>
    <col min="22" max="22" width="12.1640625" bestFit="1" customWidth="1"/>
    <col min="23" max="25" width="9" bestFit="1" customWidth="1"/>
    <col min="26" max="26" width="12.33203125" bestFit="1" customWidth="1"/>
    <col min="27" max="27" width="9" bestFit="1" customWidth="1"/>
  </cols>
  <sheetData>
    <row r="1" spans="1:27" x14ac:dyDescent="0.2">
      <c r="A1" s="4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s="8" t="s">
        <v>5</v>
      </c>
      <c r="G1" s="11" t="s">
        <v>36</v>
      </c>
      <c r="H1" s="18" t="s">
        <v>43</v>
      </c>
      <c r="I1" s="4" t="s">
        <v>6</v>
      </c>
      <c r="J1" s="10" t="s">
        <v>7</v>
      </c>
      <c r="K1" s="4" t="s">
        <v>8</v>
      </c>
      <c r="M1" s="19"/>
      <c r="N1" s="19"/>
      <c r="O1" s="19"/>
      <c r="P1" s="19" t="s">
        <v>51</v>
      </c>
      <c r="Q1" s="19" t="s">
        <v>52</v>
      </c>
      <c r="R1" s="19" t="s">
        <v>53</v>
      </c>
      <c r="S1" s="19" t="s">
        <v>54</v>
      </c>
    </row>
    <row r="2" spans="1:27" x14ac:dyDescent="0.2">
      <c r="A2">
        <v>1</v>
      </c>
      <c r="B2" t="s">
        <v>9</v>
      </c>
      <c r="C2" t="s">
        <v>10</v>
      </c>
      <c r="D2" s="1">
        <v>43466</v>
      </c>
      <c r="E2">
        <v>258</v>
      </c>
      <c r="F2" s="3">
        <v>81782.882644051002</v>
      </c>
      <c r="G2" s="12">
        <f>F2/E2</f>
        <v>316.98791722500391</v>
      </c>
      <c r="H2" s="12" t="str">
        <f>IF(G2&lt;=64, "Lowest range",
   IF(AND(G2&gt;64, G2&lt;=91), "Lower range",
      IF(AND(G2&gt;91, G2&lt;=137), "Higher range",
         IF(G2&gt;137, "Highest range", "Not categorised"))))</f>
        <v>Highest range</v>
      </c>
      <c r="I2">
        <v>1</v>
      </c>
      <c r="J2" s="2">
        <v>108.365611185087</v>
      </c>
      <c r="K2" t="s">
        <v>11</v>
      </c>
      <c r="M2" s="19" t="s">
        <v>42</v>
      </c>
      <c r="N2" s="22">
        <f>MIN($G$2:$G$217)</f>
        <v>12.121212121212121</v>
      </c>
      <c r="O2" s="19"/>
      <c r="P2" s="19">
        <v>559</v>
      </c>
      <c r="Q2" s="19">
        <v>803</v>
      </c>
      <c r="R2" s="19">
        <v>370</v>
      </c>
      <c r="S2" s="19">
        <v>258</v>
      </c>
      <c r="U2" s="19" t="s">
        <v>55</v>
      </c>
      <c r="V2" s="19"/>
      <c r="W2" s="19"/>
      <c r="X2" s="19"/>
      <c r="Y2" s="19"/>
      <c r="Z2" s="19"/>
      <c r="AA2" s="19"/>
    </row>
    <row r="3" spans="1:27" x14ac:dyDescent="0.2">
      <c r="A3">
        <v>2</v>
      </c>
      <c r="B3" t="s">
        <v>12</v>
      </c>
      <c r="C3" t="s">
        <v>13</v>
      </c>
      <c r="D3" s="1">
        <v>43466</v>
      </c>
      <c r="E3">
        <v>117</v>
      </c>
      <c r="F3" s="3">
        <v>57249.529176106</v>
      </c>
      <c r="G3" s="12">
        <f t="shared" ref="G3:G66" si="0">F3/E3</f>
        <v>489.31221518039314</v>
      </c>
      <c r="H3" s="12" t="str">
        <f t="shared" ref="H3:H66" si="1">IF(G3&lt;=64, "Lowest range",
   IF(AND(G3&gt;64, G3&lt;=91), "Lower range",
      IF(AND(G3&gt;91, G3&lt;=137), "Higher range",
         IF(G3&gt;137, "Highest range", "Not categorised"))))</f>
        <v>Highest range</v>
      </c>
      <c r="I3">
        <v>1</v>
      </c>
      <c r="J3" s="2">
        <v>110.27818820232901</v>
      </c>
      <c r="K3" t="s">
        <v>11</v>
      </c>
      <c r="M3" s="19" t="s">
        <v>45</v>
      </c>
      <c r="N3" s="22">
        <f>_xlfn.QUARTILE.INC($G$2:$G$217,1)</f>
        <v>64.041474350059104</v>
      </c>
      <c r="O3" s="19"/>
      <c r="P3" s="19">
        <v>825</v>
      </c>
      <c r="Q3" s="19">
        <v>699</v>
      </c>
      <c r="R3" s="19">
        <v>551</v>
      </c>
      <c r="S3" s="19">
        <v>117</v>
      </c>
      <c r="U3" s="19"/>
      <c r="V3" s="19"/>
      <c r="W3" s="19"/>
      <c r="X3" s="19"/>
      <c r="Y3" s="19"/>
      <c r="Z3" s="19"/>
      <c r="AA3" s="19"/>
    </row>
    <row r="4" spans="1:27" ht="16" thickBot="1" x14ac:dyDescent="0.25">
      <c r="A4">
        <v>3</v>
      </c>
      <c r="B4" t="s">
        <v>14</v>
      </c>
      <c r="C4" t="s">
        <v>15</v>
      </c>
      <c r="D4" s="1">
        <v>43466</v>
      </c>
      <c r="E4">
        <v>370</v>
      </c>
      <c r="F4" s="3">
        <v>41928.900863061703</v>
      </c>
      <c r="G4" s="12">
        <f t="shared" si="0"/>
        <v>113.32135368395055</v>
      </c>
      <c r="H4" s="12" t="str">
        <f t="shared" si="1"/>
        <v>Higher range</v>
      </c>
      <c r="I4">
        <v>0</v>
      </c>
      <c r="J4" s="2">
        <v>132.25372429231601</v>
      </c>
      <c r="K4" t="s">
        <v>11</v>
      </c>
      <c r="M4" s="19" t="s">
        <v>44</v>
      </c>
      <c r="N4" s="22">
        <f>MEDIAN($G$2:$G$217)</f>
        <v>91.2029252384703</v>
      </c>
      <c r="O4" s="19"/>
      <c r="P4" s="19">
        <v>443</v>
      </c>
      <c r="Q4" s="19">
        <v>887</v>
      </c>
      <c r="R4" s="19">
        <v>594</v>
      </c>
      <c r="S4" s="19">
        <v>235</v>
      </c>
      <c r="U4" s="19" t="s">
        <v>56</v>
      </c>
      <c r="V4" s="19"/>
      <c r="W4" s="19"/>
      <c r="X4" s="19"/>
      <c r="Y4" s="19"/>
      <c r="Z4" s="19"/>
      <c r="AA4" s="19"/>
    </row>
    <row r="5" spans="1:27" x14ac:dyDescent="0.2">
      <c r="A5">
        <v>4</v>
      </c>
      <c r="B5" t="s">
        <v>16</v>
      </c>
      <c r="C5" t="s">
        <v>17</v>
      </c>
      <c r="D5" s="1">
        <v>43466</v>
      </c>
      <c r="E5">
        <v>235</v>
      </c>
      <c r="F5" s="3">
        <v>86629.175317087007</v>
      </c>
      <c r="G5" s="12">
        <f t="shared" si="0"/>
        <v>368.63478858334895</v>
      </c>
      <c r="H5" s="12" t="str">
        <f t="shared" si="1"/>
        <v>Highest range</v>
      </c>
      <c r="I5">
        <v>1</v>
      </c>
      <c r="J5" s="2">
        <v>137.66614859257899</v>
      </c>
      <c r="K5" t="s">
        <v>11</v>
      </c>
      <c r="M5" s="19" t="s">
        <v>46</v>
      </c>
      <c r="N5" s="22">
        <f>_xlfn.QUARTILE.INC($G$2:$G$217,3)</f>
        <v>137.27652089647586</v>
      </c>
      <c r="O5" s="19"/>
      <c r="P5" s="19">
        <v>573</v>
      </c>
      <c r="Q5" s="19">
        <v>424</v>
      </c>
      <c r="R5" s="19">
        <v>524</v>
      </c>
      <c r="S5" s="19">
        <v>630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19"/>
      <c r="AA5" s="19"/>
    </row>
    <row r="6" spans="1:27" x14ac:dyDescent="0.2">
      <c r="A6">
        <v>5</v>
      </c>
      <c r="B6" t="s">
        <v>18</v>
      </c>
      <c r="C6" t="s">
        <v>19</v>
      </c>
      <c r="D6" s="1">
        <v>43466</v>
      </c>
      <c r="E6">
        <v>630</v>
      </c>
      <c r="F6" s="3">
        <v>105687.54760481699</v>
      </c>
      <c r="G6" s="12">
        <f t="shared" si="0"/>
        <v>167.7580120711381</v>
      </c>
      <c r="H6" s="12" t="str">
        <f t="shared" si="1"/>
        <v>Highest range</v>
      </c>
      <c r="I6">
        <v>1</v>
      </c>
      <c r="J6" s="2">
        <v>87.646336687804904</v>
      </c>
      <c r="K6" t="s">
        <v>11</v>
      </c>
      <c r="M6" s="19" t="s">
        <v>41</v>
      </c>
      <c r="N6" s="22">
        <f>MAX($G$2:$G$217)</f>
        <v>824.10668903317503</v>
      </c>
      <c r="O6" s="19"/>
      <c r="P6" s="19">
        <v>636</v>
      </c>
      <c r="Q6" s="19">
        <v>659</v>
      </c>
      <c r="R6" s="19">
        <v>582</v>
      </c>
      <c r="S6" s="19">
        <v>181</v>
      </c>
      <c r="U6" s="19" t="s">
        <v>51</v>
      </c>
      <c r="V6" s="19">
        <v>54</v>
      </c>
      <c r="W6" s="19">
        <v>40622</v>
      </c>
      <c r="X6" s="19">
        <v>752.25925925925924</v>
      </c>
      <c r="Y6" s="19">
        <v>144551.78057302584</v>
      </c>
      <c r="Z6" s="19"/>
      <c r="AA6" s="19"/>
    </row>
    <row r="7" spans="1:27" x14ac:dyDescent="0.2">
      <c r="A7">
        <v>6</v>
      </c>
      <c r="B7" t="s">
        <v>20</v>
      </c>
      <c r="C7" t="s">
        <v>21</v>
      </c>
      <c r="D7" s="1">
        <v>43466</v>
      </c>
      <c r="E7">
        <v>559</v>
      </c>
      <c r="F7" s="3">
        <v>28053.082628666802</v>
      </c>
      <c r="G7" s="12">
        <f t="shared" si="0"/>
        <v>50.184405418008588</v>
      </c>
      <c r="H7" s="12" t="str">
        <f t="shared" si="1"/>
        <v>Lowest range</v>
      </c>
      <c r="I7">
        <v>0</v>
      </c>
      <c r="J7" s="2">
        <v>89.298944897885903</v>
      </c>
      <c r="K7" t="s">
        <v>11</v>
      </c>
      <c r="M7" s="19"/>
      <c r="N7" s="19"/>
      <c r="O7" s="19"/>
      <c r="P7" s="19">
        <v>478</v>
      </c>
      <c r="Q7" s="19">
        <v>1562</v>
      </c>
      <c r="R7" s="19">
        <v>629</v>
      </c>
      <c r="S7" s="19">
        <v>568</v>
      </c>
      <c r="U7" s="19" t="s">
        <v>52</v>
      </c>
      <c r="V7" s="19">
        <v>53</v>
      </c>
      <c r="W7" s="19">
        <v>44892</v>
      </c>
      <c r="X7" s="19">
        <v>847.01886792452831</v>
      </c>
      <c r="Y7" s="19">
        <v>149852.98040638605</v>
      </c>
      <c r="Z7" s="19"/>
      <c r="AA7" s="19"/>
    </row>
    <row r="8" spans="1:27" x14ac:dyDescent="0.2">
      <c r="A8">
        <v>1</v>
      </c>
      <c r="B8" t="s">
        <v>9</v>
      </c>
      <c r="C8" t="s">
        <v>10</v>
      </c>
      <c r="D8" s="1">
        <v>43497</v>
      </c>
      <c r="E8">
        <v>551</v>
      </c>
      <c r="F8" s="3">
        <v>74650.284234724997</v>
      </c>
      <c r="G8" s="12">
        <f t="shared" si="0"/>
        <v>135.48145959115246</v>
      </c>
      <c r="H8" s="12" t="str">
        <f t="shared" si="1"/>
        <v>Higher range</v>
      </c>
      <c r="I8">
        <v>0</v>
      </c>
      <c r="J8" s="2">
        <v>96.869315979497003</v>
      </c>
      <c r="K8" t="s">
        <v>11</v>
      </c>
      <c r="M8" s="19" t="s">
        <v>51</v>
      </c>
      <c r="N8" s="23" t="s">
        <v>50</v>
      </c>
      <c r="O8" s="19"/>
      <c r="P8" s="19">
        <v>374</v>
      </c>
      <c r="Q8" s="19">
        <v>454</v>
      </c>
      <c r="R8" s="19">
        <v>1070</v>
      </c>
      <c r="S8" s="19">
        <v>100</v>
      </c>
      <c r="U8" s="19" t="s">
        <v>53</v>
      </c>
      <c r="V8" s="19">
        <v>54</v>
      </c>
      <c r="W8" s="19">
        <v>34442</v>
      </c>
      <c r="X8" s="19">
        <v>637.81481481481478</v>
      </c>
      <c r="Y8" s="19">
        <v>77932.342417889609</v>
      </c>
      <c r="Z8" s="19"/>
      <c r="AA8" s="19"/>
    </row>
    <row r="9" spans="1:27" ht="16" thickBot="1" x14ac:dyDescent="0.25">
      <c r="A9">
        <v>2</v>
      </c>
      <c r="B9" t="s">
        <v>12</v>
      </c>
      <c r="C9" t="s">
        <v>13</v>
      </c>
      <c r="D9" s="1">
        <v>43497</v>
      </c>
      <c r="E9">
        <v>181</v>
      </c>
      <c r="F9" s="3">
        <v>38012.499540924502</v>
      </c>
      <c r="G9" s="12">
        <f t="shared" si="0"/>
        <v>210.01380961836742</v>
      </c>
      <c r="H9" s="12" t="str">
        <f t="shared" si="1"/>
        <v>Highest range</v>
      </c>
      <c r="I9">
        <v>1</v>
      </c>
      <c r="J9" s="2">
        <v>57.5359060352462</v>
      </c>
      <c r="K9" t="s">
        <v>11</v>
      </c>
      <c r="M9" s="19" t="s">
        <v>52</v>
      </c>
      <c r="N9" s="23" t="s">
        <v>49</v>
      </c>
      <c r="O9" s="19"/>
      <c r="P9" s="19">
        <v>515</v>
      </c>
      <c r="Q9" s="19">
        <v>1914</v>
      </c>
      <c r="R9" s="19">
        <v>655</v>
      </c>
      <c r="S9" s="19">
        <v>533</v>
      </c>
      <c r="U9" s="21" t="s">
        <v>54</v>
      </c>
      <c r="V9" s="21">
        <v>55</v>
      </c>
      <c r="W9" s="21">
        <v>17417</v>
      </c>
      <c r="X9" s="21">
        <v>316.67272727272729</v>
      </c>
      <c r="Y9" s="21">
        <v>32333.483501683506</v>
      </c>
      <c r="Z9" s="19"/>
      <c r="AA9" s="19"/>
    </row>
    <row r="10" spans="1:27" x14ac:dyDescent="0.2">
      <c r="A10">
        <v>3</v>
      </c>
      <c r="B10" t="s">
        <v>14</v>
      </c>
      <c r="C10" t="s">
        <v>15</v>
      </c>
      <c r="D10" s="1">
        <v>43497</v>
      </c>
      <c r="E10">
        <v>568</v>
      </c>
      <c r="F10" s="3">
        <v>88230.592130188496</v>
      </c>
      <c r="G10" s="12">
        <f t="shared" si="0"/>
        <v>155.33554952497974</v>
      </c>
      <c r="H10" s="12" t="str">
        <f t="shared" si="1"/>
        <v>Highest range</v>
      </c>
      <c r="I10">
        <v>0</v>
      </c>
      <c r="J10" s="2">
        <v>149.66368370738999</v>
      </c>
      <c r="K10" t="s">
        <v>11</v>
      </c>
      <c r="M10" s="19" t="s">
        <v>53</v>
      </c>
      <c r="N10" s="23" t="s">
        <v>48</v>
      </c>
      <c r="O10" s="19"/>
      <c r="P10" s="19">
        <v>1481</v>
      </c>
      <c r="Q10" s="19">
        <v>659</v>
      </c>
      <c r="R10" s="19">
        <v>243</v>
      </c>
      <c r="S10" s="19">
        <v>153</v>
      </c>
      <c r="U10" s="19"/>
      <c r="V10" s="19"/>
      <c r="W10" s="19"/>
      <c r="X10" s="19"/>
      <c r="Y10" s="19"/>
      <c r="Z10" s="19"/>
      <c r="AA10" s="19"/>
    </row>
    <row r="11" spans="1:27" x14ac:dyDescent="0.2">
      <c r="A11">
        <v>4</v>
      </c>
      <c r="B11" t="s">
        <v>16</v>
      </c>
      <c r="C11" t="s">
        <v>17</v>
      </c>
      <c r="D11" s="1">
        <v>43497</v>
      </c>
      <c r="E11">
        <v>803</v>
      </c>
      <c r="F11" s="3">
        <v>56249.169621958899</v>
      </c>
      <c r="G11" s="12">
        <f t="shared" si="0"/>
        <v>70.04877910580187</v>
      </c>
      <c r="H11" s="12" t="str">
        <f t="shared" si="1"/>
        <v>Lower range</v>
      </c>
      <c r="I11">
        <v>0</v>
      </c>
      <c r="J11" s="2">
        <v>125.70812020424501</v>
      </c>
      <c r="K11" t="s">
        <v>11</v>
      </c>
      <c r="M11" s="19" t="s">
        <v>54</v>
      </c>
      <c r="N11" s="23" t="s">
        <v>47</v>
      </c>
      <c r="O11" s="19"/>
      <c r="P11" s="19">
        <v>458</v>
      </c>
      <c r="Q11" s="19">
        <v>1649</v>
      </c>
      <c r="R11" s="19">
        <v>602</v>
      </c>
      <c r="S11" s="19">
        <v>572</v>
      </c>
      <c r="U11" s="19"/>
      <c r="V11" s="19"/>
      <c r="W11" s="19"/>
      <c r="X11" s="19"/>
      <c r="Y11" s="19"/>
      <c r="Z11" s="19"/>
      <c r="AA11" s="19"/>
    </row>
    <row r="12" spans="1:27" ht="16" thickBot="1" x14ac:dyDescent="0.25">
      <c r="A12">
        <v>5</v>
      </c>
      <c r="B12" t="s">
        <v>18</v>
      </c>
      <c r="C12" t="s">
        <v>19</v>
      </c>
      <c r="D12" s="1">
        <v>43497</v>
      </c>
      <c r="E12">
        <v>594</v>
      </c>
      <c r="F12" s="3">
        <v>80882.934037723593</v>
      </c>
      <c r="G12" s="12">
        <f t="shared" si="0"/>
        <v>136.16655561906327</v>
      </c>
      <c r="H12" s="12" t="str">
        <f t="shared" si="1"/>
        <v>Higher range</v>
      </c>
      <c r="I12">
        <v>0</v>
      </c>
      <c r="J12" s="2">
        <v>62.915941515149498</v>
      </c>
      <c r="K12" t="s">
        <v>11</v>
      </c>
      <c r="M12" s="19"/>
      <c r="N12" s="19"/>
      <c r="O12" s="19"/>
      <c r="P12" s="19">
        <v>337</v>
      </c>
      <c r="Q12" s="19">
        <v>517</v>
      </c>
      <c r="R12" s="19">
        <v>622</v>
      </c>
      <c r="S12" s="19">
        <v>461</v>
      </c>
      <c r="U12" s="19" t="s">
        <v>62</v>
      </c>
      <c r="V12" s="19"/>
      <c r="W12" s="19"/>
      <c r="X12" s="19"/>
      <c r="Y12" s="19"/>
      <c r="Z12" s="19"/>
      <c r="AA12" s="19"/>
    </row>
    <row r="13" spans="1:27" x14ac:dyDescent="0.2">
      <c r="A13">
        <v>6</v>
      </c>
      <c r="B13" t="s">
        <v>20</v>
      </c>
      <c r="C13" t="s">
        <v>21</v>
      </c>
      <c r="D13" s="1">
        <v>43497</v>
      </c>
      <c r="E13">
        <v>524</v>
      </c>
      <c r="F13" s="3">
        <v>60288.776681174902</v>
      </c>
      <c r="G13" s="12">
        <f t="shared" si="0"/>
        <v>115.05491733048646</v>
      </c>
      <c r="H13" s="12" t="str">
        <f t="shared" si="1"/>
        <v>Higher range</v>
      </c>
      <c r="I13">
        <v>1</v>
      </c>
      <c r="J13" s="2">
        <v>137.822066747919</v>
      </c>
      <c r="K13" t="s">
        <v>11</v>
      </c>
      <c r="M13" s="19"/>
      <c r="N13" s="19"/>
      <c r="O13" s="19"/>
      <c r="P13" s="19">
        <v>595</v>
      </c>
      <c r="Q13" s="19">
        <v>648</v>
      </c>
      <c r="R13" s="19">
        <v>334</v>
      </c>
      <c r="S13" s="19">
        <v>283</v>
      </c>
      <c r="U13" s="20" t="s">
        <v>63</v>
      </c>
      <c r="V13" s="20" t="s">
        <v>64</v>
      </c>
      <c r="W13" s="20" t="s">
        <v>65</v>
      </c>
      <c r="X13" s="20" t="s">
        <v>66</v>
      </c>
      <c r="Y13" s="20" t="s">
        <v>67</v>
      </c>
      <c r="Z13" s="20" t="s">
        <v>68</v>
      </c>
      <c r="AA13" s="20" t="s">
        <v>69</v>
      </c>
    </row>
    <row r="14" spans="1:27" x14ac:dyDescent="0.2">
      <c r="A14">
        <v>1</v>
      </c>
      <c r="B14" t="s">
        <v>9</v>
      </c>
      <c r="C14" t="s">
        <v>10</v>
      </c>
      <c r="D14" s="1">
        <v>43525</v>
      </c>
      <c r="E14">
        <v>100</v>
      </c>
      <c r="F14" s="3">
        <v>44634.738761009699</v>
      </c>
      <c r="G14" s="12">
        <f t="shared" si="0"/>
        <v>446.34738761009697</v>
      </c>
      <c r="H14" s="12" t="str">
        <f t="shared" si="1"/>
        <v>Highest range</v>
      </c>
      <c r="I14">
        <v>0</v>
      </c>
      <c r="J14" s="2">
        <v>102.016350111199</v>
      </c>
      <c r="K14" t="s">
        <v>22</v>
      </c>
      <c r="M14" s="19"/>
      <c r="N14" s="19"/>
      <c r="O14" s="19"/>
      <c r="P14" s="19">
        <v>757</v>
      </c>
      <c r="Q14" s="19">
        <v>1394</v>
      </c>
      <c r="R14" s="19">
        <v>534</v>
      </c>
      <c r="S14" s="19">
        <v>100</v>
      </c>
      <c r="U14" s="19" t="s">
        <v>70</v>
      </c>
      <c r="V14" s="19">
        <v>8698433.3495918289</v>
      </c>
      <c r="W14" s="19">
        <v>3</v>
      </c>
      <c r="X14" s="19">
        <v>2899477.7831972763</v>
      </c>
      <c r="Y14" s="19">
        <v>28.818034098282844</v>
      </c>
      <c r="Z14" s="19">
        <v>1.1404293597430067E-15</v>
      </c>
      <c r="AA14" s="19">
        <v>2.6471884957686997</v>
      </c>
    </row>
    <row r="15" spans="1:27" x14ac:dyDescent="0.2">
      <c r="A15">
        <v>2</v>
      </c>
      <c r="B15" t="s">
        <v>12</v>
      </c>
      <c r="C15" t="s">
        <v>13</v>
      </c>
      <c r="D15" s="1">
        <v>43525</v>
      </c>
      <c r="E15">
        <v>533</v>
      </c>
      <c r="F15" s="3">
        <v>73064.903728569101</v>
      </c>
      <c r="G15" s="12">
        <f t="shared" si="0"/>
        <v>137.08237097292513</v>
      </c>
      <c r="H15" s="12" t="str">
        <f t="shared" si="1"/>
        <v>Highest range</v>
      </c>
      <c r="I15">
        <v>0</v>
      </c>
      <c r="J15" s="2">
        <v>58.840822336564599</v>
      </c>
      <c r="K15" t="s">
        <v>22</v>
      </c>
      <c r="M15" s="19"/>
      <c r="N15" s="19"/>
      <c r="O15" s="19"/>
      <c r="P15" s="19">
        <v>782</v>
      </c>
      <c r="Q15" s="19">
        <v>559</v>
      </c>
      <c r="R15" s="19">
        <v>608</v>
      </c>
      <c r="S15" s="19">
        <v>499</v>
      </c>
      <c r="U15" s="19" t="s">
        <v>71</v>
      </c>
      <c r="V15" s="19">
        <v>21330021.608741507</v>
      </c>
      <c r="W15" s="19">
        <v>212</v>
      </c>
      <c r="X15" s="19">
        <v>100613.30947519578</v>
      </c>
      <c r="Y15" s="19"/>
      <c r="Z15" s="19"/>
      <c r="AA15" s="19"/>
    </row>
    <row r="16" spans="1:27" x14ac:dyDescent="0.2">
      <c r="A16">
        <v>3</v>
      </c>
      <c r="B16" t="s">
        <v>14</v>
      </c>
      <c r="C16" t="s">
        <v>15</v>
      </c>
      <c r="D16" s="1">
        <v>43525</v>
      </c>
      <c r="E16">
        <v>582</v>
      </c>
      <c r="F16" s="3">
        <v>76841.770086118297</v>
      </c>
      <c r="G16" s="12">
        <f t="shared" si="0"/>
        <v>132.03053279401769</v>
      </c>
      <c r="H16" s="12" t="str">
        <f t="shared" si="1"/>
        <v>Higher range</v>
      </c>
      <c r="I16">
        <v>0</v>
      </c>
      <c r="J16" s="2">
        <v>52.878267631333898</v>
      </c>
      <c r="K16" t="s">
        <v>22</v>
      </c>
      <c r="M16" s="19"/>
      <c r="N16" s="19"/>
      <c r="O16" s="19"/>
      <c r="P16" s="19">
        <v>779</v>
      </c>
      <c r="Q16" s="19">
        <v>835</v>
      </c>
      <c r="R16" s="19">
        <v>615</v>
      </c>
      <c r="S16" s="19">
        <v>220</v>
      </c>
      <c r="U16" s="19"/>
      <c r="V16" s="19"/>
      <c r="W16" s="19"/>
      <c r="X16" s="19"/>
      <c r="Y16" s="19"/>
      <c r="Z16" s="19"/>
      <c r="AA16" s="19"/>
    </row>
    <row r="17" spans="1:27" ht="16" thickBot="1" x14ac:dyDescent="0.25">
      <c r="A17">
        <v>4</v>
      </c>
      <c r="B17" t="s">
        <v>16</v>
      </c>
      <c r="C17" t="s">
        <v>17</v>
      </c>
      <c r="D17" s="1">
        <v>43525</v>
      </c>
      <c r="E17">
        <v>629</v>
      </c>
      <c r="F17" s="3">
        <v>77372.631150646906</v>
      </c>
      <c r="G17" s="12">
        <f t="shared" si="0"/>
        <v>123.00895254474865</v>
      </c>
      <c r="H17" s="12" t="str">
        <f t="shared" si="1"/>
        <v>Higher range</v>
      </c>
      <c r="I17">
        <v>1</v>
      </c>
      <c r="J17" s="2">
        <v>130.50446675193601</v>
      </c>
      <c r="K17" t="s">
        <v>22</v>
      </c>
      <c r="M17" s="19"/>
      <c r="N17" s="19"/>
      <c r="O17" s="19"/>
      <c r="P17" s="19">
        <v>188</v>
      </c>
      <c r="Q17" s="19">
        <v>718</v>
      </c>
      <c r="R17" s="19">
        <v>436</v>
      </c>
      <c r="S17" s="19">
        <v>384</v>
      </c>
      <c r="U17" s="21" t="s">
        <v>72</v>
      </c>
      <c r="V17" s="21">
        <v>30028454.958333336</v>
      </c>
      <c r="W17" s="21">
        <v>215</v>
      </c>
      <c r="X17" s="21"/>
      <c r="Y17" s="21"/>
      <c r="Z17" s="21"/>
      <c r="AA17" s="21"/>
    </row>
    <row r="18" spans="1:27" x14ac:dyDescent="0.2">
      <c r="A18">
        <v>5</v>
      </c>
      <c r="B18" t="s">
        <v>18</v>
      </c>
      <c r="C18" t="s">
        <v>19</v>
      </c>
      <c r="D18" s="1">
        <v>43525</v>
      </c>
      <c r="E18">
        <v>1070</v>
      </c>
      <c r="F18" s="3">
        <v>124079.56766822199</v>
      </c>
      <c r="G18" s="12">
        <f t="shared" si="0"/>
        <v>115.96221277403924</v>
      </c>
      <c r="H18" s="12" t="str">
        <f t="shared" si="1"/>
        <v>Higher range</v>
      </c>
      <c r="I18">
        <v>1</v>
      </c>
      <c r="J18" s="2">
        <v>85.058755880659703</v>
      </c>
      <c r="K18" t="s">
        <v>22</v>
      </c>
      <c r="M18" s="19"/>
      <c r="N18" s="19"/>
      <c r="O18" s="19"/>
      <c r="P18" s="19">
        <v>448</v>
      </c>
      <c r="Q18" s="19">
        <v>1681</v>
      </c>
      <c r="R18" s="19">
        <v>557</v>
      </c>
      <c r="S18" s="19">
        <v>423</v>
      </c>
    </row>
    <row r="19" spans="1:27" x14ac:dyDescent="0.2">
      <c r="A19">
        <v>6</v>
      </c>
      <c r="B19" t="s">
        <v>20</v>
      </c>
      <c r="C19" t="s">
        <v>21</v>
      </c>
      <c r="D19" s="1">
        <v>43525</v>
      </c>
      <c r="E19">
        <v>153</v>
      </c>
      <c r="F19" s="3">
        <v>78886.775839636204</v>
      </c>
      <c r="G19" s="12">
        <f t="shared" si="0"/>
        <v>515.59984208912556</v>
      </c>
      <c r="H19" s="12" t="str">
        <f t="shared" si="1"/>
        <v>Highest range</v>
      </c>
      <c r="I19">
        <v>0</v>
      </c>
      <c r="J19" s="2">
        <v>59.100209105132997</v>
      </c>
      <c r="K19" t="s">
        <v>22</v>
      </c>
      <c r="M19" s="19"/>
      <c r="N19" s="19"/>
      <c r="O19" s="19"/>
      <c r="P19" s="19">
        <v>1324</v>
      </c>
      <c r="Q19" s="19">
        <v>670</v>
      </c>
      <c r="R19" s="19">
        <v>636</v>
      </c>
      <c r="S19" s="19">
        <v>388</v>
      </c>
    </row>
    <row r="20" spans="1:27" x14ac:dyDescent="0.2">
      <c r="A20">
        <v>1</v>
      </c>
      <c r="B20" t="s">
        <v>9</v>
      </c>
      <c r="C20" t="s">
        <v>10</v>
      </c>
      <c r="D20" s="1">
        <v>43556</v>
      </c>
      <c r="E20">
        <v>572</v>
      </c>
      <c r="F20" s="3">
        <v>84371.987480273703</v>
      </c>
      <c r="G20" s="12">
        <f t="shared" si="0"/>
        <v>147.50347461586313</v>
      </c>
      <c r="H20" s="12" t="str">
        <f t="shared" si="1"/>
        <v>Highest range</v>
      </c>
      <c r="I20">
        <v>0</v>
      </c>
      <c r="J20" s="2">
        <v>128.36530127411399</v>
      </c>
      <c r="K20" t="s">
        <v>22</v>
      </c>
      <c r="M20" s="19"/>
      <c r="N20" s="19"/>
      <c r="O20" s="19"/>
      <c r="P20" s="19">
        <v>515</v>
      </c>
      <c r="Q20" s="19">
        <v>384</v>
      </c>
      <c r="R20" s="19">
        <v>628</v>
      </c>
      <c r="S20" s="19">
        <v>100</v>
      </c>
    </row>
    <row r="21" spans="1:27" x14ac:dyDescent="0.2">
      <c r="A21">
        <v>2</v>
      </c>
      <c r="B21" t="s">
        <v>12</v>
      </c>
      <c r="C21" t="s">
        <v>13</v>
      </c>
      <c r="D21" s="1">
        <v>43556</v>
      </c>
      <c r="E21">
        <v>825</v>
      </c>
      <c r="F21" s="3">
        <v>22397.970835702101</v>
      </c>
      <c r="G21" s="12">
        <f t="shared" si="0"/>
        <v>27.149055558426788</v>
      </c>
      <c r="H21" s="12" t="str">
        <f t="shared" si="1"/>
        <v>Lowest range</v>
      </c>
      <c r="I21">
        <v>0</v>
      </c>
      <c r="J21" s="2">
        <v>119.764187149346</v>
      </c>
      <c r="K21" t="s">
        <v>22</v>
      </c>
      <c r="M21" s="19"/>
      <c r="N21" s="19"/>
      <c r="O21" s="19"/>
      <c r="P21" s="19">
        <v>446</v>
      </c>
      <c r="Q21" s="19">
        <v>985</v>
      </c>
      <c r="R21" s="19">
        <v>596</v>
      </c>
      <c r="S21" s="19">
        <v>582</v>
      </c>
    </row>
    <row r="22" spans="1:27" x14ac:dyDescent="0.2">
      <c r="A22">
        <v>3</v>
      </c>
      <c r="B22" t="s">
        <v>14</v>
      </c>
      <c r="C22" t="s">
        <v>15</v>
      </c>
      <c r="D22" s="1">
        <v>43556</v>
      </c>
      <c r="E22">
        <v>461</v>
      </c>
      <c r="F22" s="3">
        <v>78393.459550874803</v>
      </c>
      <c r="G22" s="12">
        <f t="shared" si="0"/>
        <v>170.05088839669153</v>
      </c>
      <c r="H22" s="12" t="str">
        <f t="shared" si="1"/>
        <v>Highest range</v>
      </c>
      <c r="I22">
        <v>0</v>
      </c>
      <c r="J22" s="2">
        <v>99.2116293079538</v>
      </c>
      <c r="K22" t="s">
        <v>22</v>
      </c>
      <c r="M22" s="19"/>
      <c r="N22" s="19"/>
      <c r="O22" s="19"/>
      <c r="P22" s="19">
        <v>951</v>
      </c>
      <c r="Q22" s="19">
        <v>521</v>
      </c>
      <c r="R22" s="19">
        <v>536</v>
      </c>
      <c r="S22" s="19">
        <v>264</v>
      </c>
    </row>
    <row r="23" spans="1:27" x14ac:dyDescent="0.2">
      <c r="A23">
        <v>4</v>
      </c>
      <c r="B23" t="s">
        <v>16</v>
      </c>
      <c r="C23" t="s">
        <v>17</v>
      </c>
      <c r="D23" s="1">
        <v>43556</v>
      </c>
      <c r="E23">
        <v>443</v>
      </c>
      <c r="F23" s="3">
        <v>16706.1360760998</v>
      </c>
      <c r="G23" s="12">
        <f t="shared" si="0"/>
        <v>37.711368117606774</v>
      </c>
      <c r="H23" s="12" t="str">
        <f t="shared" si="1"/>
        <v>Lowest range</v>
      </c>
      <c r="I23">
        <v>1</v>
      </c>
      <c r="J23" s="2">
        <v>112.080568442209</v>
      </c>
      <c r="K23" t="s">
        <v>22</v>
      </c>
      <c r="M23" s="19"/>
      <c r="N23" s="19"/>
      <c r="O23" s="19"/>
      <c r="P23" s="19">
        <v>744</v>
      </c>
      <c r="Q23" s="19">
        <v>843</v>
      </c>
      <c r="R23" s="19">
        <v>434</v>
      </c>
      <c r="S23" s="19">
        <v>1054</v>
      </c>
    </row>
    <row r="24" spans="1:27" x14ac:dyDescent="0.2">
      <c r="A24">
        <v>5</v>
      </c>
      <c r="B24" t="s">
        <v>18</v>
      </c>
      <c r="C24" t="s">
        <v>19</v>
      </c>
      <c r="D24" s="1">
        <v>43556</v>
      </c>
      <c r="E24">
        <v>655</v>
      </c>
      <c r="F24" s="3">
        <v>81932.313913534701</v>
      </c>
      <c r="G24" s="12">
        <f t="shared" si="0"/>
        <v>125.08750215806825</v>
      </c>
      <c r="H24" s="12" t="str">
        <f t="shared" si="1"/>
        <v>Higher range</v>
      </c>
      <c r="I24">
        <v>0</v>
      </c>
      <c r="J24" s="2">
        <v>74.014561877819304</v>
      </c>
      <c r="K24" t="s">
        <v>22</v>
      </c>
      <c r="M24" s="19"/>
      <c r="N24" s="19"/>
      <c r="O24" s="19"/>
      <c r="P24" s="19">
        <v>955</v>
      </c>
      <c r="Q24" s="19">
        <v>694</v>
      </c>
      <c r="R24" s="19">
        <v>1016</v>
      </c>
      <c r="S24" s="19">
        <v>379</v>
      </c>
    </row>
    <row r="25" spans="1:27" x14ac:dyDescent="0.2">
      <c r="A25">
        <v>6</v>
      </c>
      <c r="B25" t="s">
        <v>20</v>
      </c>
      <c r="C25" t="s">
        <v>21</v>
      </c>
      <c r="D25" s="1">
        <v>43556</v>
      </c>
      <c r="E25">
        <v>573</v>
      </c>
      <c r="F25" s="3">
        <v>31202.404273452801</v>
      </c>
      <c r="G25" s="12">
        <f t="shared" si="0"/>
        <v>54.454457719812915</v>
      </c>
      <c r="H25" s="12" t="str">
        <f t="shared" si="1"/>
        <v>Lowest range</v>
      </c>
      <c r="I25">
        <v>1</v>
      </c>
      <c r="J25" s="2">
        <v>119.650146622707</v>
      </c>
      <c r="K25" t="s">
        <v>22</v>
      </c>
      <c r="M25" s="19"/>
      <c r="N25" s="19"/>
      <c r="O25" s="19"/>
      <c r="P25" s="19">
        <v>1950</v>
      </c>
      <c r="Q25" s="19">
        <v>814</v>
      </c>
      <c r="R25" s="19">
        <v>786</v>
      </c>
      <c r="S25" s="19">
        <v>261</v>
      </c>
    </row>
    <row r="26" spans="1:27" x14ac:dyDescent="0.2">
      <c r="A26">
        <v>1</v>
      </c>
      <c r="B26" t="s">
        <v>9</v>
      </c>
      <c r="C26" t="s">
        <v>10</v>
      </c>
      <c r="D26" s="1">
        <v>43586</v>
      </c>
      <c r="E26">
        <v>699</v>
      </c>
      <c r="F26" s="3">
        <v>45293.625161854899</v>
      </c>
      <c r="G26" s="12">
        <f t="shared" si="0"/>
        <v>64.797747012667955</v>
      </c>
      <c r="H26" s="12" t="str">
        <f t="shared" si="1"/>
        <v>Lower range</v>
      </c>
      <c r="I26">
        <v>0</v>
      </c>
      <c r="J26" s="2">
        <v>116.755773852102</v>
      </c>
      <c r="K26" t="s">
        <v>22</v>
      </c>
      <c r="M26" s="19"/>
      <c r="N26" s="19"/>
      <c r="O26" s="19"/>
      <c r="P26" s="19">
        <v>729</v>
      </c>
      <c r="Q26" s="19">
        <v>551</v>
      </c>
      <c r="R26" s="19">
        <v>1029</v>
      </c>
      <c r="S26" s="19">
        <v>343</v>
      </c>
    </row>
    <row r="27" spans="1:27" x14ac:dyDescent="0.2">
      <c r="A27">
        <v>2</v>
      </c>
      <c r="B27" t="s">
        <v>12</v>
      </c>
      <c r="C27" t="s">
        <v>13</v>
      </c>
      <c r="D27" s="1">
        <v>43586</v>
      </c>
      <c r="E27">
        <v>636</v>
      </c>
      <c r="F27" s="3">
        <v>40486.573040627904</v>
      </c>
      <c r="G27" s="12">
        <f t="shared" si="0"/>
        <v>63.658133711679092</v>
      </c>
      <c r="H27" s="12" t="str">
        <f t="shared" si="1"/>
        <v>Lowest range</v>
      </c>
      <c r="I27">
        <v>0</v>
      </c>
      <c r="J27" s="2">
        <v>132.179063684444</v>
      </c>
      <c r="K27" t="s">
        <v>22</v>
      </c>
      <c r="M27" s="19"/>
      <c r="N27" s="19"/>
      <c r="O27" s="19"/>
      <c r="P27" s="19">
        <v>290</v>
      </c>
      <c r="Q27" s="19">
        <v>505</v>
      </c>
      <c r="R27" s="19">
        <v>642</v>
      </c>
      <c r="S27" s="19">
        <v>264</v>
      </c>
    </row>
    <row r="28" spans="1:27" x14ac:dyDescent="0.2">
      <c r="A28">
        <v>3</v>
      </c>
      <c r="B28" t="s">
        <v>14</v>
      </c>
      <c r="C28" t="s">
        <v>15</v>
      </c>
      <c r="D28" s="1">
        <v>43586</v>
      </c>
      <c r="E28">
        <v>243</v>
      </c>
      <c r="F28" s="3">
        <v>23967.93348516</v>
      </c>
      <c r="G28" s="12">
        <f t="shared" si="0"/>
        <v>98.633471132345676</v>
      </c>
      <c r="H28" s="12" t="str">
        <f t="shared" si="1"/>
        <v>Higher range</v>
      </c>
      <c r="I28">
        <v>1</v>
      </c>
      <c r="J28" s="2">
        <v>58.870253375705502</v>
      </c>
      <c r="K28" t="s">
        <v>22</v>
      </c>
      <c r="M28" s="19"/>
      <c r="N28" s="19"/>
      <c r="O28" s="19"/>
      <c r="P28" s="19">
        <v>697</v>
      </c>
      <c r="Q28" s="19">
        <v>741</v>
      </c>
      <c r="R28" s="19">
        <v>1216</v>
      </c>
      <c r="S28" s="19">
        <v>277</v>
      </c>
    </row>
    <row r="29" spans="1:27" x14ac:dyDescent="0.2">
      <c r="A29">
        <v>4</v>
      </c>
      <c r="B29" t="s">
        <v>16</v>
      </c>
      <c r="C29" t="s">
        <v>17</v>
      </c>
      <c r="D29" s="1">
        <v>43586</v>
      </c>
      <c r="E29">
        <v>478</v>
      </c>
      <c r="F29" s="3">
        <v>29295.1535516125</v>
      </c>
      <c r="G29" s="12">
        <f t="shared" si="0"/>
        <v>61.28693211634414</v>
      </c>
      <c r="H29" s="12" t="str">
        <f t="shared" si="1"/>
        <v>Lowest range</v>
      </c>
      <c r="I29">
        <v>1</v>
      </c>
      <c r="J29" s="2">
        <v>139.42172628959199</v>
      </c>
      <c r="K29" t="s">
        <v>22</v>
      </c>
      <c r="M29" s="19"/>
      <c r="N29" s="19"/>
      <c r="O29" s="19"/>
      <c r="P29" s="19">
        <v>526</v>
      </c>
      <c r="Q29" s="19">
        <v>686</v>
      </c>
      <c r="R29" s="19">
        <v>547</v>
      </c>
      <c r="S29" s="19">
        <v>161</v>
      </c>
    </row>
    <row r="30" spans="1:27" x14ac:dyDescent="0.2">
      <c r="A30">
        <v>5</v>
      </c>
      <c r="B30" t="s">
        <v>18</v>
      </c>
      <c r="C30" t="s">
        <v>19</v>
      </c>
      <c r="D30" s="1">
        <v>43586</v>
      </c>
      <c r="E30">
        <v>887</v>
      </c>
      <c r="F30" s="3">
        <v>75439.690440442602</v>
      </c>
      <c r="G30" s="12">
        <f t="shared" si="0"/>
        <v>85.050383811096509</v>
      </c>
      <c r="H30" s="12" t="str">
        <f t="shared" si="1"/>
        <v>Lower range</v>
      </c>
      <c r="I30">
        <v>0</v>
      </c>
      <c r="J30" s="2">
        <v>53.931213984109803</v>
      </c>
      <c r="K30" t="s">
        <v>22</v>
      </c>
      <c r="M30" s="19"/>
      <c r="N30" s="19"/>
      <c r="O30" s="19"/>
      <c r="P30" s="19">
        <v>938</v>
      </c>
      <c r="Q30" s="19">
        <v>1471</v>
      </c>
      <c r="R30" s="19">
        <v>1211</v>
      </c>
      <c r="S30" s="19">
        <v>166</v>
      </c>
    </row>
    <row r="31" spans="1:27" x14ac:dyDescent="0.2">
      <c r="A31">
        <v>6</v>
      </c>
      <c r="B31" t="s">
        <v>20</v>
      </c>
      <c r="C31" t="s">
        <v>21</v>
      </c>
      <c r="D31" s="1">
        <v>43586</v>
      </c>
      <c r="E31">
        <v>602</v>
      </c>
      <c r="F31" s="3">
        <v>74092.701451516506</v>
      </c>
      <c r="G31" s="12">
        <f t="shared" si="0"/>
        <v>123.07757716198755</v>
      </c>
      <c r="H31" s="12" t="str">
        <f t="shared" si="1"/>
        <v>Higher range</v>
      </c>
      <c r="I31">
        <v>0</v>
      </c>
      <c r="J31" s="2">
        <v>101.165701354726</v>
      </c>
      <c r="K31" t="s">
        <v>22</v>
      </c>
      <c r="M31" s="19"/>
      <c r="N31" s="19"/>
      <c r="O31" s="19"/>
      <c r="P31" s="19">
        <v>582</v>
      </c>
      <c r="Q31" s="19">
        <v>1683</v>
      </c>
      <c r="R31" s="19">
        <v>523</v>
      </c>
      <c r="S31" s="19">
        <v>200</v>
      </c>
    </row>
    <row r="32" spans="1:27" x14ac:dyDescent="0.2">
      <c r="A32">
        <v>1</v>
      </c>
      <c r="B32" t="s">
        <v>9</v>
      </c>
      <c r="C32" t="s">
        <v>10</v>
      </c>
      <c r="D32" s="1">
        <v>43617</v>
      </c>
      <c r="E32">
        <v>424</v>
      </c>
      <c r="F32" s="3">
        <v>28808.417075666999</v>
      </c>
      <c r="G32" s="12">
        <f t="shared" si="0"/>
        <v>67.944379895441031</v>
      </c>
      <c r="H32" s="12" t="str">
        <f t="shared" si="1"/>
        <v>Lower range</v>
      </c>
      <c r="I32">
        <v>0</v>
      </c>
      <c r="J32" s="2">
        <v>77.687764814720296</v>
      </c>
      <c r="K32" t="s">
        <v>23</v>
      </c>
      <c r="M32" s="19"/>
      <c r="N32" s="19"/>
      <c r="O32" s="19"/>
      <c r="P32" s="19">
        <v>790</v>
      </c>
      <c r="Q32" s="19">
        <v>623</v>
      </c>
      <c r="R32" s="19">
        <v>413</v>
      </c>
      <c r="S32" s="19">
        <v>533</v>
      </c>
    </row>
    <row r="33" spans="1:19" x14ac:dyDescent="0.2">
      <c r="A33">
        <v>2</v>
      </c>
      <c r="B33" t="s">
        <v>12</v>
      </c>
      <c r="C33" t="s">
        <v>13</v>
      </c>
      <c r="D33" s="1">
        <v>43617</v>
      </c>
      <c r="E33">
        <v>622</v>
      </c>
      <c r="F33" s="3">
        <v>65150.154200946097</v>
      </c>
      <c r="G33" s="12">
        <f t="shared" si="0"/>
        <v>104.7430131848008</v>
      </c>
      <c r="H33" s="12" t="str">
        <f t="shared" si="1"/>
        <v>Higher range</v>
      </c>
      <c r="I33">
        <v>0</v>
      </c>
      <c r="J33" s="2">
        <v>148.62569958668101</v>
      </c>
      <c r="K33" t="s">
        <v>23</v>
      </c>
      <c r="M33" s="19"/>
      <c r="N33" s="19"/>
      <c r="O33" s="19"/>
      <c r="P33" s="19">
        <v>440</v>
      </c>
      <c r="Q33" s="19">
        <v>1707</v>
      </c>
      <c r="R33" s="19">
        <v>1515</v>
      </c>
      <c r="S33" s="19">
        <v>374</v>
      </c>
    </row>
    <row r="34" spans="1:19" x14ac:dyDescent="0.2">
      <c r="A34">
        <v>3</v>
      </c>
      <c r="B34" t="s">
        <v>14</v>
      </c>
      <c r="C34" t="s">
        <v>15</v>
      </c>
      <c r="D34" s="1">
        <v>43617</v>
      </c>
      <c r="E34">
        <v>659</v>
      </c>
      <c r="F34" s="3">
        <v>51380.110227180601</v>
      </c>
      <c r="G34" s="12">
        <f t="shared" si="0"/>
        <v>77.966783349287709</v>
      </c>
      <c r="H34" s="12" t="str">
        <f t="shared" si="1"/>
        <v>Lower range</v>
      </c>
      <c r="I34">
        <v>1</v>
      </c>
      <c r="J34" s="2">
        <v>111.825477153029</v>
      </c>
      <c r="K34" t="s">
        <v>23</v>
      </c>
      <c r="M34" s="19"/>
      <c r="N34" s="19"/>
      <c r="O34" s="19"/>
      <c r="P34" s="19">
        <v>784</v>
      </c>
      <c r="Q34" s="19">
        <v>681</v>
      </c>
      <c r="R34" s="19">
        <v>369</v>
      </c>
      <c r="S34" s="19">
        <v>230</v>
      </c>
    </row>
    <row r="35" spans="1:19" x14ac:dyDescent="0.2">
      <c r="A35">
        <v>4</v>
      </c>
      <c r="B35" t="s">
        <v>16</v>
      </c>
      <c r="C35" t="s">
        <v>17</v>
      </c>
      <c r="D35" s="1">
        <v>43617</v>
      </c>
      <c r="E35">
        <v>374</v>
      </c>
      <c r="F35" s="3">
        <v>10000</v>
      </c>
      <c r="G35" s="12">
        <f t="shared" si="0"/>
        <v>26.737967914438503</v>
      </c>
      <c r="H35" s="12" t="str">
        <f t="shared" si="1"/>
        <v>Lowest range</v>
      </c>
      <c r="I35">
        <v>0</v>
      </c>
      <c r="J35" s="2">
        <v>56.234136251124099</v>
      </c>
      <c r="K35" t="s">
        <v>23</v>
      </c>
      <c r="M35" s="19"/>
      <c r="N35" s="19"/>
      <c r="O35" s="19"/>
      <c r="P35" s="19">
        <v>676</v>
      </c>
      <c r="Q35" s="19">
        <v>720</v>
      </c>
      <c r="R35" s="19">
        <v>396</v>
      </c>
      <c r="S35" s="19">
        <v>291</v>
      </c>
    </row>
    <row r="36" spans="1:19" x14ac:dyDescent="0.2">
      <c r="A36">
        <v>5</v>
      </c>
      <c r="B36" t="s">
        <v>18</v>
      </c>
      <c r="C36" t="s">
        <v>19</v>
      </c>
      <c r="D36" s="1">
        <v>43617</v>
      </c>
      <c r="E36">
        <v>1562</v>
      </c>
      <c r="F36" s="3">
        <v>114131.10494254</v>
      </c>
      <c r="G36" s="12">
        <f t="shared" si="0"/>
        <v>73.067288695608198</v>
      </c>
      <c r="H36" s="12" t="str">
        <f t="shared" si="1"/>
        <v>Lower range</v>
      </c>
      <c r="I36">
        <v>1</v>
      </c>
      <c r="J36" s="2">
        <v>85.414667079312494</v>
      </c>
      <c r="K36" t="s">
        <v>23</v>
      </c>
      <c r="M36" s="19"/>
      <c r="N36" s="19"/>
      <c r="O36" s="19"/>
      <c r="P36" s="19">
        <v>1245</v>
      </c>
      <c r="Q36" s="19">
        <v>813</v>
      </c>
      <c r="R36" s="19">
        <v>593</v>
      </c>
      <c r="S36" s="19">
        <v>100</v>
      </c>
    </row>
    <row r="37" spans="1:19" x14ac:dyDescent="0.2">
      <c r="A37">
        <v>6</v>
      </c>
      <c r="B37" t="s">
        <v>20</v>
      </c>
      <c r="C37" t="s">
        <v>21</v>
      </c>
      <c r="D37" s="1">
        <v>43617</v>
      </c>
      <c r="E37">
        <v>515</v>
      </c>
      <c r="F37" s="3">
        <v>32575.062377701401</v>
      </c>
      <c r="G37" s="12">
        <f t="shared" si="0"/>
        <v>63.252548306216312</v>
      </c>
      <c r="H37" s="12" t="str">
        <f t="shared" si="1"/>
        <v>Lowest range</v>
      </c>
      <c r="I37">
        <v>0</v>
      </c>
      <c r="J37" s="2">
        <v>87.728416310462194</v>
      </c>
      <c r="K37" t="s">
        <v>23</v>
      </c>
      <c r="M37" s="19"/>
      <c r="N37" s="19"/>
      <c r="O37" s="19"/>
      <c r="P37" s="19">
        <v>737</v>
      </c>
      <c r="Q37" s="19">
        <v>443</v>
      </c>
      <c r="R37" s="19">
        <v>557</v>
      </c>
      <c r="S37" s="19">
        <v>188</v>
      </c>
    </row>
    <row r="38" spans="1:19" x14ac:dyDescent="0.2">
      <c r="A38">
        <v>1</v>
      </c>
      <c r="B38" t="s">
        <v>9</v>
      </c>
      <c r="C38" t="s">
        <v>10</v>
      </c>
      <c r="D38" s="1">
        <v>43647</v>
      </c>
      <c r="E38">
        <v>454</v>
      </c>
      <c r="F38" s="3">
        <v>37068.542315149403</v>
      </c>
      <c r="G38" s="12">
        <f t="shared" si="0"/>
        <v>81.648771619271812</v>
      </c>
      <c r="H38" s="12" t="str">
        <f t="shared" si="1"/>
        <v>Lower range</v>
      </c>
      <c r="I38">
        <v>1</v>
      </c>
      <c r="J38" s="2">
        <v>73.321641154980099</v>
      </c>
      <c r="K38" t="s">
        <v>23</v>
      </c>
      <c r="M38" s="19"/>
      <c r="N38" s="19"/>
      <c r="O38" s="19"/>
      <c r="P38" s="19">
        <v>598</v>
      </c>
      <c r="Q38" s="19">
        <v>635</v>
      </c>
      <c r="R38" s="19">
        <v>1204</v>
      </c>
      <c r="S38" s="19">
        <v>167</v>
      </c>
    </row>
    <row r="39" spans="1:19" x14ac:dyDescent="0.2">
      <c r="A39">
        <v>2</v>
      </c>
      <c r="B39" t="s">
        <v>12</v>
      </c>
      <c r="C39" t="s">
        <v>13</v>
      </c>
      <c r="D39" s="1">
        <v>43647</v>
      </c>
      <c r="E39">
        <v>283</v>
      </c>
      <c r="F39" s="3">
        <v>43004.324780862902</v>
      </c>
      <c r="G39" s="12">
        <f t="shared" si="0"/>
        <v>151.95874480870285</v>
      </c>
      <c r="H39" s="12" t="str">
        <f t="shared" si="1"/>
        <v>Highest range</v>
      </c>
      <c r="I39">
        <v>1</v>
      </c>
      <c r="J39" s="2">
        <v>128.917123860733</v>
      </c>
      <c r="K39" t="s">
        <v>23</v>
      </c>
      <c r="M39" s="19"/>
      <c r="N39" s="19"/>
      <c r="O39" s="19"/>
      <c r="P39" s="19">
        <v>1358</v>
      </c>
      <c r="Q39" s="19">
        <v>588</v>
      </c>
      <c r="R39" s="19">
        <v>581</v>
      </c>
      <c r="S39" s="19">
        <v>423</v>
      </c>
    </row>
    <row r="40" spans="1:19" x14ac:dyDescent="0.2">
      <c r="A40">
        <v>3</v>
      </c>
      <c r="B40" t="s">
        <v>14</v>
      </c>
      <c r="C40" t="s">
        <v>15</v>
      </c>
      <c r="D40" s="1">
        <v>43647</v>
      </c>
      <c r="E40">
        <v>100</v>
      </c>
      <c r="F40" s="3">
        <v>32520.517610298</v>
      </c>
      <c r="G40" s="12">
        <f t="shared" si="0"/>
        <v>325.20517610297998</v>
      </c>
      <c r="H40" s="12" t="str">
        <f t="shared" si="1"/>
        <v>Highest range</v>
      </c>
      <c r="I40">
        <v>0</v>
      </c>
      <c r="J40" s="2">
        <v>123.682247539491</v>
      </c>
      <c r="K40" t="s">
        <v>23</v>
      </c>
      <c r="M40" s="19"/>
      <c r="N40" s="19"/>
      <c r="O40" s="19"/>
      <c r="P40" s="19">
        <v>904</v>
      </c>
      <c r="Q40" s="19">
        <v>933</v>
      </c>
      <c r="R40" s="19">
        <v>466</v>
      </c>
      <c r="S40" s="19">
        <v>100</v>
      </c>
    </row>
    <row r="41" spans="1:19" x14ac:dyDescent="0.2">
      <c r="A41">
        <v>4</v>
      </c>
      <c r="B41" t="s">
        <v>16</v>
      </c>
      <c r="C41" t="s">
        <v>17</v>
      </c>
      <c r="D41" s="1">
        <v>43647</v>
      </c>
      <c r="E41">
        <v>499</v>
      </c>
      <c r="F41" s="3">
        <v>91689.544610831203</v>
      </c>
      <c r="G41" s="12">
        <f t="shared" si="0"/>
        <v>183.74658238643528</v>
      </c>
      <c r="H41" s="12" t="str">
        <f t="shared" si="1"/>
        <v>Highest range</v>
      </c>
      <c r="I41">
        <v>1</v>
      </c>
      <c r="J41" s="2">
        <v>62.758030279556301</v>
      </c>
      <c r="K41" t="s">
        <v>23</v>
      </c>
      <c r="M41" s="19"/>
      <c r="N41" s="19"/>
      <c r="O41" s="19"/>
      <c r="P41" s="19">
        <v>473</v>
      </c>
      <c r="Q41" s="19">
        <v>601</v>
      </c>
      <c r="R41" s="19">
        <v>438</v>
      </c>
      <c r="S41" s="19">
        <v>529</v>
      </c>
    </row>
    <row r="42" spans="1:19" x14ac:dyDescent="0.2">
      <c r="A42">
        <v>5</v>
      </c>
      <c r="B42" t="s">
        <v>18</v>
      </c>
      <c r="C42" t="s">
        <v>19</v>
      </c>
      <c r="D42" s="1">
        <v>43647</v>
      </c>
      <c r="E42">
        <v>1481</v>
      </c>
      <c r="F42" s="3">
        <v>78516.008071069897</v>
      </c>
      <c r="G42" s="12">
        <f t="shared" si="0"/>
        <v>53.015535497008706</v>
      </c>
      <c r="H42" s="12" t="str">
        <f t="shared" si="1"/>
        <v>Lowest range</v>
      </c>
      <c r="I42">
        <v>1</v>
      </c>
      <c r="J42" s="2">
        <v>107.077830466891</v>
      </c>
      <c r="K42" t="s">
        <v>23</v>
      </c>
      <c r="M42" s="19"/>
      <c r="N42" s="19"/>
      <c r="O42" s="19"/>
      <c r="P42" s="19">
        <v>825</v>
      </c>
      <c r="Q42" s="19">
        <v>743</v>
      </c>
      <c r="R42" s="19">
        <v>535</v>
      </c>
      <c r="S42" s="19">
        <v>258</v>
      </c>
    </row>
    <row r="43" spans="1:19" x14ac:dyDescent="0.2">
      <c r="A43">
        <v>6</v>
      </c>
      <c r="B43" t="s">
        <v>20</v>
      </c>
      <c r="C43" t="s">
        <v>21</v>
      </c>
      <c r="D43" s="1">
        <v>43647</v>
      </c>
      <c r="E43">
        <v>220</v>
      </c>
      <c r="F43" s="3">
        <v>61259.384733811399</v>
      </c>
      <c r="G43" s="12">
        <f t="shared" si="0"/>
        <v>278.45174879005179</v>
      </c>
      <c r="H43" s="12" t="str">
        <f t="shared" si="1"/>
        <v>Highest range</v>
      </c>
      <c r="I43">
        <v>1</v>
      </c>
      <c r="J43" s="2">
        <v>72.533279771252793</v>
      </c>
      <c r="K43" t="s">
        <v>23</v>
      </c>
      <c r="M43" s="19"/>
      <c r="N43" s="19"/>
      <c r="O43" s="19"/>
      <c r="P43" s="19">
        <v>409</v>
      </c>
      <c r="Q43" s="19">
        <v>1287</v>
      </c>
      <c r="R43" s="19">
        <v>592</v>
      </c>
      <c r="S43" s="19">
        <v>193</v>
      </c>
    </row>
    <row r="44" spans="1:19" x14ac:dyDescent="0.2">
      <c r="A44">
        <v>1</v>
      </c>
      <c r="B44" t="s">
        <v>9</v>
      </c>
      <c r="C44" t="s">
        <v>10</v>
      </c>
      <c r="D44" s="1">
        <v>43678</v>
      </c>
      <c r="E44">
        <v>458</v>
      </c>
      <c r="F44" s="3">
        <v>10000</v>
      </c>
      <c r="G44" s="12">
        <f t="shared" si="0"/>
        <v>21.834061135371179</v>
      </c>
      <c r="H44" s="12" t="str">
        <f t="shared" si="1"/>
        <v>Lowest range</v>
      </c>
      <c r="I44">
        <v>1</v>
      </c>
      <c r="J44" s="2">
        <v>68.656702405130503</v>
      </c>
      <c r="K44" t="s">
        <v>23</v>
      </c>
      <c r="M44" s="19"/>
      <c r="N44" s="19"/>
      <c r="O44" s="19"/>
      <c r="P44" s="19">
        <v>856</v>
      </c>
      <c r="Q44" s="19">
        <v>343</v>
      </c>
      <c r="R44" s="19">
        <v>451</v>
      </c>
      <c r="S44" s="19">
        <v>482</v>
      </c>
    </row>
    <row r="45" spans="1:19" x14ac:dyDescent="0.2">
      <c r="A45">
        <v>2</v>
      </c>
      <c r="B45" t="s">
        <v>12</v>
      </c>
      <c r="C45" t="s">
        <v>13</v>
      </c>
      <c r="D45" s="1">
        <v>43678</v>
      </c>
      <c r="E45">
        <v>334</v>
      </c>
      <c r="F45" s="3">
        <v>39096.616013363098</v>
      </c>
      <c r="G45" s="12">
        <f t="shared" si="0"/>
        <v>117.05573656695539</v>
      </c>
      <c r="H45" s="12" t="str">
        <f t="shared" si="1"/>
        <v>Higher range</v>
      </c>
      <c r="I45">
        <v>0</v>
      </c>
      <c r="J45" s="2">
        <v>134.23140352981801</v>
      </c>
      <c r="K45" t="s">
        <v>23</v>
      </c>
      <c r="M45" s="19"/>
      <c r="N45" s="19"/>
      <c r="O45" s="19"/>
      <c r="P45" s="19">
        <v>837</v>
      </c>
      <c r="Q45" s="19">
        <v>753</v>
      </c>
      <c r="R45" s="19">
        <v>580</v>
      </c>
      <c r="S45" s="19">
        <v>100</v>
      </c>
    </row>
    <row r="46" spans="1:19" x14ac:dyDescent="0.2">
      <c r="A46">
        <v>3</v>
      </c>
      <c r="B46" t="s">
        <v>14</v>
      </c>
      <c r="C46" t="s">
        <v>15</v>
      </c>
      <c r="D46" s="1">
        <v>43678</v>
      </c>
      <c r="E46">
        <v>534</v>
      </c>
      <c r="F46" s="3">
        <v>68157.438944848502</v>
      </c>
      <c r="G46" s="12">
        <f t="shared" si="0"/>
        <v>127.63565345477248</v>
      </c>
      <c r="H46" s="12" t="str">
        <f t="shared" si="1"/>
        <v>Higher range</v>
      </c>
      <c r="I46">
        <v>0</v>
      </c>
      <c r="J46" s="2">
        <v>136.55071258939799</v>
      </c>
      <c r="K46" t="s">
        <v>23</v>
      </c>
      <c r="M46" s="19"/>
      <c r="N46" s="19"/>
      <c r="O46" s="19"/>
      <c r="P46" s="19">
        <v>601</v>
      </c>
      <c r="Q46" s="19">
        <v>763</v>
      </c>
      <c r="R46" s="19">
        <v>1058</v>
      </c>
      <c r="S46" s="19">
        <v>318</v>
      </c>
    </row>
    <row r="47" spans="1:19" x14ac:dyDescent="0.2">
      <c r="A47">
        <v>4</v>
      </c>
      <c r="B47" t="s">
        <v>16</v>
      </c>
      <c r="C47" t="s">
        <v>17</v>
      </c>
      <c r="D47" s="1">
        <v>43678</v>
      </c>
      <c r="E47">
        <v>384</v>
      </c>
      <c r="F47" s="3">
        <v>65107.824516515102</v>
      </c>
      <c r="G47" s="12">
        <f t="shared" si="0"/>
        <v>169.55162634509142</v>
      </c>
      <c r="H47" s="12" t="str">
        <f t="shared" si="1"/>
        <v>Highest range</v>
      </c>
      <c r="I47">
        <v>1</v>
      </c>
      <c r="J47" s="2">
        <v>122.289609662177</v>
      </c>
      <c r="K47" t="s">
        <v>23</v>
      </c>
      <c r="M47" s="19"/>
      <c r="N47" s="19"/>
      <c r="O47" s="19"/>
      <c r="P47" s="19">
        <v>1292</v>
      </c>
      <c r="Q47" s="19">
        <v>900</v>
      </c>
      <c r="R47" s="19">
        <v>509</v>
      </c>
      <c r="S47" s="19">
        <v>314</v>
      </c>
    </row>
    <row r="48" spans="1:19" x14ac:dyDescent="0.2">
      <c r="A48">
        <v>5</v>
      </c>
      <c r="B48" t="s">
        <v>18</v>
      </c>
      <c r="C48" t="s">
        <v>19</v>
      </c>
      <c r="D48" s="1">
        <v>43678</v>
      </c>
      <c r="E48">
        <v>1914</v>
      </c>
      <c r="F48" s="3">
        <v>124954.545283157</v>
      </c>
      <c r="G48" s="12">
        <f t="shared" si="0"/>
        <v>65.284506417532398</v>
      </c>
      <c r="H48" s="12" t="str">
        <f t="shared" si="1"/>
        <v>Lower range</v>
      </c>
      <c r="I48">
        <v>1</v>
      </c>
      <c r="J48" s="2">
        <v>70.507756014945898</v>
      </c>
      <c r="K48" t="s">
        <v>23</v>
      </c>
      <c r="M48" s="19"/>
      <c r="N48" s="19"/>
      <c r="O48" s="19"/>
      <c r="P48" s="19">
        <v>729</v>
      </c>
      <c r="Q48" s="19">
        <v>828</v>
      </c>
      <c r="R48" s="19">
        <v>610</v>
      </c>
      <c r="S48" s="19">
        <v>431</v>
      </c>
    </row>
    <row r="49" spans="1:19" x14ac:dyDescent="0.2">
      <c r="A49">
        <v>6</v>
      </c>
      <c r="B49" t="s">
        <v>20</v>
      </c>
      <c r="C49" t="s">
        <v>21</v>
      </c>
      <c r="D49" s="1">
        <v>43678</v>
      </c>
      <c r="E49">
        <v>608</v>
      </c>
      <c r="F49" s="3">
        <v>62811.640138982999</v>
      </c>
      <c r="G49" s="12">
        <f t="shared" si="0"/>
        <v>103.30861864964309</v>
      </c>
      <c r="H49" s="12" t="str">
        <f t="shared" si="1"/>
        <v>Higher range</v>
      </c>
      <c r="I49">
        <v>1</v>
      </c>
      <c r="J49" s="2">
        <v>61.483682473920297</v>
      </c>
      <c r="K49" t="s">
        <v>23</v>
      </c>
      <c r="M49" s="19"/>
      <c r="N49" s="19"/>
      <c r="O49" s="19"/>
      <c r="P49" s="19">
        <v>325</v>
      </c>
      <c r="Q49" s="19">
        <v>1120</v>
      </c>
      <c r="R49" s="19">
        <v>1422</v>
      </c>
      <c r="S49" s="19">
        <v>214</v>
      </c>
    </row>
    <row r="50" spans="1:19" x14ac:dyDescent="0.2">
      <c r="A50">
        <v>1</v>
      </c>
      <c r="B50" t="s">
        <v>9</v>
      </c>
      <c r="C50" t="s">
        <v>10</v>
      </c>
      <c r="D50" s="1">
        <v>43709</v>
      </c>
      <c r="E50">
        <v>337</v>
      </c>
      <c r="F50" s="3">
        <v>19514.189336600099</v>
      </c>
      <c r="G50" s="12">
        <f t="shared" si="0"/>
        <v>57.905606340059641</v>
      </c>
      <c r="H50" s="12" t="str">
        <f t="shared" si="1"/>
        <v>Lowest range</v>
      </c>
      <c r="I50">
        <v>0</v>
      </c>
      <c r="J50" s="2">
        <v>100.610395635934</v>
      </c>
      <c r="K50" t="s">
        <v>24</v>
      </c>
      <c r="M50" s="19"/>
      <c r="N50" s="19"/>
      <c r="O50" s="19"/>
      <c r="P50" s="19">
        <v>1775</v>
      </c>
      <c r="Q50" s="19">
        <v>564</v>
      </c>
      <c r="R50" s="19">
        <v>293</v>
      </c>
      <c r="S50" s="19">
        <v>351</v>
      </c>
    </row>
    <row r="51" spans="1:19" x14ac:dyDescent="0.2">
      <c r="A51">
        <v>2</v>
      </c>
      <c r="B51" t="s">
        <v>12</v>
      </c>
      <c r="C51" t="s">
        <v>13</v>
      </c>
      <c r="D51" s="1">
        <v>43709</v>
      </c>
      <c r="E51">
        <v>659</v>
      </c>
      <c r="F51" s="3">
        <v>46040.740625973602</v>
      </c>
      <c r="G51" s="12">
        <f t="shared" si="0"/>
        <v>69.864553301932631</v>
      </c>
      <c r="H51" s="12" t="str">
        <f t="shared" si="1"/>
        <v>Lower range</v>
      </c>
      <c r="I51">
        <v>0</v>
      </c>
      <c r="J51" s="2">
        <v>55.182353682242599</v>
      </c>
      <c r="K51" t="s">
        <v>24</v>
      </c>
      <c r="M51" s="19"/>
      <c r="N51" s="19"/>
      <c r="O51" s="19"/>
      <c r="P51" s="19">
        <v>595</v>
      </c>
      <c r="Q51" s="19">
        <v>460</v>
      </c>
      <c r="R51" s="19">
        <v>425</v>
      </c>
      <c r="S51" s="19">
        <v>209</v>
      </c>
    </row>
    <row r="52" spans="1:19" x14ac:dyDescent="0.2">
      <c r="A52">
        <v>3</v>
      </c>
      <c r="B52" t="s">
        <v>14</v>
      </c>
      <c r="C52" t="s">
        <v>15</v>
      </c>
      <c r="D52" s="1">
        <v>43709</v>
      </c>
      <c r="E52">
        <v>595</v>
      </c>
      <c r="F52" s="3">
        <v>32791.732694320897</v>
      </c>
      <c r="G52" s="12">
        <f t="shared" si="0"/>
        <v>55.112155788774615</v>
      </c>
      <c r="H52" s="12" t="str">
        <f t="shared" si="1"/>
        <v>Lowest range</v>
      </c>
      <c r="I52">
        <v>0</v>
      </c>
      <c r="J52" s="2">
        <v>104.892197988897</v>
      </c>
      <c r="K52" t="s">
        <v>24</v>
      </c>
      <c r="M52" s="19"/>
      <c r="N52" s="19"/>
      <c r="O52" s="19"/>
      <c r="P52" s="19">
        <v>746</v>
      </c>
      <c r="Q52" s="19">
        <v>915</v>
      </c>
      <c r="R52" s="19">
        <v>629</v>
      </c>
      <c r="S52" s="19">
        <v>443</v>
      </c>
    </row>
    <row r="53" spans="1:19" x14ac:dyDescent="0.2">
      <c r="A53">
        <v>4</v>
      </c>
      <c r="B53" t="s">
        <v>16</v>
      </c>
      <c r="C53" t="s">
        <v>17</v>
      </c>
      <c r="D53" s="1">
        <v>43709</v>
      </c>
      <c r="E53">
        <v>423</v>
      </c>
      <c r="F53" s="3">
        <v>62532.3213506596</v>
      </c>
      <c r="G53" s="12">
        <f t="shared" si="0"/>
        <v>147.83054692827329</v>
      </c>
      <c r="H53" s="12" t="str">
        <f t="shared" si="1"/>
        <v>Highest range</v>
      </c>
      <c r="I53">
        <v>1</v>
      </c>
      <c r="J53" s="2">
        <v>75.464065476376305</v>
      </c>
      <c r="K53" t="s">
        <v>24</v>
      </c>
      <c r="M53" s="19"/>
      <c r="N53" s="19"/>
      <c r="O53" s="19"/>
      <c r="P53" s="19">
        <v>1741</v>
      </c>
      <c r="Q53" s="19">
        <v>683</v>
      </c>
      <c r="R53" s="19">
        <v>651</v>
      </c>
      <c r="S53" s="19">
        <v>404</v>
      </c>
    </row>
    <row r="54" spans="1:19" x14ac:dyDescent="0.2">
      <c r="A54">
        <v>5</v>
      </c>
      <c r="B54" t="s">
        <v>18</v>
      </c>
      <c r="C54" t="s">
        <v>19</v>
      </c>
      <c r="D54" s="1">
        <v>43709</v>
      </c>
      <c r="E54">
        <v>1649</v>
      </c>
      <c r="F54" s="3">
        <v>133189.87314485299</v>
      </c>
      <c r="G54" s="12">
        <f t="shared" si="0"/>
        <v>80.770086807066704</v>
      </c>
      <c r="H54" s="12" t="str">
        <f t="shared" si="1"/>
        <v>Lower range</v>
      </c>
      <c r="I54">
        <v>0</v>
      </c>
      <c r="J54" s="2">
        <v>129.42894499664601</v>
      </c>
      <c r="K54" t="s">
        <v>24</v>
      </c>
      <c r="M54" s="19"/>
      <c r="N54" s="19"/>
      <c r="O54" s="19"/>
      <c r="P54" s="19">
        <v>473</v>
      </c>
      <c r="Q54" s="19">
        <v>1179</v>
      </c>
      <c r="R54" s="19">
        <v>368</v>
      </c>
      <c r="S54" s="19">
        <v>197</v>
      </c>
    </row>
    <row r="55" spans="1:19" x14ac:dyDescent="0.2">
      <c r="A55">
        <v>6</v>
      </c>
      <c r="B55" t="s">
        <v>20</v>
      </c>
      <c r="C55" t="s">
        <v>21</v>
      </c>
      <c r="D55" s="1">
        <v>43709</v>
      </c>
      <c r="E55">
        <v>388</v>
      </c>
      <c r="F55" s="3">
        <v>80100.502293216399</v>
      </c>
      <c r="G55" s="12">
        <f t="shared" si="0"/>
        <v>206.44459353921752</v>
      </c>
      <c r="H55" s="12" t="str">
        <f t="shared" si="1"/>
        <v>Highest range</v>
      </c>
      <c r="I55">
        <v>0</v>
      </c>
      <c r="J55" s="2">
        <v>123.086747520364</v>
      </c>
      <c r="K55" t="s">
        <v>24</v>
      </c>
      <c r="M55" s="19"/>
      <c r="N55" s="19"/>
      <c r="O55" s="19"/>
      <c r="P55" s="19">
        <v>538</v>
      </c>
      <c r="Q55" s="19"/>
      <c r="R55" s="19">
        <v>461</v>
      </c>
      <c r="S55" s="19">
        <v>100</v>
      </c>
    </row>
    <row r="56" spans="1:19" x14ac:dyDescent="0.2">
      <c r="A56">
        <v>1</v>
      </c>
      <c r="B56" t="s">
        <v>9</v>
      </c>
      <c r="C56" t="s">
        <v>10</v>
      </c>
      <c r="D56" s="1">
        <v>43739</v>
      </c>
      <c r="E56">
        <v>517</v>
      </c>
      <c r="F56" s="3">
        <v>46886.455292158404</v>
      </c>
      <c r="G56" s="12">
        <f t="shared" si="0"/>
        <v>90.689468650209676</v>
      </c>
      <c r="H56" s="12" t="str">
        <f t="shared" si="1"/>
        <v>Lower range</v>
      </c>
      <c r="I56">
        <v>1</v>
      </c>
      <c r="J56" s="2">
        <v>54.8094643964087</v>
      </c>
      <c r="K56" t="s">
        <v>24</v>
      </c>
      <c r="M56" s="19"/>
      <c r="N56" s="19"/>
      <c r="O56" s="19"/>
      <c r="P56" s="19"/>
      <c r="Q56" s="19"/>
      <c r="R56" s="19"/>
      <c r="S56" s="19">
        <v>312</v>
      </c>
    </row>
    <row r="57" spans="1:19" x14ac:dyDescent="0.2">
      <c r="A57">
        <v>2</v>
      </c>
      <c r="B57" t="s">
        <v>12</v>
      </c>
      <c r="C57" t="s">
        <v>13</v>
      </c>
      <c r="D57" s="1">
        <v>43739</v>
      </c>
      <c r="E57">
        <v>615</v>
      </c>
      <c r="F57" s="3">
        <v>59945.835556615501</v>
      </c>
      <c r="G57" s="12">
        <f t="shared" si="0"/>
        <v>97.472903344090241</v>
      </c>
      <c r="H57" s="12" t="str">
        <f t="shared" si="1"/>
        <v>Higher range</v>
      </c>
      <c r="I57">
        <v>0</v>
      </c>
      <c r="J57" s="2">
        <v>70.162732004774398</v>
      </c>
      <c r="K57" t="s">
        <v>24</v>
      </c>
    </row>
    <row r="58" spans="1:19" x14ac:dyDescent="0.2">
      <c r="A58">
        <v>3</v>
      </c>
      <c r="B58" t="s">
        <v>14</v>
      </c>
      <c r="C58" t="s">
        <v>15</v>
      </c>
      <c r="D58" s="1">
        <v>43739</v>
      </c>
      <c r="E58">
        <v>436</v>
      </c>
      <c r="F58" s="3">
        <v>43618.859578673102</v>
      </c>
      <c r="G58" s="12">
        <f t="shared" si="0"/>
        <v>100.04325591438784</v>
      </c>
      <c r="H58" s="12" t="str">
        <f t="shared" si="1"/>
        <v>Higher range</v>
      </c>
      <c r="I58">
        <v>0</v>
      </c>
      <c r="J58" s="2">
        <v>73.569174606499899</v>
      </c>
      <c r="K58" t="s">
        <v>24</v>
      </c>
    </row>
    <row r="59" spans="1:19" x14ac:dyDescent="0.2">
      <c r="A59">
        <v>4</v>
      </c>
      <c r="B59" t="s">
        <v>16</v>
      </c>
      <c r="C59" t="s">
        <v>17</v>
      </c>
      <c r="D59" s="1">
        <v>43739</v>
      </c>
      <c r="E59">
        <v>648</v>
      </c>
      <c r="F59" s="3">
        <v>54869.130213997698</v>
      </c>
      <c r="G59" s="12">
        <f t="shared" si="0"/>
        <v>84.674583663576698</v>
      </c>
      <c r="H59" s="12" t="str">
        <f t="shared" si="1"/>
        <v>Lower range</v>
      </c>
      <c r="I59">
        <v>0</v>
      </c>
      <c r="J59" s="2">
        <v>137.72005408131</v>
      </c>
      <c r="K59" t="s">
        <v>24</v>
      </c>
    </row>
    <row r="60" spans="1:19" x14ac:dyDescent="0.2">
      <c r="A60">
        <v>5</v>
      </c>
      <c r="B60" t="s">
        <v>18</v>
      </c>
      <c r="C60" t="s">
        <v>19</v>
      </c>
      <c r="D60" s="1">
        <v>43739</v>
      </c>
      <c r="E60">
        <v>1394</v>
      </c>
      <c r="F60" s="3">
        <v>123813.328808686</v>
      </c>
      <c r="G60" s="12">
        <f t="shared" si="0"/>
        <v>88.818743765197993</v>
      </c>
      <c r="H60" s="12" t="str">
        <f t="shared" si="1"/>
        <v>Lower range</v>
      </c>
      <c r="I60">
        <v>0</v>
      </c>
      <c r="J60" s="2">
        <v>80.137787416414199</v>
      </c>
      <c r="K60" t="s">
        <v>24</v>
      </c>
    </row>
    <row r="61" spans="1:19" x14ac:dyDescent="0.2">
      <c r="A61">
        <v>6</v>
      </c>
      <c r="B61" t="s">
        <v>20</v>
      </c>
      <c r="C61" t="s">
        <v>21</v>
      </c>
      <c r="D61" s="1">
        <v>43739</v>
      </c>
      <c r="E61">
        <v>559</v>
      </c>
      <c r="F61" s="3">
        <v>50368.367583790998</v>
      </c>
      <c r="G61" s="12">
        <f t="shared" si="0"/>
        <v>90.104414282273694</v>
      </c>
      <c r="H61" s="12" t="str">
        <f t="shared" si="1"/>
        <v>Lower range</v>
      </c>
      <c r="I61">
        <v>0</v>
      </c>
      <c r="J61" s="2">
        <v>85.536245181839504</v>
      </c>
      <c r="K61" t="s">
        <v>24</v>
      </c>
    </row>
    <row r="62" spans="1:19" x14ac:dyDescent="0.2">
      <c r="A62">
        <v>1</v>
      </c>
      <c r="B62" t="s">
        <v>9</v>
      </c>
      <c r="C62" t="s">
        <v>10</v>
      </c>
      <c r="D62" s="1">
        <v>43770</v>
      </c>
      <c r="E62">
        <v>835</v>
      </c>
      <c r="F62" s="3">
        <v>63736.635810852902</v>
      </c>
      <c r="G62" s="12">
        <f t="shared" si="0"/>
        <v>76.331300372278918</v>
      </c>
      <c r="H62" s="12" t="str">
        <f t="shared" si="1"/>
        <v>Lower range</v>
      </c>
      <c r="I62">
        <v>0</v>
      </c>
      <c r="J62" s="2">
        <v>140.64721109645399</v>
      </c>
      <c r="K62" t="s">
        <v>24</v>
      </c>
    </row>
    <row r="63" spans="1:19" x14ac:dyDescent="0.2">
      <c r="A63">
        <v>2</v>
      </c>
      <c r="B63" t="s">
        <v>12</v>
      </c>
      <c r="C63" t="s">
        <v>13</v>
      </c>
      <c r="D63" s="1">
        <v>43770</v>
      </c>
      <c r="E63">
        <v>100</v>
      </c>
      <c r="F63" s="3">
        <v>32303.681161640299</v>
      </c>
      <c r="G63" s="12">
        <f t="shared" si="0"/>
        <v>323.03681161640299</v>
      </c>
      <c r="H63" s="12" t="str">
        <f t="shared" si="1"/>
        <v>Highest range</v>
      </c>
      <c r="I63">
        <v>1</v>
      </c>
      <c r="J63" s="2">
        <v>83.281578591248405</v>
      </c>
      <c r="K63" t="s">
        <v>24</v>
      </c>
    </row>
    <row r="64" spans="1:19" x14ac:dyDescent="0.2">
      <c r="A64">
        <v>3</v>
      </c>
      <c r="B64" t="s">
        <v>14</v>
      </c>
      <c r="C64" t="s">
        <v>15</v>
      </c>
      <c r="D64" s="1">
        <v>43770</v>
      </c>
      <c r="E64">
        <v>557</v>
      </c>
      <c r="F64" s="3">
        <v>68323.425312092397</v>
      </c>
      <c r="G64" s="12">
        <f t="shared" si="0"/>
        <v>122.66324113481579</v>
      </c>
      <c r="H64" s="12" t="str">
        <f t="shared" si="1"/>
        <v>Higher range</v>
      </c>
      <c r="I64">
        <v>1</v>
      </c>
      <c r="J64" s="2">
        <v>129.40251892702901</v>
      </c>
      <c r="K64" t="s">
        <v>24</v>
      </c>
    </row>
    <row r="65" spans="1:11" x14ac:dyDescent="0.2">
      <c r="A65">
        <v>4</v>
      </c>
      <c r="B65" t="s">
        <v>16</v>
      </c>
      <c r="C65" t="s">
        <v>17</v>
      </c>
      <c r="D65" s="1">
        <v>43770</v>
      </c>
      <c r="E65">
        <v>718</v>
      </c>
      <c r="F65" s="3">
        <v>62655.6373221256</v>
      </c>
      <c r="G65" s="12">
        <f t="shared" si="0"/>
        <v>87.264118833044009</v>
      </c>
      <c r="H65" s="12" t="str">
        <f t="shared" si="1"/>
        <v>Lower range</v>
      </c>
      <c r="I65">
        <v>0</v>
      </c>
      <c r="J65" s="2">
        <v>107.31508492573801</v>
      </c>
      <c r="K65" t="s">
        <v>24</v>
      </c>
    </row>
    <row r="66" spans="1:11" x14ac:dyDescent="0.2">
      <c r="A66">
        <v>5</v>
      </c>
      <c r="B66" t="s">
        <v>18</v>
      </c>
      <c r="C66" t="s">
        <v>19</v>
      </c>
      <c r="D66" s="1">
        <v>43770</v>
      </c>
      <c r="E66">
        <v>1681</v>
      </c>
      <c r="F66" s="3">
        <v>129102.33333741099</v>
      </c>
      <c r="G66" s="12">
        <f t="shared" si="0"/>
        <v>76.800912157888746</v>
      </c>
      <c r="H66" s="12" t="str">
        <f t="shared" si="1"/>
        <v>Lower range</v>
      </c>
      <c r="I66">
        <v>1</v>
      </c>
      <c r="J66" s="2">
        <v>70.454459316946298</v>
      </c>
      <c r="K66" t="s">
        <v>24</v>
      </c>
    </row>
    <row r="67" spans="1:11" x14ac:dyDescent="0.2">
      <c r="A67">
        <v>6</v>
      </c>
      <c r="B67" t="s">
        <v>20</v>
      </c>
      <c r="C67" t="s">
        <v>21</v>
      </c>
      <c r="D67" s="1">
        <v>43770</v>
      </c>
      <c r="E67">
        <v>636</v>
      </c>
      <c r="F67" s="3">
        <v>86818.861398744106</v>
      </c>
      <c r="G67" s="12">
        <f t="shared" ref="G67:G130" si="2">F67/E67</f>
        <v>136.50764370871715</v>
      </c>
      <c r="H67" s="12" t="str">
        <f t="shared" ref="H67:H130" si="3">IF(G67&lt;=64, "Lowest range",
   IF(AND(G67&gt;64, G67&lt;=91), "Lower range",
      IF(AND(G67&gt;91, G67&lt;=137), "Higher range",
         IF(G67&gt;137, "Highest range", "Not categorised"))))</f>
        <v>Higher range</v>
      </c>
      <c r="I67">
        <v>1</v>
      </c>
      <c r="J67" s="2">
        <v>84.2081748715907</v>
      </c>
      <c r="K67" t="s">
        <v>24</v>
      </c>
    </row>
    <row r="68" spans="1:11" x14ac:dyDescent="0.2">
      <c r="A68">
        <v>1</v>
      </c>
      <c r="B68" t="s">
        <v>9</v>
      </c>
      <c r="C68" t="s">
        <v>10</v>
      </c>
      <c r="D68" s="1">
        <v>43800</v>
      </c>
      <c r="E68">
        <v>757</v>
      </c>
      <c r="F68" s="3">
        <v>41107.248835087099</v>
      </c>
      <c r="G68" s="12">
        <f t="shared" si="2"/>
        <v>54.30283861966592</v>
      </c>
      <c r="H68" s="12" t="str">
        <f t="shared" si="3"/>
        <v>Lowest range</v>
      </c>
      <c r="I68">
        <v>0</v>
      </c>
      <c r="J68" s="2">
        <v>98.635748199560695</v>
      </c>
      <c r="K68" t="s">
        <v>11</v>
      </c>
    </row>
    <row r="69" spans="1:11" x14ac:dyDescent="0.2">
      <c r="A69">
        <v>2</v>
      </c>
      <c r="B69" t="s">
        <v>12</v>
      </c>
      <c r="C69" t="s">
        <v>13</v>
      </c>
      <c r="D69" s="1">
        <v>43800</v>
      </c>
      <c r="E69">
        <v>782</v>
      </c>
      <c r="F69" s="3">
        <v>40528.224380457803</v>
      </c>
      <c r="G69" s="12">
        <f t="shared" si="2"/>
        <v>51.826373888053453</v>
      </c>
      <c r="H69" s="12" t="str">
        <f t="shared" si="3"/>
        <v>Lowest range</v>
      </c>
      <c r="I69">
        <v>0</v>
      </c>
      <c r="J69" s="2">
        <v>114.11476328852901</v>
      </c>
      <c r="K69" t="s">
        <v>11</v>
      </c>
    </row>
    <row r="70" spans="1:11" x14ac:dyDescent="0.2">
      <c r="A70">
        <v>3</v>
      </c>
      <c r="B70" t="s">
        <v>14</v>
      </c>
      <c r="C70" t="s">
        <v>15</v>
      </c>
      <c r="D70" s="1">
        <v>43800</v>
      </c>
      <c r="E70">
        <v>582</v>
      </c>
      <c r="F70" s="3">
        <v>87535.916251161296</v>
      </c>
      <c r="G70" s="12">
        <f t="shared" si="2"/>
        <v>150.40535438343866</v>
      </c>
      <c r="H70" s="12" t="str">
        <f t="shared" si="3"/>
        <v>Highest range</v>
      </c>
      <c r="I70">
        <v>0</v>
      </c>
      <c r="J70" s="2">
        <v>109.902936477732</v>
      </c>
      <c r="K70" t="s">
        <v>11</v>
      </c>
    </row>
    <row r="71" spans="1:11" x14ac:dyDescent="0.2">
      <c r="A71">
        <v>4</v>
      </c>
      <c r="B71" t="s">
        <v>16</v>
      </c>
      <c r="C71" t="s">
        <v>17</v>
      </c>
      <c r="D71" s="1">
        <v>43800</v>
      </c>
      <c r="E71">
        <v>264</v>
      </c>
      <c r="F71" s="3">
        <v>36394.768256121803</v>
      </c>
      <c r="G71" s="12">
        <f t="shared" si="2"/>
        <v>137.85897066712803</v>
      </c>
      <c r="H71" s="12" t="str">
        <f t="shared" si="3"/>
        <v>Highest range</v>
      </c>
      <c r="I71">
        <v>0</v>
      </c>
      <c r="J71" s="2">
        <v>96.200580364413199</v>
      </c>
      <c r="K71" t="s">
        <v>11</v>
      </c>
    </row>
    <row r="72" spans="1:11" x14ac:dyDescent="0.2">
      <c r="A72">
        <v>5</v>
      </c>
      <c r="B72" t="s">
        <v>18</v>
      </c>
      <c r="C72" t="s">
        <v>19</v>
      </c>
      <c r="D72" s="1">
        <v>43800</v>
      </c>
      <c r="E72">
        <v>1054</v>
      </c>
      <c r="F72" s="3">
        <v>179307.147501956</v>
      </c>
      <c r="G72" s="12">
        <f t="shared" si="2"/>
        <v>170.12063330356358</v>
      </c>
      <c r="H72" s="12" t="str">
        <f t="shared" si="3"/>
        <v>Highest range</v>
      </c>
      <c r="I72">
        <v>0</v>
      </c>
      <c r="J72" s="2">
        <v>75.6015531853662</v>
      </c>
      <c r="K72" t="s">
        <v>11</v>
      </c>
    </row>
    <row r="73" spans="1:11" x14ac:dyDescent="0.2">
      <c r="A73">
        <v>6</v>
      </c>
      <c r="B73" t="s">
        <v>20</v>
      </c>
      <c r="C73" t="s">
        <v>21</v>
      </c>
      <c r="D73" s="1">
        <v>43800</v>
      </c>
      <c r="E73">
        <v>628</v>
      </c>
      <c r="F73" s="3">
        <v>81294.091698670498</v>
      </c>
      <c r="G73" s="12">
        <f t="shared" si="2"/>
        <v>129.44919060297849</v>
      </c>
      <c r="H73" s="12" t="str">
        <f t="shared" si="3"/>
        <v>Higher range</v>
      </c>
      <c r="I73">
        <v>1</v>
      </c>
      <c r="J73" s="2">
        <v>106.51331835892</v>
      </c>
      <c r="K73" t="s">
        <v>11</v>
      </c>
    </row>
    <row r="74" spans="1:11" x14ac:dyDescent="0.2">
      <c r="A74">
        <v>1</v>
      </c>
      <c r="B74" t="s">
        <v>9</v>
      </c>
      <c r="C74" t="s">
        <v>10</v>
      </c>
      <c r="D74" s="1">
        <v>43831</v>
      </c>
      <c r="E74">
        <v>596</v>
      </c>
      <c r="F74" s="3">
        <v>54477.680485582598</v>
      </c>
      <c r="G74" s="12">
        <f t="shared" si="2"/>
        <v>91.405504170440594</v>
      </c>
      <c r="H74" s="12" t="str">
        <f t="shared" si="3"/>
        <v>Higher range</v>
      </c>
      <c r="I74">
        <v>1</v>
      </c>
      <c r="J74" s="2">
        <v>115.136721098824</v>
      </c>
      <c r="K74" t="s">
        <v>11</v>
      </c>
    </row>
    <row r="75" spans="1:11" x14ac:dyDescent="0.2">
      <c r="A75">
        <v>2</v>
      </c>
      <c r="B75" t="s">
        <v>12</v>
      </c>
      <c r="C75" t="s">
        <v>13</v>
      </c>
      <c r="D75" s="1">
        <v>43831</v>
      </c>
      <c r="E75">
        <v>379</v>
      </c>
      <c r="F75" s="3">
        <v>76036.9833632019</v>
      </c>
      <c r="G75" s="12">
        <f t="shared" si="2"/>
        <v>200.62528591873851</v>
      </c>
      <c r="H75" s="12" t="str">
        <f t="shared" si="3"/>
        <v>Highest range</v>
      </c>
      <c r="I75">
        <v>0</v>
      </c>
      <c r="J75" s="2">
        <v>92.413067130238602</v>
      </c>
      <c r="K75" t="s">
        <v>11</v>
      </c>
    </row>
    <row r="76" spans="1:11" x14ac:dyDescent="0.2">
      <c r="A76">
        <v>3</v>
      </c>
      <c r="B76" t="s">
        <v>14</v>
      </c>
      <c r="C76" t="s">
        <v>15</v>
      </c>
      <c r="D76" s="1">
        <v>43831</v>
      </c>
      <c r="E76">
        <v>536</v>
      </c>
      <c r="F76" s="3">
        <v>52001.9088515939</v>
      </c>
      <c r="G76" s="12">
        <f t="shared" si="2"/>
        <v>97.018486663421456</v>
      </c>
      <c r="H76" s="12" t="str">
        <f t="shared" si="3"/>
        <v>Higher range</v>
      </c>
      <c r="I76">
        <v>1</v>
      </c>
      <c r="J76" s="2">
        <v>141.06861982557101</v>
      </c>
      <c r="K76" t="s">
        <v>11</v>
      </c>
    </row>
    <row r="77" spans="1:11" x14ac:dyDescent="0.2">
      <c r="A77">
        <v>4</v>
      </c>
      <c r="B77" t="s">
        <v>16</v>
      </c>
      <c r="C77" t="s">
        <v>17</v>
      </c>
      <c r="D77" s="1">
        <v>43831</v>
      </c>
      <c r="E77">
        <v>434</v>
      </c>
      <c r="F77" s="3">
        <v>40594.371065411098</v>
      </c>
      <c r="G77" s="12">
        <f t="shared" si="2"/>
        <v>93.535417201408066</v>
      </c>
      <c r="H77" s="12" t="str">
        <f t="shared" si="3"/>
        <v>Higher range</v>
      </c>
      <c r="I77">
        <v>1</v>
      </c>
      <c r="J77" s="2">
        <v>133.88980864459299</v>
      </c>
      <c r="K77" t="s">
        <v>11</v>
      </c>
    </row>
    <row r="78" spans="1:11" x14ac:dyDescent="0.2">
      <c r="A78">
        <v>5</v>
      </c>
      <c r="B78" t="s">
        <v>18</v>
      </c>
      <c r="C78" t="s">
        <v>19</v>
      </c>
      <c r="D78" s="1">
        <v>43831</v>
      </c>
      <c r="E78">
        <v>1016</v>
      </c>
      <c r="F78" s="3">
        <v>132825.74555412799</v>
      </c>
      <c r="G78" s="12">
        <f t="shared" si="2"/>
        <v>130.73400152965354</v>
      </c>
      <c r="H78" s="12" t="str">
        <f t="shared" si="3"/>
        <v>Higher range</v>
      </c>
      <c r="I78">
        <v>1</v>
      </c>
      <c r="J78" s="2">
        <v>110.789439379425</v>
      </c>
      <c r="K78" t="s">
        <v>11</v>
      </c>
    </row>
    <row r="79" spans="1:11" x14ac:dyDescent="0.2">
      <c r="A79">
        <v>6</v>
      </c>
      <c r="B79" t="s">
        <v>20</v>
      </c>
      <c r="C79" t="s">
        <v>21</v>
      </c>
      <c r="D79" s="1">
        <v>43831</v>
      </c>
      <c r="E79">
        <v>779</v>
      </c>
      <c r="F79" s="3">
        <v>36192.014313965003</v>
      </c>
      <c r="G79" s="12">
        <f t="shared" si="2"/>
        <v>46.459581917798459</v>
      </c>
      <c r="H79" s="12" t="str">
        <f t="shared" si="3"/>
        <v>Lowest range</v>
      </c>
      <c r="I79">
        <v>1</v>
      </c>
      <c r="J79" s="2">
        <v>130.285344859801</v>
      </c>
      <c r="K79" t="s">
        <v>11</v>
      </c>
    </row>
    <row r="80" spans="1:11" x14ac:dyDescent="0.2">
      <c r="A80">
        <v>1</v>
      </c>
      <c r="B80" t="s">
        <v>9</v>
      </c>
      <c r="C80" t="s">
        <v>10</v>
      </c>
      <c r="D80" s="1">
        <v>43862</v>
      </c>
      <c r="E80">
        <v>670</v>
      </c>
      <c r="F80" s="3">
        <v>60365</v>
      </c>
      <c r="G80" s="12">
        <f t="shared" si="2"/>
        <v>90.097014925373131</v>
      </c>
      <c r="H80" s="12" t="str">
        <f t="shared" si="3"/>
        <v>Lower range</v>
      </c>
      <c r="I80">
        <v>0</v>
      </c>
      <c r="J80" s="2">
        <v>142.29602317984799</v>
      </c>
      <c r="K80" t="s">
        <v>11</v>
      </c>
    </row>
    <row r="81" spans="1:11" x14ac:dyDescent="0.2">
      <c r="A81">
        <v>2</v>
      </c>
      <c r="B81" t="s">
        <v>12</v>
      </c>
      <c r="C81" t="s">
        <v>13</v>
      </c>
      <c r="D81" s="1">
        <v>43862</v>
      </c>
      <c r="E81">
        <v>188</v>
      </c>
      <c r="F81" s="3">
        <v>10000</v>
      </c>
      <c r="G81" s="12">
        <f t="shared" si="2"/>
        <v>53.191489361702125</v>
      </c>
      <c r="H81" s="12" t="str">
        <f t="shared" si="3"/>
        <v>Lowest range</v>
      </c>
      <c r="I81">
        <v>0</v>
      </c>
      <c r="J81" s="2">
        <v>95.221794088980701</v>
      </c>
      <c r="K81" t="s">
        <v>11</v>
      </c>
    </row>
    <row r="82" spans="1:11" x14ac:dyDescent="0.2">
      <c r="A82">
        <v>3</v>
      </c>
      <c r="B82" t="s">
        <v>14</v>
      </c>
      <c r="C82" t="s">
        <v>15</v>
      </c>
      <c r="D82" s="1">
        <v>43862</v>
      </c>
      <c r="E82">
        <v>448</v>
      </c>
      <c r="F82" s="3">
        <v>19937.1409376378</v>
      </c>
      <c r="G82" s="12">
        <f t="shared" si="2"/>
        <v>44.50254673579866</v>
      </c>
      <c r="H82" s="12" t="str">
        <f t="shared" si="3"/>
        <v>Lowest range</v>
      </c>
      <c r="I82">
        <v>0</v>
      </c>
      <c r="J82" s="2">
        <v>74.822644275715106</v>
      </c>
      <c r="K82" t="s">
        <v>11</v>
      </c>
    </row>
    <row r="83" spans="1:11" x14ac:dyDescent="0.2">
      <c r="A83">
        <v>4</v>
      </c>
      <c r="B83" t="s">
        <v>16</v>
      </c>
      <c r="C83" t="s">
        <v>17</v>
      </c>
      <c r="D83" s="1">
        <v>43862</v>
      </c>
      <c r="E83">
        <v>261</v>
      </c>
      <c r="F83" s="3">
        <v>55543.631587174903</v>
      </c>
      <c r="G83" s="12">
        <f t="shared" si="2"/>
        <v>212.81084899300728</v>
      </c>
      <c r="H83" s="12" t="str">
        <f t="shared" si="3"/>
        <v>Highest range</v>
      </c>
      <c r="I83">
        <v>0</v>
      </c>
      <c r="J83" s="2">
        <v>141.48459010681</v>
      </c>
      <c r="K83" t="s">
        <v>11</v>
      </c>
    </row>
    <row r="84" spans="1:11" x14ac:dyDescent="0.2">
      <c r="A84">
        <v>5</v>
      </c>
      <c r="B84" t="s">
        <v>18</v>
      </c>
      <c r="C84" t="s">
        <v>19</v>
      </c>
      <c r="D84" s="1">
        <v>43862</v>
      </c>
      <c r="E84">
        <v>1324</v>
      </c>
      <c r="F84" s="3">
        <v>44652.842791117102</v>
      </c>
      <c r="G84" s="12">
        <f t="shared" si="2"/>
        <v>33.72571207788301</v>
      </c>
      <c r="H84" s="12" t="str">
        <f t="shared" si="3"/>
        <v>Lowest range</v>
      </c>
      <c r="I84">
        <v>1</v>
      </c>
      <c r="J84" s="2">
        <v>72.009721408109698</v>
      </c>
      <c r="K84" t="s">
        <v>11</v>
      </c>
    </row>
    <row r="85" spans="1:11" x14ac:dyDescent="0.2">
      <c r="A85">
        <v>6</v>
      </c>
      <c r="B85" t="s">
        <v>20</v>
      </c>
      <c r="C85" t="s">
        <v>21</v>
      </c>
      <c r="D85" s="1">
        <v>43862</v>
      </c>
      <c r="E85">
        <v>515</v>
      </c>
      <c r="F85" s="3">
        <v>20305.9685696585</v>
      </c>
      <c r="G85" s="12">
        <f t="shared" si="2"/>
        <v>39.429065183802912</v>
      </c>
      <c r="H85" s="12" t="str">
        <f t="shared" si="3"/>
        <v>Lowest range</v>
      </c>
      <c r="I85">
        <v>0</v>
      </c>
      <c r="J85" s="2">
        <v>146.10703174694501</v>
      </c>
      <c r="K85" t="s">
        <v>11</v>
      </c>
    </row>
    <row r="86" spans="1:11" x14ac:dyDescent="0.2">
      <c r="A86">
        <v>1</v>
      </c>
      <c r="B86" t="s">
        <v>9</v>
      </c>
      <c r="C86" t="s">
        <v>10</v>
      </c>
      <c r="D86" s="1">
        <v>43891</v>
      </c>
      <c r="E86">
        <v>446</v>
      </c>
      <c r="F86" s="3">
        <v>27869.481825166498</v>
      </c>
      <c r="G86" s="12">
        <f t="shared" si="2"/>
        <v>62.487627410687217</v>
      </c>
      <c r="H86" s="12" t="str">
        <f t="shared" si="3"/>
        <v>Lowest range</v>
      </c>
      <c r="I86">
        <v>1</v>
      </c>
      <c r="J86" s="2">
        <v>103.50697189336501</v>
      </c>
      <c r="K86" t="s">
        <v>22</v>
      </c>
    </row>
    <row r="87" spans="1:11" x14ac:dyDescent="0.2">
      <c r="A87">
        <v>2</v>
      </c>
      <c r="B87" t="s">
        <v>12</v>
      </c>
      <c r="C87" t="s">
        <v>13</v>
      </c>
      <c r="D87" s="1">
        <v>43891</v>
      </c>
      <c r="E87">
        <v>384</v>
      </c>
      <c r="F87" s="3">
        <v>31788.843105202399</v>
      </c>
      <c r="G87" s="12">
        <f t="shared" si="2"/>
        <v>82.78344558646458</v>
      </c>
      <c r="H87" s="12" t="str">
        <f t="shared" si="3"/>
        <v>Lower range</v>
      </c>
      <c r="I87">
        <v>1</v>
      </c>
      <c r="J87" s="2">
        <v>56.707647738842702</v>
      </c>
      <c r="K87" t="s">
        <v>22</v>
      </c>
    </row>
    <row r="88" spans="1:11" x14ac:dyDescent="0.2">
      <c r="A88">
        <v>3</v>
      </c>
      <c r="B88" t="s">
        <v>14</v>
      </c>
      <c r="C88" t="s">
        <v>15</v>
      </c>
      <c r="D88" s="1">
        <v>43891</v>
      </c>
      <c r="E88">
        <v>343</v>
      </c>
      <c r="F88" s="3">
        <v>63485.609374935499</v>
      </c>
      <c r="G88" s="12">
        <f t="shared" si="2"/>
        <v>185.08924016016181</v>
      </c>
      <c r="H88" s="12" t="str">
        <f t="shared" si="3"/>
        <v>Highest range</v>
      </c>
      <c r="I88">
        <v>0</v>
      </c>
      <c r="J88" s="2">
        <v>84.938699904933301</v>
      </c>
      <c r="K88" t="s">
        <v>22</v>
      </c>
    </row>
    <row r="89" spans="1:11" x14ac:dyDescent="0.2">
      <c r="A89">
        <v>4</v>
      </c>
      <c r="B89" t="s">
        <v>16</v>
      </c>
      <c r="C89" t="s">
        <v>17</v>
      </c>
      <c r="D89" s="1">
        <v>43891</v>
      </c>
      <c r="E89">
        <v>951</v>
      </c>
      <c r="F89" s="3">
        <v>38528.296833198103</v>
      </c>
      <c r="G89" s="12">
        <f t="shared" si="2"/>
        <v>40.513456186328185</v>
      </c>
      <c r="H89" s="12" t="str">
        <f t="shared" si="3"/>
        <v>Lowest range</v>
      </c>
      <c r="I89">
        <v>0</v>
      </c>
      <c r="J89" s="2">
        <v>97.206694510999895</v>
      </c>
      <c r="K89" t="s">
        <v>22</v>
      </c>
    </row>
    <row r="90" spans="1:11" x14ac:dyDescent="0.2">
      <c r="A90">
        <v>5</v>
      </c>
      <c r="B90" t="s">
        <v>18</v>
      </c>
      <c r="C90" t="s">
        <v>19</v>
      </c>
      <c r="D90" s="1">
        <v>43891</v>
      </c>
      <c r="E90">
        <v>786</v>
      </c>
      <c r="F90" s="3">
        <v>103192.90683075599</v>
      </c>
      <c r="G90" s="12">
        <f t="shared" si="2"/>
        <v>131.28868553531296</v>
      </c>
      <c r="H90" s="12" t="str">
        <f t="shared" si="3"/>
        <v>Higher range</v>
      </c>
      <c r="I90">
        <v>1</v>
      </c>
      <c r="J90" s="2">
        <v>121.405919978982</v>
      </c>
      <c r="K90" t="s">
        <v>22</v>
      </c>
    </row>
    <row r="91" spans="1:11" x14ac:dyDescent="0.2">
      <c r="A91">
        <v>6</v>
      </c>
      <c r="B91" t="s">
        <v>20</v>
      </c>
      <c r="C91" t="s">
        <v>21</v>
      </c>
      <c r="D91" s="1">
        <v>43891</v>
      </c>
      <c r="E91">
        <v>985</v>
      </c>
      <c r="F91" s="3">
        <v>88994.651912024594</v>
      </c>
      <c r="G91" s="12">
        <f t="shared" si="2"/>
        <v>90.349900418299086</v>
      </c>
      <c r="H91" s="12" t="str">
        <f t="shared" si="3"/>
        <v>Lower range</v>
      </c>
      <c r="I91">
        <v>0</v>
      </c>
      <c r="J91" s="2">
        <v>90.0763060875326</v>
      </c>
      <c r="K91" t="s">
        <v>22</v>
      </c>
    </row>
    <row r="92" spans="1:11" x14ac:dyDescent="0.2">
      <c r="A92">
        <v>1</v>
      </c>
      <c r="B92" t="s">
        <v>9</v>
      </c>
      <c r="C92" t="s">
        <v>10</v>
      </c>
      <c r="D92" s="1">
        <v>43922</v>
      </c>
      <c r="E92">
        <v>264</v>
      </c>
      <c r="F92" s="3">
        <v>54074.035962776899</v>
      </c>
      <c r="G92" s="12">
        <f t="shared" si="2"/>
        <v>204.82589379839735</v>
      </c>
      <c r="H92" s="12" t="str">
        <f t="shared" si="3"/>
        <v>Highest range</v>
      </c>
      <c r="I92">
        <v>0</v>
      </c>
      <c r="J92" s="2">
        <v>83.436281131048204</v>
      </c>
      <c r="K92" t="s">
        <v>22</v>
      </c>
    </row>
    <row r="93" spans="1:11" x14ac:dyDescent="0.2">
      <c r="A93">
        <v>2</v>
      </c>
      <c r="B93" t="s">
        <v>12</v>
      </c>
      <c r="C93" t="s">
        <v>13</v>
      </c>
      <c r="D93" s="1">
        <v>43922</v>
      </c>
      <c r="E93">
        <v>521</v>
      </c>
      <c r="F93" s="3">
        <v>46321.276891820402</v>
      </c>
      <c r="G93" s="12">
        <f t="shared" si="2"/>
        <v>88.908400943993101</v>
      </c>
      <c r="H93" s="12" t="str">
        <f t="shared" si="3"/>
        <v>Lower range</v>
      </c>
      <c r="I93">
        <v>1</v>
      </c>
      <c r="J93" s="2">
        <v>77.074467314355303</v>
      </c>
      <c r="K93" t="s">
        <v>22</v>
      </c>
    </row>
    <row r="94" spans="1:11" x14ac:dyDescent="0.2">
      <c r="A94">
        <v>3</v>
      </c>
      <c r="B94" t="s">
        <v>14</v>
      </c>
      <c r="C94" t="s">
        <v>15</v>
      </c>
      <c r="D94" s="1">
        <v>43922</v>
      </c>
      <c r="E94">
        <v>277</v>
      </c>
      <c r="F94" s="3">
        <v>85045.408868472397</v>
      </c>
      <c r="G94" s="12">
        <f t="shared" si="2"/>
        <v>307.02313670928663</v>
      </c>
      <c r="H94" s="12" t="str">
        <f t="shared" si="3"/>
        <v>Highest range</v>
      </c>
      <c r="I94">
        <v>0</v>
      </c>
      <c r="J94" s="2">
        <v>147.89314356159599</v>
      </c>
      <c r="K94" t="s">
        <v>22</v>
      </c>
    </row>
    <row r="95" spans="1:11" x14ac:dyDescent="0.2">
      <c r="A95">
        <v>4</v>
      </c>
      <c r="B95" t="s">
        <v>16</v>
      </c>
      <c r="C95" t="s">
        <v>17</v>
      </c>
      <c r="D95" s="1">
        <v>43922</v>
      </c>
      <c r="E95">
        <v>744</v>
      </c>
      <c r="F95" s="3">
        <v>10000</v>
      </c>
      <c r="G95" s="12">
        <f t="shared" si="2"/>
        <v>13.440860215053764</v>
      </c>
      <c r="H95" s="12" t="str">
        <f t="shared" si="3"/>
        <v>Lowest range</v>
      </c>
      <c r="I95">
        <v>0</v>
      </c>
      <c r="J95" s="2">
        <v>73.107479658807094</v>
      </c>
      <c r="K95" t="s">
        <v>22</v>
      </c>
    </row>
    <row r="96" spans="1:11" x14ac:dyDescent="0.2">
      <c r="A96">
        <v>5</v>
      </c>
      <c r="B96" t="s">
        <v>18</v>
      </c>
      <c r="C96" t="s">
        <v>19</v>
      </c>
      <c r="D96" s="1">
        <v>43922</v>
      </c>
      <c r="E96">
        <v>1029</v>
      </c>
      <c r="F96" s="3">
        <v>96089.645620383701</v>
      </c>
      <c r="G96" s="12">
        <f t="shared" si="2"/>
        <v>93.381579806009427</v>
      </c>
      <c r="H96" s="12" t="str">
        <f t="shared" si="3"/>
        <v>Higher range</v>
      </c>
      <c r="I96">
        <v>0</v>
      </c>
      <c r="J96" s="2">
        <v>138.74604825135</v>
      </c>
      <c r="K96" t="s">
        <v>22</v>
      </c>
    </row>
    <row r="97" spans="1:11" x14ac:dyDescent="0.2">
      <c r="A97">
        <v>6</v>
      </c>
      <c r="B97" t="s">
        <v>20</v>
      </c>
      <c r="C97" t="s">
        <v>21</v>
      </c>
      <c r="D97" s="1">
        <v>43922</v>
      </c>
      <c r="E97">
        <v>843</v>
      </c>
      <c r="F97" s="3">
        <v>58819.363637225302</v>
      </c>
      <c r="G97" s="12">
        <f t="shared" si="2"/>
        <v>69.773859593387073</v>
      </c>
      <c r="H97" s="12" t="str">
        <f t="shared" si="3"/>
        <v>Lower range</v>
      </c>
      <c r="I97">
        <v>0</v>
      </c>
      <c r="J97" s="2">
        <v>74.317219099945405</v>
      </c>
      <c r="K97" t="s">
        <v>22</v>
      </c>
    </row>
    <row r="98" spans="1:11" x14ac:dyDescent="0.2">
      <c r="A98">
        <v>1</v>
      </c>
      <c r="B98" t="s">
        <v>9</v>
      </c>
      <c r="C98" t="s">
        <v>10</v>
      </c>
      <c r="D98" s="1">
        <v>43952</v>
      </c>
      <c r="E98">
        <v>642</v>
      </c>
      <c r="F98" s="3">
        <v>58885.266229720699</v>
      </c>
      <c r="G98" s="12">
        <f t="shared" si="2"/>
        <v>91.721598488661527</v>
      </c>
      <c r="H98" s="12" t="str">
        <f t="shared" si="3"/>
        <v>Higher range</v>
      </c>
      <c r="I98">
        <v>0</v>
      </c>
      <c r="J98" s="2">
        <v>146.26493185548699</v>
      </c>
      <c r="K98" t="s">
        <v>22</v>
      </c>
    </row>
    <row r="99" spans="1:11" x14ac:dyDescent="0.2">
      <c r="A99">
        <v>2</v>
      </c>
      <c r="B99" t="s">
        <v>12</v>
      </c>
      <c r="C99" t="s">
        <v>13</v>
      </c>
      <c r="D99" s="1">
        <v>43952</v>
      </c>
      <c r="E99">
        <v>161</v>
      </c>
      <c r="F99" s="3">
        <v>31989.342296257098</v>
      </c>
      <c r="G99" s="12">
        <f t="shared" si="2"/>
        <v>198.69156705749751</v>
      </c>
      <c r="H99" s="12" t="str">
        <f t="shared" si="3"/>
        <v>Highest range</v>
      </c>
      <c r="I99">
        <v>1</v>
      </c>
      <c r="J99" s="2">
        <v>51.300192351073598</v>
      </c>
      <c r="K99" t="s">
        <v>22</v>
      </c>
    </row>
    <row r="100" spans="1:11" x14ac:dyDescent="0.2">
      <c r="A100">
        <v>3</v>
      </c>
      <c r="B100" t="s">
        <v>14</v>
      </c>
      <c r="C100" t="s">
        <v>15</v>
      </c>
      <c r="D100" s="1">
        <v>43952</v>
      </c>
      <c r="E100">
        <v>166</v>
      </c>
      <c r="F100" s="3">
        <v>85293.738685254299</v>
      </c>
      <c r="G100" s="12">
        <f t="shared" si="2"/>
        <v>513.81770292321869</v>
      </c>
      <c r="H100" s="12" t="str">
        <f t="shared" si="3"/>
        <v>Highest range</v>
      </c>
      <c r="I100">
        <v>1</v>
      </c>
      <c r="J100" s="2">
        <v>141.06240035402999</v>
      </c>
      <c r="K100" t="s">
        <v>22</v>
      </c>
    </row>
    <row r="101" spans="1:11" x14ac:dyDescent="0.2">
      <c r="A101">
        <v>4</v>
      </c>
      <c r="B101" t="s">
        <v>16</v>
      </c>
      <c r="C101" t="s">
        <v>17</v>
      </c>
      <c r="D101" s="1">
        <v>43952</v>
      </c>
      <c r="E101">
        <v>200</v>
      </c>
      <c r="F101" s="3">
        <v>72783.1514572335</v>
      </c>
      <c r="G101" s="12">
        <f t="shared" si="2"/>
        <v>363.91575728616749</v>
      </c>
      <c r="H101" s="12" t="str">
        <f t="shared" si="3"/>
        <v>Highest range</v>
      </c>
      <c r="I101">
        <v>0</v>
      </c>
      <c r="J101" s="2">
        <v>87.969240816726597</v>
      </c>
      <c r="K101" t="s">
        <v>22</v>
      </c>
    </row>
    <row r="102" spans="1:11" x14ac:dyDescent="0.2">
      <c r="A102">
        <v>5</v>
      </c>
      <c r="B102" t="s">
        <v>18</v>
      </c>
      <c r="C102" t="s">
        <v>19</v>
      </c>
      <c r="D102" s="1">
        <v>43952</v>
      </c>
      <c r="E102">
        <v>533</v>
      </c>
      <c r="F102" s="3">
        <v>118180.298540369</v>
      </c>
      <c r="G102" s="12">
        <f t="shared" si="2"/>
        <v>221.72663891251219</v>
      </c>
      <c r="H102" s="12" t="str">
        <f t="shared" si="3"/>
        <v>Highest range</v>
      </c>
      <c r="I102">
        <v>0</v>
      </c>
      <c r="J102" s="2">
        <v>84.519214488127503</v>
      </c>
      <c r="K102" t="s">
        <v>22</v>
      </c>
    </row>
    <row r="103" spans="1:11" x14ac:dyDescent="0.2">
      <c r="A103">
        <v>6</v>
      </c>
      <c r="B103" t="s">
        <v>20</v>
      </c>
      <c r="C103" t="s">
        <v>21</v>
      </c>
      <c r="D103" s="1">
        <v>43952</v>
      </c>
      <c r="E103">
        <v>374</v>
      </c>
      <c r="F103" s="3">
        <v>75033.0294279964</v>
      </c>
      <c r="G103" s="12">
        <f t="shared" si="2"/>
        <v>200.62307333688878</v>
      </c>
      <c r="H103" s="12" t="str">
        <f t="shared" si="3"/>
        <v>Highest range</v>
      </c>
      <c r="I103">
        <v>0</v>
      </c>
      <c r="J103" s="2">
        <v>79.446575954191701</v>
      </c>
      <c r="K103" t="s">
        <v>22</v>
      </c>
    </row>
    <row r="104" spans="1:11" x14ac:dyDescent="0.2">
      <c r="A104">
        <v>1</v>
      </c>
      <c r="B104" t="s">
        <v>9</v>
      </c>
      <c r="C104" t="s">
        <v>10</v>
      </c>
      <c r="D104" s="1">
        <v>43983</v>
      </c>
      <c r="E104">
        <v>694</v>
      </c>
      <c r="F104" s="3">
        <v>49380.834987268499</v>
      </c>
      <c r="G104" s="12">
        <f t="shared" si="2"/>
        <v>71.153940903845097</v>
      </c>
      <c r="H104" s="12" t="str">
        <f t="shared" si="3"/>
        <v>Lower range</v>
      </c>
      <c r="I104">
        <v>1</v>
      </c>
      <c r="J104" s="2">
        <v>68.210713882158302</v>
      </c>
      <c r="K104" t="s">
        <v>23</v>
      </c>
    </row>
    <row r="105" spans="1:11" x14ac:dyDescent="0.2">
      <c r="A105">
        <v>2</v>
      </c>
      <c r="B105" t="s">
        <v>12</v>
      </c>
      <c r="C105" t="s">
        <v>13</v>
      </c>
      <c r="D105" s="1">
        <v>43983</v>
      </c>
      <c r="E105">
        <v>955</v>
      </c>
      <c r="F105" s="3">
        <v>60365</v>
      </c>
      <c r="G105" s="12">
        <f t="shared" si="2"/>
        <v>63.209424083769633</v>
      </c>
      <c r="H105" s="12" t="str">
        <f t="shared" si="3"/>
        <v>Lowest range</v>
      </c>
      <c r="I105">
        <v>0</v>
      </c>
      <c r="J105" s="2">
        <v>104.16342146608601</v>
      </c>
      <c r="K105" t="s">
        <v>23</v>
      </c>
    </row>
    <row r="106" spans="1:11" x14ac:dyDescent="0.2">
      <c r="A106">
        <v>3</v>
      </c>
      <c r="B106" t="s">
        <v>14</v>
      </c>
      <c r="C106" t="s">
        <v>15</v>
      </c>
      <c r="D106" s="1">
        <v>43983</v>
      </c>
      <c r="E106">
        <v>230</v>
      </c>
      <c r="F106" s="3">
        <v>64865.281880454299</v>
      </c>
      <c r="G106" s="12">
        <f t="shared" si="2"/>
        <v>282.0229646976274</v>
      </c>
      <c r="H106" s="12" t="str">
        <f t="shared" si="3"/>
        <v>Highest range</v>
      </c>
      <c r="I106">
        <v>1</v>
      </c>
      <c r="J106" s="2">
        <v>114.50541677693199</v>
      </c>
      <c r="K106" t="s">
        <v>23</v>
      </c>
    </row>
    <row r="107" spans="1:11" x14ac:dyDescent="0.2">
      <c r="A107">
        <v>4</v>
      </c>
      <c r="B107" t="s">
        <v>16</v>
      </c>
      <c r="C107" t="s">
        <v>17</v>
      </c>
      <c r="D107" s="1">
        <v>43983</v>
      </c>
      <c r="E107">
        <v>291</v>
      </c>
      <c r="F107" s="3">
        <v>45552.1056022431</v>
      </c>
      <c r="G107" s="12">
        <f t="shared" si="2"/>
        <v>156.53644536853298</v>
      </c>
      <c r="H107" s="12" t="str">
        <f t="shared" si="3"/>
        <v>Highest range</v>
      </c>
      <c r="I107">
        <v>0</v>
      </c>
      <c r="J107" s="2">
        <v>67.167928584830307</v>
      </c>
      <c r="K107" t="s">
        <v>23</v>
      </c>
    </row>
    <row r="108" spans="1:11" x14ac:dyDescent="0.2">
      <c r="A108">
        <v>5</v>
      </c>
      <c r="B108" t="s">
        <v>18</v>
      </c>
      <c r="C108" t="s">
        <v>19</v>
      </c>
      <c r="D108" s="1">
        <v>43983</v>
      </c>
      <c r="E108">
        <v>1216</v>
      </c>
      <c r="F108" s="3">
        <v>117930.58018962599</v>
      </c>
      <c r="G108" s="12">
        <f t="shared" si="2"/>
        <v>96.982385024363481</v>
      </c>
      <c r="H108" s="12" t="str">
        <f t="shared" si="3"/>
        <v>Higher range</v>
      </c>
      <c r="I108">
        <v>1</v>
      </c>
      <c r="J108" s="2">
        <v>70.642127176060299</v>
      </c>
      <c r="K108" t="s">
        <v>23</v>
      </c>
    </row>
    <row r="109" spans="1:11" x14ac:dyDescent="0.2">
      <c r="A109">
        <v>6</v>
      </c>
      <c r="B109" t="s">
        <v>20</v>
      </c>
      <c r="C109" t="s">
        <v>21</v>
      </c>
      <c r="D109" s="1">
        <v>43983</v>
      </c>
      <c r="E109">
        <v>100</v>
      </c>
      <c r="F109" s="3">
        <v>82410.668903317506</v>
      </c>
      <c r="G109" s="12">
        <f t="shared" si="2"/>
        <v>824.10668903317503</v>
      </c>
      <c r="H109" s="12" t="str">
        <f t="shared" si="3"/>
        <v>Highest range</v>
      </c>
      <c r="I109">
        <v>0</v>
      </c>
      <c r="J109" s="2">
        <v>99.427385013827106</v>
      </c>
      <c r="K109" t="s">
        <v>23</v>
      </c>
    </row>
    <row r="110" spans="1:11" x14ac:dyDescent="0.2">
      <c r="A110">
        <v>1</v>
      </c>
      <c r="B110" t="s">
        <v>9</v>
      </c>
      <c r="C110" t="s">
        <v>10</v>
      </c>
      <c r="D110" s="1">
        <v>44013</v>
      </c>
      <c r="E110">
        <v>814</v>
      </c>
      <c r="F110" s="3">
        <v>73723.563646482406</v>
      </c>
      <c r="G110" s="12">
        <f t="shared" si="2"/>
        <v>90.569488509192141</v>
      </c>
      <c r="H110" s="12" t="str">
        <f t="shared" si="3"/>
        <v>Lower range</v>
      </c>
      <c r="I110">
        <v>0</v>
      </c>
      <c r="J110" s="2">
        <v>88.313852824949706</v>
      </c>
      <c r="K110" t="s">
        <v>23</v>
      </c>
    </row>
    <row r="111" spans="1:11" x14ac:dyDescent="0.2">
      <c r="A111">
        <v>2</v>
      </c>
      <c r="B111" t="s">
        <v>12</v>
      </c>
      <c r="C111" t="s">
        <v>13</v>
      </c>
      <c r="D111" s="1">
        <v>44013</v>
      </c>
      <c r="E111">
        <v>551</v>
      </c>
      <c r="F111" s="3">
        <v>37503.628446086397</v>
      </c>
      <c r="G111" s="12">
        <f t="shared" si="2"/>
        <v>68.064661426654084</v>
      </c>
      <c r="H111" s="12" t="str">
        <f t="shared" si="3"/>
        <v>Lower range</v>
      </c>
      <c r="I111">
        <v>1</v>
      </c>
      <c r="J111" s="2">
        <v>145.86271773132199</v>
      </c>
      <c r="K111" t="s">
        <v>23</v>
      </c>
    </row>
    <row r="112" spans="1:11" x14ac:dyDescent="0.2">
      <c r="A112">
        <v>3</v>
      </c>
      <c r="B112" t="s">
        <v>14</v>
      </c>
      <c r="C112" t="s">
        <v>15</v>
      </c>
      <c r="D112" s="1">
        <v>44013</v>
      </c>
      <c r="E112">
        <v>505</v>
      </c>
      <c r="F112" s="3">
        <v>45499.881932592398</v>
      </c>
      <c r="G112" s="12">
        <f t="shared" si="2"/>
        <v>90.098776104143369</v>
      </c>
      <c r="H112" s="12" t="str">
        <f t="shared" si="3"/>
        <v>Lower range</v>
      </c>
      <c r="I112">
        <v>1</v>
      </c>
      <c r="J112" s="2">
        <v>121.904590518424</v>
      </c>
      <c r="K112" t="s">
        <v>23</v>
      </c>
    </row>
    <row r="113" spans="1:11" x14ac:dyDescent="0.2">
      <c r="A113">
        <v>4</v>
      </c>
      <c r="B113" t="s">
        <v>16</v>
      </c>
      <c r="C113" t="s">
        <v>17</v>
      </c>
      <c r="D113" s="1">
        <v>44013</v>
      </c>
      <c r="E113">
        <v>741</v>
      </c>
      <c r="F113" s="3">
        <v>61479.339184033503</v>
      </c>
      <c r="G113" s="12">
        <f t="shared" si="2"/>
        <v>82.968069074269238</v>
      </c>
      <c r="H113" s="12" t="str">
        <f t="shared" si="3"/>
        <v>Lower range</v>
      </c>
      <c r="I113">
        <v>1</v>
      </c>
      <c r="J113" s="2">
        <v>89.664937305205399</v>
      </c>
      <c r="K113" t="s">
        <v>23</v>
      </c>
    </row>
    <row r="114" spans="1:11" x14ac:dyDescent="0.2">
      <c r="A114">
        <v>5</v>
      </c>
      <c r="B114" t="s">
        <v>18</v>
      </c>
      <c r="C114" t="s">
        <v>19</v>
      </c>
      <c r="D114" s="1">
        <v>44013</v>
      </c>
      <c r="E114">
        <v>1950</v>
      </c>
      <c r="F114" s="3">
        <v>116283.18063778301</v>
      </c>
      <c r="G114" s="12">
        <f t="shared" si="2"/>
        <v>59.632400327068211</v>
      </c>
      <c r="H114" s="12" t="str">
        <f t="shared" si="3"/>
        <v>Lowest range</v>
      </c>
      <c r="I114">
        <v>1</v>
      </c>
      <c r="J114" s="2">
        <v>66.201387789158403</v>
      </c>
      <c r="K114" t="s">
        <v>23</v>
      </c>
    </row>
    <row r="115" spans="1:11" x14ac:dyDescent="0.2">
      <c r="A115">
        <v>6</v>
      </c>
      <c r="B115" t="s">
        <v>20</v>
      </c>
      <c r="C115" t="s">
        <v>21</v>
      </c>
      <c r="D115" s="1">
        <v>44013</v>
      </c>
      <c r="E115">
        <v>547</v>
      </c>
      <c r="F115" s="3">
        <v>54653.5271582758</v>
      </c>
      <c r="G115" s="12">
        <f t="shared" si="2"/>
        <v>99.915040508730897</v>
      </c>
      <c r="H115" s="12" t="str">
        <f t="shared" si="3"/>
        <v>Higher range</v>
      </c>
      <c r="I115">
        <v>0</v>
      </c>
      <c r="J115" s="2">
        <v>109.68428489168799</v>
      </c>
      <c r="K115" t="s">
        <v>23</v>
      </c>
    </row>
    <row r="116" spans="1:11" x14ac:dyDescent="0.2">
      <c r="A116">
        <v>1</v>
      </c>
      <c r="B116" t="s">
        <v>9</v>
      </c>
      <c r="C116" t="s">
        <v>10</v>
      </c>
      <c r="D116" s="1">
        <v>44044</v>
      </c>
      <c r="E116">
        <v>729</v>
      </c>
      <c r="F116" s="3">
        <v>35936.471497482198</v>
      </c>
      <c r="G116" s="12">
        <f t="shared" si="2"/>
        <v>49.295571327136074</v>
      </c>
      <c r="H116" s="12" t="str">
        <f t="shared" si="3"/>
        <v>Lowest range</v>
      </c>
      <c r="I116">
        <v>0</v>
      </c>
      <c r="J116" s="2">
        <v>84.4383732044233</v>
      </c>
      <c r="K116" t="s">
        <v>23</v>
      </c>
    </row>
    <row r="117" spans="1:11" x14ac:dyDescent="0.2">
      <c r="A117">
        <v>2</v>
      </c>
      <c r="B117" t="s">
        <v>12</v>
      </c>
      <c r="C117" t="s">
        <v>13</v>
      </c>
      <c r="D117" s="1">
        <v>44044</v>
      </c>
      <c r="E117">
        <v>290</v>
      </c>
      <c r="F117" s="3">
        <v>14388.866335790301</v>
      </c>
      <c r="G117" s="12">
        <f t="shared" si="2"/>
        <v>49.616780468242418</v>
      </c>
      <c r="H117" s="12" t="str">
        <f t="shared" si="3"/>
        <v>Lowest range</v>
      </c>
      <c r="I117">
        <v>0</v>
      </c>
      <c r="J117" s="2">
        <v>118.840239642773</v>
      </c>
      <c r="K117" t="s">
        <v>23</v>
      </c>
    </row>
    <row r="118" spans="1:11" x14ac:dyDescent="0.2">
      <c r="A118">
        <v>3</v>
      </c>
      <c r="B118" t="s">
        <v>14</v>
      </c>
      <c r="C118" t="s">
        <v>15</v>
      </c>
      <c r="D118" s="1">
        <v>44044</v>
      </c>
      <c r="E118">
        <v>188</v>
      </c>
      <c r="F118" s="3">
        <v>41992.372796333599</v>
      </c>
      <c r="G118" s="12">
        <f t="shared" si="2"/>
        <v>223.36368508688085</v>
      </c>
      <c r="H118" s="12" t="str">
        <f t="shared" si="3"/>
        <v>Highest range</v>
      </c>
      <c r="I118">
        <v>0</v>
      </c>
      <c r="J118" s="2">
        <v>57.776534407895703</v>
      </c>
      <c r="K118" t="s">
        <v>23</v>
      </c>
    </row>
    <row r="119" spans="1:11" x14ac:dyDescent="0.2">
      <c r="A119">
        <v>4</v>
      </c>
      <c r="B119" t="s">
        <v>16</v>
      </c>
      <c r="C119" t="s">
        <v>17</v>
      </c>
      <c r="D119" s="1">
        <v>44044</v>
      </c>
      <c r="E119">
        <v>697</v>
      </c>
      <c r="F119" s="3">
        <v>38110.709037235501</v>
      </c>
      <c r="G119" s="12">
        <f t="shared" si="2"/>
        <v>54.678205218415357</v>
      </c>
      <c r="H119" s="12" t="str">
        <f t="shared" si="3"/>
        <v>Lowest range</v>
      </c>
      <c r="I119">
        <v>0</v>
      </c>
      <c r="J119" s="2">
        <v>63.681863091896098</v>
      </c>
      <c r="K119" t="s">
        <v>23</v>
      </c>
    </row>
    <row r="120" spans="1:11" x14ac:dyDescent="0.2">
      <c r="A120">
        <v>5</v>
      </c>
      <c r="B120" t="s">
        <v>18</v>
      </c>
      <c r="C120" t="s">
        <v>19</v>
      </c>
      <c r="D120" s="1">
        <v>44044</v>
      </c>
      <c r="E120">
        <v>1211</v>
      </c>
      <c r="F120" s="3">
        <v>151937.06034080099</v>
      </c>
      <c r="G120" s="12">
        <f t="shared" si="2"/>
        <v>125.46412910057886</v>
      </c>
      <c r="H120" s="12" t="str">
        <f t="shared" si="3"/>
        <v>Higher range</v>
      </c>
      <c r="I120">
        <v>1</v>
      </c>
      <c r="J120" s="2">
        <v>113.894938533426</v>
      </c>
      <c r="K120" t="s">
        <v>23</v>
      </c>
    </row>
    <row r="121" spans="1:11" x14ac:dyDescent="0.2">
      <c r="A121">
        <v>6</v>
      </c>
      <c r="B121" t="s">
        <v>20</v>
      </c>
      <c r="C121" t="s">
        <v>21</v>
      </c>
      <c r="D121" s="1">
        <v>44044</v>
      </c>
      <c r="E121">
        <v>523</v>
      </c>
      <c r="F121" s="3">
        <v>66096.063574676096</v>
      </c>
      <c r="G121" s="12">
        <f t="shared" si="2"/>
        <v>126.37870664374014</v>
      </c>
      <c r="H121" s="12" t="str">
        <f t="shared" si="3"/>
        <v>Higher range</v>
      </c>
      <c r="I121">
        <v>1</v>
      </c>
      <c r="J121" s="2">
        <v>134.91956515653101</v>
      </c>
      <c r="K121" t="s">
        <v>23</v>
      </c>
    </row>
    <row r="122" spans="1:11" x14ac:dyDescent="0.2">
      <c r="A122">
        <v>1</v>
      </c>
      <c r="B122" t="s">
        <v>9</v>
      </c>
      <c r="C122" t="s">
        <v>10</v>
      </c>
      <c r="D122" s="1">
        <v>44075</v>
      </c>
      <c r="E122">
        <v>686</v>
      </c>
      <c r="F122" s="3">
        <v>48596.685770827004</v>
      </c>
      <c r="G122" s="12">
        <f t="shared" si="2"/>
        <v>70.840649811701169</v>
      </c>
      <c r="H122" s="12" t="str">
        <f t="shared" si="3"/>
        <v>Lower range</v>
      </c>
      <c r="I122">
        <v>0</v>
      </c>
      <c r="J122" s="2">
        <v>119.317521145692</v>
      </c>
      <c r="K122" t="s">
        <v>24</v>
      </c>
    </row>
    <row r="123" spans="1:11" x14ac:dyDescent="0.2">
      <c r="A123">
        <v>2</v>
      </c>
      <c r="B123" t="s">
        <v>12</v>
      </c>
      <c r="C123" t="s">
        <v>13</v>
      </c>
      <c r="D123" s="1">
        <v>44075</v>
      </c>
      <c r="E123">
        <v>167</v>
      </c>
      <c r="F123" s="3">
        <v>52898.748295623598</v>
      </c>
      <c r="G123" s="12">
        <f t="shared" si="2"/>
        <v>316.75897183008141</v>
      </c>
      <c r="H123" s="12" t="str">
        <f t="shared" si="3"/>
        <v>Highest range</v>
      </c>
      <c r="I123">
        <v>1</v>
      </c>
      <c r="J123" s="2">
        <v>120.557517251568</v>
      </c>
      <c r="K123" t="s">
        <v>24</v>
      </c>
    </row>
    <row r="124" spans="1:11" x14ac:dyDescent="0.2">
      <c r="A124">
        <v>3</v>
      </c>
      <c r="B124" t="s">
        <v>14</v>
      </c>
      <c r="C124" t="s">
        <v>15</v>
      </c>
      <c r="D124" s="1">
        <v>44075</v>
      </c>
      <c r="E124">
        <v>423</v>
      </c>
      <c r="F124" s="3">
        <v>66369.694692770703</v>
      </c>
      <c r="G124" s="12">
        <f t="shared" si="2"/>
        <v>156.9023515195525</v>
      </c>
      <c r="H124" s="12" t="str">
        <f t="shared" si="3"/>
        <v>Highest range</v>
      </c>
      <c r="I124">
        <v>1</v>
      </c>
      <c r="J124" s="2">
        <v>62.052257878646401</v>
      </c>
      <c r="K124" t="s">
        <v>24</v>
      </c>
    </row>
    <row r="125" spans="1:11" x14ac:dyDescent="0.2">
      <c r="A125">
        <v>4</v>
      </c>
      <c r="B125" t="s">
        <v>16</v>
      </c>
      <c r="C125" t="s">
        <v>17</v>
      </c>
      <c r="D125" s="1">
        <v>44075</v>
      </c>
      <c r="E125">
        <v>526</v>
      </c>
      <c r="F125" s="3">
        <v>33614.712128903899</v>
      </c>
      <c r="G125" s="12">
        <f t="shared" si="2"/>
        <v>63.906296823011218</v>
      </c>
      <c r="H125" s="12" t="str">
        <f t="shared" si="3"/>
        <v>Lowest range</v>
      </c>
      <c r="I125">
        <v>1</v>
      </c>
      <c r="J125" s="2">
        <v>147.10582451653599</v>
      </c>
      <c r="K125" t="s">
        <v>24</v>
      </c>
    </row>
    <row r="126" spans="1:11" x14ac:dyDescent="0.2">
      <c r="A126">
        <v>5</v>
      </c>
      <c r="B126" t="s">
        <v>18</v>
      </c>
      <c r="C126" t="s">
        <v>19</v>
      </c>
      <c r="D126" s="1">
        <v>44075</v>
      </c>
      <c r="E126">
        <v>1471</v>
      </c>
      <c r="F126" s="3">
        <v>127037.517434315</v>
      </c>
      <c r="G126" s="12">
        <f t="shared" si="2"/>
        <v>86.361330682743031</v>
      </c>
      <c r="H126" s="12" t="str">
        <f t="shared" si="3"/>
        <v>Lower range</v>
      </c>
      <c r="I126">
        <v>0</v>
      </c>
      <c r="J126" s="2">
        <v>95.5143685036156</v>
      </c>
      <c r="K126" t="s">
        <v>24</v>
      </c>
    </row>
    <row r="127" spans="1:11" x14ac:dyDescent="0.2">
      <c r="A127">
        <v>6</v>
      </c>
      <c r="B127" t="s">
        <v>20</v>
      </c>
      <c r="C127" t="s">
        <v>21</v>
      </c>
      <c r="D127" s="1">
        <v>44075</v>
      </c>
      <c r="E127">
        <v>938</v>
      </c>
      <c r="F127" s="3">
        <v>56801.352610504597</v>
      </c>
      <c r="G127" s="12">
        <f t="shared" si="2"/>
        <v>60.555813017595518</v>
      </c>
      <c r="H127" s="12" t="str">
        <f t="shared" si="3"/>
        <v>Lowest range</v>
      </c>
      <c r="I127">
        <v>1</v>
      </c>
      <c r="J127" s="2">
        <v>109.626987848205</v>
      </c>
      <c r="K127" t="s">
        <v>24</v>
      </c>
    </row>
    <row r="128" spans="1:11" x14ac:dyDescent="0.2">
      <c r="A128">
        <v>1</v>
      </c>
      <c r="B128" t="s">
        <v>9</v>
      </c>
      <c r="C128" t="s">
        <v>10</v>
      </c>
      <c r="D128" s="1">
        <v>44105</v>
      </c>
      <c r="E128">
        <v>413</v>
      </c>
      <c r="F128" s="3">
        <v>43816.5575306272</v>
      </c>
      <c r="G128" s="12">
        <f t="shared" si="2"/>
        <v>106.09335963832253</v>
      </c>
      <c r="H128" s="12" t="str">
        <f t="shared" si="3"/>
        <v>Higher range</v>
      </c>
      <c r="I128">
        <v>1</v>
      </c>
      <c r="J128" s="2">
        <v>138.49983565232799</v>
      </c>
      <c r="K128" t="s">
        <v>24</v>
      </c>
    </row>
    <row r="129" spans="1:11" x14ac:dyDescent="0.2">
      <c r="A129">
        <v>2</v>
      </c>
      <c r="B129" t="s">
        <v>12</v>
      </c>
      <c r="C129" t="s">
        <v>13</v>
      </c>
      <c r="D129" s="1">
        <v>44105</v>
      </c>
      <c r="E129">
        <v>100</v>
      </c>
      <c r="F129" s="3">
        <v>75963.554156693906</v>
      </c>
      <c r="G129" s="12">
        <f t="shared" si="2"/>
        <v>759.63554156693908</v>
      </c>
      <c r="H129" s="12" t="str">
        <f t="shared" si="3"/>
        <v>Highest range</v>
      </c>
      <c r="I129">
        <v>0</v>
      </c>
      <c r="J129" s="2">
        <v>56.535634079894201</v>
      </c>
      <c r="K129" t="s">
        <v>24</v>
      </c>
    </row>
    <row r="130" spans="1:11" x14ac:dyDescent="0.2">
      <c r="A130">
        <v>3</v>
      </c>
      <c r="B130" t="s">
        <v>14</v>
      </c>
      <c r="C130" t="s">
        <v>15</v>
      </c>
      <c r="D130" s="1">
        <v>44105</v>
      </c>
      <c r="E130">
        <v>582</v>
      </c>
      <c r="F130" s="3">
        <v>11406.3080737168</v>
      </c>
      <c r="G130" s="12">
        <f t="shared" si="2"/>
        <v>19.59846748061306</v>
      </c>
      <c r="H130" s="12" t="str">
        <f t="shared" si="3"/>
        <v>Lowest range</v>
      </c>
      <c r="I130">
        <v>0</v>
      </c>
      <c r="J130" s="2">
        <v>116.16551750805399</v>
      </c>
      <c r="K130" t="s">
        <v>24</v>
      </c>
    </row>
    <row r="131" spans="1:11" x14ac:dyDescent="0.2">
      <c r="A131">
        <v>4</v>
      </c>
      <c r="B131" t="s">
        <v>16</v>
      </c>
      <c r="C131" t="s">
        <v>17</v>
      </c>
      <c r="D131" s="1">
        <v>44105</v>
      </c>
      <c r="E131">
        <v>529</v>
      </c>
      <c r="F131" s="3">
        <v>84271.479816444102</v>
      </c>
      <c r="G131" s="12">
        <f t="shared" ref="G131:G194" si="4">F131/E131</f>
        <v>159.30336449233289</v>
      </c>
      <c r="H131" s="12" t="str">
        <f t="shared" ref="H131:H194" si="5">IF(G131&lt;=64, "Lowest range",
   IF(AND(G131&gt;64, G131&lt;=91), "Lower range",
      IF(AND(G131&gt;91, G131&lt;=137), "Higher range",
         IF(G131&gt;137, "Highest range", "Not categorised"))))</f>
        <v>Highest range</v>
      </c>
      <c r="I131">
        <v>0</v>
      </c>
      <c r="J131" s="2">
        <v>111.58631881823</v>
      </c>
      <c r="K131" t="s">
        <v>24</v>
      </c>
    </row>
    <row r="132" spans="1:11" x14ac:dyDescent="0.2">
      <c r="A132">
        <v>5</v>
      </c>
      <c r="B132" t="s">
        <v>18</v>
      </c>
      <c r="C132" t="s">
        <v>19</v>
      </c>
      <c r="D132" s="1">
        <v>44105</v>
      </c>
      <c r="E132">
        <v>1515</v>
      </c>
      <c r="F132" s="3">
        <v>174942.61608085901</v>
      </c>
      <c r="G132" s="12">
        <f t="shared" si="4"/>
        <v>115.47367398076501</v>
      </c>
      <c r="H132" s="12" t="str">
        <f t="shared" si="5"/>
        <v>Higher range</v>
      </c>
      <c r="I132">
        <v>1</v>
      </c>
      <c r="J132" s="2">
        <v>148.40834691992899</v>
      </c>
      <c r="K132" t="s">
        <v>24</v>
      </c>
    </row>
    <row r="133" spans="1:11" x14ac:dyDescent="0.2">
      <c r="A133">
        <v>6</v>
      </c>
      <c r="B133" t="s">
        <v>20</v>
      </c>
      <c r="C133" t="s">
        <v>21</v>
      </c>
      <c r="D133" s="1">
        <v>44105</v>
      </c>
      <c r="E133">
        <v>369</v>
      </c>
      <c r="F133" s="3">
        <v>41089.9495719845</v>
      </c>
      <c r="G133" s="12">
        <f t="shared" si="4"/>
        <v>111.35487688884689</v>
      </c>
      <c r="H133" s="12" t="str">
        <f t="shared" si="5"/>
        <v>Higher range</v>
      </c>
      <c r="I133">
        <v>0</v>
      </c>
      <c r="J133" s="2">
        <v>102.251919163452</v>
      </c>
      <c r="K133" t="s">
        <v>24</v>
      </c>
    </row>
    <row r="134" spans="1:11" x14ac:dyDescent="0.2">
      <c r="A134">
        <v>1</v>
      </c>
      <c r="B134" t="s">
        <v>9</v>
      </c>
      <c r="C134" t="s">
        <v>10</v>
      </c>
      <c r="D134" s="1">
        <v>44136</v>
      </c>
      <c r="E134">
        <v>790</v>
      </c>
      <c r="F134" s="3">
        <v>12773.0219264635</v>
      </c>
      <c r="G134" s="12">
        <f t="shared" si="4"/>
        <v>16.168382185396837</v>
      </c>
      <c r="H134" s="12" t="str">
        <f t="shared" si="5"/>
        <v>Lowest range</v>
      </c>
      <c r="I134">
        <v>1</v>
      </c>
      <c r="J134" s="2">
        <v>79.630812045599001</v>
      </c>
      <c r="K134" t="s">
        <v>24</v>
      </c>
    </row>
    <row r="135" spans="1:11" x14ac:dyDescent="0.2">
      <c r="A135">
        <v>2</v>
      </c>
      <c r="B135" t="s">
        <v>12</v>
      </c>
      <c r="C135" t="s">
        <v>13</v>
      </c>
      <c r="D135" s="1">
        <v>44136</v>
      </c>
      <c r="E135">
        <v>440</v>
      </c>
      <c r="F135" s="3">
        <v>11326.433977848699</v>
      </c>
      <c r="G135" s="12">
        <f t="shared" si="4"/>
        <v>25.741895404201589</v>
      </c>
      <c r="H135" s="12" t="str">
        <f t="shared" si="5"/>
        <v>Lowest range</v>
      </c>
      <c r="I135">
        <v>1</v>
      </c>
      <c r="J135" s="2">
        <v>62.443755729685599</v>
      </c>
      <c r="K135" t="s">
        <v>24</v>
      </c>
    </row>
    <row r="136" spans="1:11" x14ac:dyDescent="0.2">
      <c r="A136">
        <v>3</v>
      </c>
      <c r="B136" t="s">
        <v>14</v>
      </c>
      <c r="C136" t="s">
        <v>15</v>
      </c>
      <c r="D136" s="1">
        <v>44136</v>
      </c>
      <c r="E136">
        <v>258</v>
      </c>
      <c r="F136" s="3">
        <v>61261.5774794514</v>
      </c>
      <c r="G136" s="12">
        <f t="shared" si="4"/>
        <v>237.44797472655583</v>
      </c>
      <c r="H136" s="12" t="str">
        <f t="shared" si="5"/>
        <v>Highest range</v>
      </c>
      <c r="I136">
        <v>0</v>
      </c>
      <c r="J136" s="2">
        <v>137.91183075621601</v>
      </c>
      <c r="K136" t="s">
        <v>24</v>
      </c>
    </row>
    <row r="137" spans="1:11" x14ac:dyDescent="0.2">
      <c r="A137">
        <v>4</v>
      </c>
      <c r="B137" t="s">
        <v>16</v>
      </c>
      <c r="C137" t="s">
        <v>17</v>
      </c>
      <c r="D137" s="1">
        <v>44136</v>
      </c>
      <c r="E137">
        <v>193</v>
      </c>
      <c r="F137" s="3">
        <v>49010.725806951297</v>
      </c>
      <c r="G137" s="12">
        <f t="shared" si="4"/>
        <v>253.94158449197565</v>
      </c>
      <c r="H137" s="12" t="str">
        <f t="shared" si="5"/>
        <v>Highest range</v>
      </c>
      <c r="I137">
        <v>0</v>
      </c>
      <c r="J137" s="2">
        <v>148.918490981335</v>
      </c>
      <c r="K137" t="s">
        <v>24</v>
      </c>
    </row>
    <row r="138" spans="1:11" x14ac:dyDescent="0.2">
      <c r="A138">
        <v>5</v>
      </c>
      <c r="B138" t="s">
        <v>18</v>
      </c>
      <c r="C138" t="s">
        <v>19</v>
      </c>
      <c r="D138" s="1">
        <v>44136</v>
      </c>
      <c r="E138">
        <v>1683</v>
      </c>
      <c r="F138" s="3">
        <v>111357.97216135501</v>
      </c>
      <c r="G138" s="12">
        <f t="shared" si="4"/>
        <v>66.166353037049916</v>
      </c>
      <c r="H138" s="12" t="str">
        <f t="shared" si="5"/>
        <v>Lower range</v>
      </c>
      <c r="I138">
        <v>1</v>
      </c>
      <c r="J138" s="2">
        <v>133.78257352832401</v>
      </c>
      <c r="K138" t="s">
        <v>24</v>
      </c>
    </row>
    <row r="139" spans="1:11" x14ac:dyDescent="0.2">
      <c r="A139">
        <v>6</v>
      </c>
      <c r="B139" t="s">
        <v>20</v>
      </c>
      <c r="C139" t="s">
        <v>21</v>
      </c>
      <c r="D139" s="1">
        <v>44136</v>
      </c>
      <c r="E139">
        <v>623</v>
      </c>
      <c r="F139" s="3">
        <v>39925.9103865371</v>
      </c>
      <c r="G139" s="12">
        <f t="shared" si="4"/>
        <v>64.086533525741729</v>
      </c>
      <c r="H139" s="12" t="str">
        <f t="shared" si="5"/>
        <v>Lower range</v>
      </c>
      <c r="I139">
        <v>1</v>
      </c>
      <c r="J139" s="2">
        <v>73.066981171775794</v>
      </c>
      <c r="K139" t="s">
        <v>24</v>
      </c>
    </row>
    <row r="140" spans="1:11" x14ac:dyDescent="0.2">
      <c r="A140">
        <v>1</v>
      </c>
      <c r="B140" t="s">
        <v>9</v>
      </c>
      <c r="C140" t="s">
        <v>10</v>
      </c>
      <c r="D140" s="1">
        <v>44166</v>
      </c>
      <c r="E140">
        <v>396</v>
      </c>
      <c r="F140" s="3">
        <v>38021.512068813201</v>
      </c>
      <c r="G140" s="12">
        <f t="shared" si="4"/>
        <v>96.013919365689901</v>
      </c>
      <c r="H140" s="12" t="str">
        <f t="shared" si="5"/>
        <v>Higher range</v>
      </c>
      <c r="I140">
        <v>0</v>
      </c>
      <c r="J140" s="2">
        <v>145.72702629833199</v>
      </c>
      <c r="K140" t="s">
        <v>11</v>
      </c>
    </row>
    <row r="141" spans="1:11" x14ac:dyDescent="0.2">
      <c r="A141">
        <v>2</v>
      </c>
      <c r="B141" t="s">
        <v>12</v>
      </c>
      <c r="C141" t="s">
        <v>13</v>
      </c>
      <c r="D141" s="1">
        <v>44166</v>
      </c>
      <c r="E141">
        <v>593</v>
      </c>
      <c r="F141" s="3">
        <v>60163.795549842602</v>
      </c>
      <c r="G141" s="12">
        <f t="shared" si="4"/>
        <v>101.45665354104992</v>
      </c>
      <c r="H141" s="12" t="str">
        <f t="shared" si="5"/>
        <v>Higher range</v>
      </c>
      <c r="I141">
        <v>1</v>
      </c>
      <c r="J141" s="2">
        <v>146.91026301408101</v>
      </c>
      <c r="K141" t="s">
        <v>11</v>
      </c>
    </row>
    <row r="142" spans="1:11" x14ac:dyDescent="0.2">
      <c r="A142">
        <v>3</v>
      </c>
      <c r="B142" t="s">
        <v>14</v>
      </c>
      <c r="C142" t="s">
        <v>15</v>
      </c>
      <c r="D142" s="1">
        <v>44166</v>
      </c>
      <c r="E142">
        <v>784</v>
      </c>
      <c r="F142" s="3">
        <v>38585.074125010397</v>
      </c>
      <c r="G142" s="12">
        <f t="shared" si="4"/>
        <v>49.215655771696937</v>
      </c>
      <c r="H142" s="12" t="str">
        <f t="shared" si="5"/>
        <v>Lowest range</v>
      </c>
      <c r="I142">
        <v>1</v>
      </c>
      <c r="J142" s="2">
        <v>149.63357758067201</v>
      </c>
      <c r="K142" t="s">
        <v>11</v>
      </c>
    </row>
    <row r="143" spans="1:11" x14ac:dyDescent="0.2">
      <c r="A143">
        <v>4</v>
      </c>
      <c r="B143" t="s">
        <v>16</v>
      </c>
      <c r="C143" t="s">
        <v>17</v>
      </c>
      <c r="D143" s="1">
        <v>44166</v>
      </c>
      <c r="E143">
        <v>482</v>
      </c>
      <c r="F143" s="3">
        <v>68908.197999542594</v>
      </c>
      <c r="G143" s="12">
        <f t="shared" si="4"/>
        <v>142.96306638909252</v>
      </c>
      <c r="H143" s="12" t="str">
        <f t="shared" si="5"/>
        <v>Highest range</v>
      </c>
      <c r="I143">
        <v>0</v>
      </c>
      <c r="J143" s="2">
        <v>72.381761482262306</v>
      </c>
      <c r="K143" t="s">
        <v>11</v>
      </c>
    </row>
    <row r="144" spans="1:11" x14ac:dyDescent="0.2">
      <c r="A144">
        <v>5</v>
      </c>
      <c r="B144" t="s">
        <v>18</v>
      </c>
      <c r="C144" t="s">
        <v>19</v>
      </c>
      <c r="D144" s="1">
        <v>44166</v>
      </c>
      <c r="E144">
        <v>1707</v>
      </c>
      <c r="F144" s="3">
        <v>128135.14904699899</v>
      </c>
      <c r="G144" s="12">
        <f t="shared" si="4"/>
        <v>75.064527854129466</v>
      </c>
      <c r="H144" s="12" t="str">
        <f t="shared" si="5"/>
        <v>Lower range</v>
      </c>
      <c r="I144">
        <v>1</v>
      </c>
      <c r="J144" s="2">
        <v>136.012681641792</v>
      </c>
      <c r="K144" t="s">
        <v>11</v>
      </c>
    </row>
    <row r="145" spans="1:11" x14ac:dyDescent="0.2">
      <c r="A145">
        <v>6</v>
      </c>
      <c r="B145" t="s">
        <v>20</v>
      </c>
      <c r="C145" t="s">
        <v>21</v>
      </c>
      <c r="D145" s="1">
        <v>44166</v>
      </c>
      <c r="E145">
        <v>100</v>
      </c>
      <c r="F145" s="3">
        <v>32432.576258144301</v>
      </c>
      <c r="G145" s="12">
        <f t="shared" si="4"/>
        <v>324.32576258144303</v>
      </c>
      <c r="H145" s="12" t="str">
        <f t="shared" si="5"/>
        <v>Highest range</v>
      </c>
      <c r="I145">
        <v>0</v>
      </c>
      <c r="J145" s="2">
        <v>62.9514921282804</v>
      </c>
      <c r="K145" t="s">
        <v>11</v>
      </c>
    </row>
    <row r="146" spans="1:11" x14ac:dyDescent="0.2">
      <c r="A146">
        <v>1</v>
      </c>
      <c r="B146" t="s">
        <v>9</v>
      </c>
      <c r="C146" t="s">
        <v>10</v>
      </c>
      <c r="D146" s="1">
        <v>44197</v>
      </c>
      <c r="E146">
        <v>557</v>
      </c>
      <c r="F146" s="3">
        <v>56689.135799740499</v>
      </c>
      <c r="G146" s="12">
        <f t="shared" si="4"/>
        <v>101.77582728858259</v>
      </c>
      <c r="H146" s="12" t="str">
        <f t="shared" si="5"/>
        <v>Higher range</v>
      </c>
      <c r="I146">
        <v>1</v>
      </c>
      <c r="J146" s="2">
        <v>143.15894883189901</v>
      </c>
      <c r="K146" t="s">
        <v>11</v>
      </c>
    </row>
    <row r="147" spans="1:11" x14ac:dyDescent="0.2">
      <c r="A147">
        <v>2</v>
      </c>
      <c r="B147" t="s">
        <v>12</v>
      </c>
      <c r="C147" t="s">
        <v>13</v>
      </c>
      <c r="D147" s="1">
        <v>44197</v>
      </c>
      <c r="E147">
        <v>318</v>
      </c>
      <c r="F147" s="3">
        <v>69497.005693922605</v>
      </c>
      <c r="G147" s="12">
        <f t="shared" si="4"/>
        <v>218.54404306264971</v>
      </c>
      <c r="H147" s="12" t="str">
        <f t="shared" si="5"/>
        <v>Highest range</v>
      </c>
      <c r="I147">
        <v>1</v>
      </c>
      <c r="J147" s="2">
        <v>87.268851701231398</v>
      </c>
      <c r="K147" t="s">
        <v>11</v>
      </c>
    </row>
    <row r="148" spans="1:11" x14ac:dyDescent="0.2">
      <c r="A148">
        <v>3</v>
      </c>
      <c r="B148" t="s">
        <v>14</v>
      </c>
      <c r="C148" t="s">
        <v>15</v>
      </c>
      <c r="D148" s="1">
        <v>44197</v>
      </c>
      <c r="E148">
        <v>676</v>
      </c>
      <c r="F148" s="3">
        <v>30986.3241718934</v>
      </c>
      <c r="G148" s="12">
        <f t="shared" si="4"/>
        <v>45.837757650729884</v>
      </c>
      <c r="H148" s="12" t="str">
        <f t="shared" si="5"/>
        <v>Lowest range</v>
      </c>
      <c r="I148">
        <v>1</v>
      </c>
      <c r="J148" s="2">
        <v>103.260251940076</v>
      </c>
      <c r="K148" t="s">
        <v>11</v>
      </c>
    </row>
    <row r="149" spans="1:11" x14ac:dyDescent="0.2">
      <c r="A149">
        <v>4</v>
      </c>
      <c r="B149" t="s">
        <v>16</v>
      </c>
      <c r="C149" t="s">
        <v>17</v>
      </c>
      <c r="D149" s="1">
        <v>44197</v>
      </c>
      <c r="E149">
        <v>681</v>
      </c>
      <c r="F149" s="3">
        <v>50717.890995353897</v>
      </c>
      <c r="G149" s="12">
        <f t="shared" si="4"/>
        <v>74.475610859550514</v>
      </c>
      <c r="H149" s="12" t="str">
        <f t="shared" si="5"/>
        <v>Lower range</v>
      </c>
      <c r="I149">
        <v>0</v>
      </c>
      <c r="J149" s="2">
        <v>84.780920790219298</v>
      </c>
      <c r="K149" t="s">
        <v>11</v>
      </c>
    </row>
    <row r="150" spans="1:11" x14ac:dyDescent="0.2">
      <c r="A150">
        <v>5</v>
      </c>
      <c r="B150" t="s">
        <v>18</v>
      </c>
      <c r="C150" t="s">
        <v>19</v>
      </c>
      <c r="D150" s="1">
        <v>44197</v>
      </c>
      <c r="E150">
        <v>1204</v>
      </c>
      <c r="F150" s="3">
        <v>155401.21977208101</v>
      </c>
      <c r="G150" s="12">
        <f t="shared" si="4"/>
        <v>129.07078054159552</v>
      </c>
      <c r="H150" s="12" t="str">
        <f t="shared" si="5"/>
        <v>Higher range</v>
      </c>
      <c r="I150">
        <v>0</v>
      </c>
      <c r="J150" s="2">
        <v>123.39099189536999</v>
      </c>
      <c r="K150" t="s">
        <v>11</v>
      </c>
    </row>
    <row r="151" spans="1:11" x14ac:dyDescent="0.2">
      <c r="A151">
        <v>6</v>
      </c>
      <c r="B151" t="s">
        <v>20</v>
      </c>
      <c r="C151" t="s">
        <v>21</v>
      </c>
      <c r="D151" s="1">
        <v>44197</v>
      </c>
      <c r="E151">
        <v>720</v>
      </c>
      <c r="F151" s="3">
        <v>51272.355199003301</v>
      </c>
      <c r="G151" s="12">
        <f t="shared" si="4"/>
        <v>71.211604443060139</v>
      </c>
      <c r="H151" s="12" t="str">
        <f t="shared" si="5"/>
        <v>Lower range</v>
      </c>
      <c r="I151">
        <v>1</v>
      </c>
      <c r="J151" s="2">
        <v>135.058172909424</v>
      </c>
      <c r="K151" t="s">
        <v>11</v>
      </c>
    </row>
    <row r="152" spans="1:11" x14ac:dyDescent="0.2">
      <c r="A152">
        <v>1</v>
      </c>
      <c r="B152" t="s">
        <v>9</v>
      </c>
      <c r="C152" t="s">
        <v>10</v>
      </c>
      <c r="D152" s="1">
        <v>44228</v>
      </c>
      <c r="E152">
        <v>581</v>
      </c>
      <c r="F152" s="3">
        <v>64300.140276022801</v>
      </c>
      <c r="G152" s="12">
        <f t="shared" si="4"/>
        <v>110.67149789332667</v>
      </c>
      <c r="H152" s="12" t="str">
        <f t="shared" si="5"/>
        <v>Higher range</v>
      </c>
      <c r="I152">
        <v>0</v>
      </c>
      <c r="J152" s="2">
        <v>73.869003130101703</v>
      </c>
      <c r="K152" t="s">
        <v>11</v>
      </c>
    </row>
    <row r="153" spans="1:11" x14ac:dyDescent="0.2">
      <c r="A153">
        <v>2</v>
      </c>
      <c r="B153" t="s">
        <v>12</v>
      </c>
      <c r="C153" t="s">
        <v>13</v>
      </c>
      <c r="D153" s="1">
        <v>44228</v>
      </c>
      <c r="E153">
        <v>314</v>
      </c>
      <c r="F153" s="3">
        <v>61887.376178463302</v>
      </c>
      <c r="G153" s="12">
        <f t="shared" si="4"/>
        <v>197.09355470848186</v>
      </c>
      <c r="H153" s="12" t="str">
        <f t="shared" si="5"/>
        <v>Highest range</v>
      </c>
      <c r="I153">
        <v>0</v>
      </c>
      <c r="J153" s="2">
        <v>138.08707591989199</v>
      </c>
      <c r="K153" t="s">
        <v>11</v>
      </c>
    </row>
    <row r="154" spans="1:11" x14ac:dyDescent="0.2">
      <c r="A154">
        <v>3</v>
      </c>
      <c r="B154" t="s">
        <v>14</v>
      </c>
      <c r="C154" t="s">
        <v>15</v>
      </c>
      <c r="D154" s="1">
        <v>44228</v>
      </c>
      <c r="E154">
        <v>466</v>
      </c>
      <c r="F154" s="3">
        <v>52934.273728666398</v>
      </c>
      <c r="G154" s="12">
        <f t="shared" si="4"/>
        <v>113.59286207868325</v>
      </c>
      <c r="H154" s="12" t="str">
        <f t="shared" si="5"/>
        <v>Higher range</v>
      </c>
      <c r="I154">
        <v>0</v>
      </c>
      <c r="J154" s="2">
        <v>72.862516152492304</v>
      </c>
      <c r="K154" t="s">
        <v>11</v>
      </c>
    </row>
    <row r="155" spans="1:11" x14ac:dyDescent="0.2">
      <c r="A155">
        <v>4</v>
      </c>
      <c r="B155" t="s">
        <v>16</v>
      </c>
      <c r="C155" t="s">
        <v>17</v>
      </c>
      <c r="D155" s="1">
        <v>44228</v>
      </c>
      <c r="E155">
        <v>813</v>
      </c>
      <c r="F155" s="3">
        <v>56862.181659035101</v>
      </c>
      <c r="G155" s="12">
        <f t="shared" si="4"/>
        <v>69.941182852441699</v>
      </c>
      <c r="H155" s="12" t="str">
        <f t="shared" si="5"/>
        <v>Lower range</v>
      </c>
      <c r="I155">
        <v>1</v>
      </c>
      <c r="J155" s="2">
        <v>50.638587171683298</v>
      </c>
      <c r="K155" t="s">
        <v>11</v>
      </c>
    </row>
    <row r="156" spans="1:11" x14ac:dyDescent="0.2">
      <c r="A156">
        <v>5</v>
      </c>
      <c r="B156" t="s">
        <v>18</v>
      </c>
      <c r="C156" t="s">
        <v>19</v>
      </c>
      <c r="D156" s="1">
        <v>44228</v>
      </c>
      <c r="E156">
        <v>1245</v>
      </c>
      <c r="F156" s="3">
        <v>55318.208210520803</v>
      </c>
      <c r="G156" s="12">
        <f t="shared" si="4"/>
        <v>44.43229575142233</v>
      </c>
      <c r="H156" s="12" t="str">
        <f t="shared" si="5"/>
        <v>Lowest range</v>
      </c>
      <c r="I156">
        <v>0</v>
      </c>
      <c r="J156" s="2">
        <v>105.984431230882</v>
      </c>
      <c r="K156" t="s">
        <v>11</v>
      </c>
    </row>
    <row r="157" spans="1:11" x14ac:dyDescent="0.2">
      <c r="A157">
        <v>6</v>
      </c>
      <c r="B157" t="s">
        <v>20</v>
      </c>
      <c r="C157" t="s">
        <v>21</v>
      </c>
      <c r="D157" s="1">
        <v>44228</v>
      </c>
      <c r="E157">
        <v>443</v>
      </c>
      <c r="F157" s="3">
        <v>32359.453175851399</v>
      </c>
      <c r="G157" s="12">
        <f t="shared" si="4"/>
        <v>73.046169697181483</v>
      </c>
      <c r="H157" s="12" t="str">
        <f t="shared" si="5"/>
        <v>Lower range</v>
      </c>
      <c r="I157">
        <v>1</v>
      </c>
      <c r="J157" s="2">
        <v>103.99853797158499</v>
      </c>
      <c r="K157" t="s">
        <v>11</v>
      </c>
    </row>
    <row r="158" spans="1:11" x14ac:dyDescent="0.2">
      <c r="A158">
        <v>1</v>
      </c>
      <c r="B158" t="s">
        <v>9</v>
      </c>
      <c r="C158" t="s">
        <v>10</v>
      </c>
      <c r="D158" s="1">
        <v>44256</v>
      </c>
      <c r="E158">
        <v>438</v>
      </c>
      <c r="F158" s="3">
        <v>54383.006553278698</v>
      </c>
      <c r="G158" s="12">
        <f t="shared" si="4"/>
        <v>124.16211541844451</v>
      </c>
      <c r="H158" s="12" t="str">
        <f t="shared" si="5"/>
        <v>Higher range</v>
      </c>
      <c r="I158">
        <v>1</v>
      </c>
      <c r="J158" s="2">
        <v>51.842771873821697</v>
      </c>
      <c r="K158" t="s">
        <v>22</v>
      </c>
    </row>
    <row r="159" spans="1:11" x14ac:dyDescent="0.2">
      <c r="A159">
        <v>2</v>
      </c>
      <c r="B159" t="s">
        <v>12</v>
      </c>
      <c r="C159" t="s">
        <v>13</v>
      </c>
      <c r="D159" s="1">
        <v>44256</v>
      </c>
      <c r="E159">
        <v>737</v>
      </c>
      <c r="F159" s="3">
        <v>45272.943321512801</v>
      </c>
      <c r="G159" s="12">
        <f t="shared" si="4"/>
        <v>61.428688360261603</v>
      </c>
      <c r="H159" s="12" t="str">
        <f t="shared" si="5"/>
        <v>Lowest range</v>
      </c>
      <c r="I159">
        <v>1</v>
      </c>
      <c r="J159" s="2">
        <v>113.262189313394</v>
      </c>
      <c r="K159" t="s">
        <v>22</v>
      </c>
    </row>
    <row r="160" spans="1:11" x14ac:dyDescent="0.2">
      <c r="A160">
        <v>3</v>
      </c>
      <c r="B160" t="s">
        <v>14</v>
      </c>
      <c r="C160" t="s">
        <v>15</v>
      </c>
      <c r="D160" s="1">
        <v>44256</v>
      </c>
      <c r="E160">
        <v>535</v>
      </c>
      <c r="F160" s="3">
        <v>58170.246967548497</v>
      </c>
      <c r="G160" s="12">
        <f t="shared" si="4"/>
        <v>108.72943358420279</v>
      </c>
      <c r="H160" s="12" t="str">
        <f t="shared" si="5"/>
        <v>Higher range</v>
      </c>
      <c r="I160">
        <v>1</v>
      </c>
      <c r="J160" s="2">
        <v>144.72978882563299</v>
      </c>
      <c r="K160" t="s">
        <v>22</v>
      </c>
    </row>
    <row r="161" spans="1:11" x14ac:dyDescent="0.2">
      <c r="A161">
        <v>4</v>
      </c>
      <c r="B161" t="s">
        <v>16</v>
      </c>
      <c r="C161" t="s">
        <v>17</v>
      </c>
      <c r="D161" s="1">
        <v>44256</v>
      </c>
      <c r="E161">
        <v>598</v>
      </c>
      <c r="F161" s="3">
        <v>37924.395218758596</v>
      </c>
      <c r="G161" s="12">
        <f t="shared" si="4"/>
        <v>63.418721101603005</v>
      </c>
      <c r="H161" s="12" t="str">
        <f t="shared" si="5"/>
        <v>Lowest range</v>
      </c>
      <c r="I161">
        <v>0</v>
      </c>
      <c r="J161" s="2">
        <v>108.217046017627</v>
      </c>
      <c r="K161" t="s">
        <v>22</v>
      </c>
    </row>
    <row r="162" spans="1:11" x14ac:dyDescent="0.2">
      <c r="A162">
        <v>5</v>
      </c>
      <c r="B162" t="s">
        <v>18</v>
      </c>
      <c r="C162" t="s">
        <v>19</v>
      </c>
      <c r="D162" s="1">
        <v>44256</v>
      </c>
      <c r="E162">
        <v>1358</v>
      </c>
      <c r="F162" s="3">
        <v>54304.392856486702</v>
      </c>
      <c r="G162" s="12">
        <f t="shared" si="4"/>
        <v>39.988507258090358</v>
      </c>
      <c r="H162" s="12" t="str">
        <f t="shared" si="5"/>
        <v>Lowest range</v>
      </c>
      <c r="I162">
        <v>0</v>
      </c>
      <c r="J162" s="2">
        <v>135.241465919864</v>
      </c>
      <c r="K162" t="s">
        <v>22</v>
      </c>
    </row>
    <row r="163" spans="1:11" x14ac:dyDescent="0.2">
      <c r="A163">
        <v>6</v>
      </c>
      <c r="B163" t="s">
        <v>20</v>
      </c>
      <c r="C163" t="s">
        <v>21</v>
      </c>
      <c r="D163" s="1">
        <v>44256</v>
      </c>
      <c r="E163">
        <v>904</v>
      </c>
      <c r="F163" s="3">
        <v>35202.514470732203</v>
      </c>
      <c r="G163" s="12">
        <f t="shared" si="4"/>
        <v>38.940834591517927</v>
      </c>
      <c r="H163" s="12" t="str">
        <f t="shared" si="5"/>
        <v>Lowest range</v>
      </c>
      <c r="I163">
        <v>1</v>
      </c>
      <c r="J163" s="2">
        <v>125.826319592902</v>
      </c>
      <c r="K163" t="s">
        <v>22</v>
      </c>
    </row>
    <row r="164" spans="1:11" x14ac:dyDescent="0.2">
      <c r="A164">
        <v>1</v>
      </c>
      <c r="B164" t="s">
        <v>9</v>
      </c>
      <c r="C164" t="s">
        <v>10</v>
      </c>
      <c r="D164" s="1">
        <v>44287</v>
      </c>
      <c r="E164">
        <v>473</v>
      </c>
      <c r="F164" s="3">
        <v>10000</v>
      </c>
      <c r="G164" s="12">
        <f t="shared" si="4"/>
        <v>21.141649048625794</v>
      </c>
      <c r="H164" s="12" t="str">
        <f t="shared" si="5"/>
        <v>Lowest range</v>
      </c>
      <c r="I164">
        <v>0</v>
      </c>
      <c r="J164" s="2">
        <v>75.250874968838204</v>
      </c>
      <c r="K164" t="s">
        <v>22</v>
      </c>
    </row>
    <row r="165" spans="1:11" x14ac:dyDescent="0.2">
      <c r="A165">
        <v>2</v>
      </c>
      <c r="B165" t="s">
        <v>12</v>
      </c>
      <c r="C165" t="s">
        <v>13</v>
      </c>
      <c r="D165" s="1">
        <v>44287</v>
      </c>
      <c r="E165">
        <v>635</v>
      </c>
      <c r="F165" s="3">
        <v>49039.409385716397</v>
      </c>
      <c r="G165" s="12">
        <f t="shared" si="4"/>
        <v>77.227416355458899</v>
      </c>
      <c r="H165" s="12" t="str">
        <f t="shared" si="5"/>
        <v>Lower range</v>
      </c>
      <c r="I165">
        <v>0</v>
      </c>
      <c r="J165" s="2">
        <v>95.138702432967506</v>
      </c>
      <c r="K165" t="s">
        <v>22</v>
      </c>
    </row>
    <row r="166" spans="1:11" x14ac:dyDescent="0.2">
      <c r="A166">
        <v>3</v>
      </c>
      <c r="B166" t="s">
        <v>14</v>
      </c>
      <c r="C166" t="s">
        <v>15</v>
      </c>
      <c r="D166" s="1">
        <v>44287</v>
      </c>
      <c r="E166">
        <v>588</v>
      </c>
      <c r="F166" s="3">
        <v>39958.9155129477</v>
      </c>
      <c r="G166" s="12">
        <f t="shared" si="4"/>
        <v>67.957339307734188</v>
      </c>
      <c r="H166" s="12" t="str">
        <f t="shared" si="5"/>
        <v>Lower range</v>
      </c>
      <c r="I166">
        <v>0</v>
      </c>
      <c r="J166" s="2">
        <v>79.837443098999202</v>
      </c>
      <c r="K166" t="s">
        <v>22</v>
      </c>
    </row>
    <row r="167" spans="1:11" x14ac:dyDescent="0.2">
      <c r="A167">
        <v>4</v>
      </c>
      <c r="B167" t="s">
        <v>16</v>
      </c>
      <c r="C167" t="s">
        <v>17</v>
      </c>
      <c r="D167" s="1">
        <v>44287</v>
      </c>
      <c r="E167">
        <v>592</v>
      </c>
      <c r="F167" s="3">
        <v>61556.337817622698</v>
      </c>
      <c r="G167" s="12">
        <f t="shared" si="4"/>
        <v>103.98030036760591</v>
      </c>
      <c r="H167" s="12" t="str">
        <f t="shared" si="5"/>
        <v>Higher range</v>
      </c>
      <c r="I167">
        <v>1</v>
      </c>
      <c r="J167" s="2">
        <v>115.451121428113</v>
      </c>
      <c r="K167" t="s">
        <v>22</v>
      </c>
    </row>
    <row r="168" spans="1:11" x14ac:dyDescent="0.2">
      <c r="A168">
        <v>5</v>
      </c>
      <c r="B168" t="s">
        <v>18</v>
      </c>
      <c r="C168" t="s">
        <v>19</v>
      </c>
      <c r="D168" s="1">
        <v>44287</v>
      </c>
      <c r="E168">
        <v>933</v>
      </c>
      <c r="F168" s="3">
        <v>65591.241137996796</v>
      </c>
      <c r="G168" s="12">
        <f t="shared" si="4"/>
        <v>70.301437446941904</v>
      </c>
      <c r="H168" s="12" t="str">
        <f t="shared" si="5"/>
        <v>Lower range</v>
      </c>
      <c r="I168">
        <v>0</v>
      </c>
      <c r="J168" s="2">
        <v>140.952451094781</v>
      </c>
      <c r="K168" t="s">
        <v>22</v>
      </c>
    </row>
    <row r="169" spans="1:11" x14ac:dyDescent="0.2">
      <c r="A169">
        <v>6</v>
      </c>
      <c r="B169" t="s">
        <v>20</v>
      </c>
      <c r="C169" t="s">
        <v>21</v>
      </c>
      <c r="D169" s="1">
        <v>44287</v>
      </c>
      <c r="E169">
        <v>431</v>
      </c>
      <c r="F169" s="3">
        <v>80984.189530525997</v>
      </c>
      <c r="G169" s="12">
        <f t="shared" si="4"/>
        <v>187.89835157894663</v>
      </c>
      <c r="H169" s="12" t="str">
        <f t="shared" si="5"/>
        <v>Highest range</v>
      </c>
      <c r="I169">
        <v>0</v>
      </c>
      <c r="J169" s="2">
        <v>90.933400631504298</v>
      </c>
      <c r="K169" t="s">
        <v>22</v>
      </c>
    </row>
    <row r="170" spans="1:11" x14ac:dyDescent="0.2">
      <c r="A170">
        <v>1</v>
      </c>
      <c r="B170" t="s">
        <v>9</v>
      </c>
      <c r="C170" t="s">
        <v>10</v>
      </c>
      <c r="D170" s="1">
        <v>44317</v>
      </c>
      <c r="E170">
        <v>451</v>
      </c>
      <c r="F170" s="3">
        <v>57041.1079302859</v>
      </c>
      <c r="G170" s="12">
        <f t="shared" si="4"/>
        <v>126.47695771682018</v>
      </c>
      <c r="H170" s="12" t="str">
        <f t="shared" si="5"/>
        <v>Higher range</v>
      </c>
      <c r="I170">
        <v>0</v>
      </c>
      <c r="J170" s="2">
        <v>70.035914354871196</v>
      </c>
      <c r="K170" t="s">
        <v>22</v>
      </c>
    </row>
    <row r="171" spans="1:11" x14ac:dyDescent="0.2">
      <c r="A171">
        <v>2</v>
      </c>
      <c r="B171" t="s">
        <v>12</v>
      </c>
      <c r="C171" t="s">
        <v>13</v>
      </c>
      <c r="D171" s="1">
        <v>44317</v>
      </c>
      <c r="E171">
        <v>580</v>
      </c>
      <c r="F171" s="3">
        <v>63797.264995926002</v>
      </c>
      <c r="G171" s="12">
        <f t="shared" si="4"/>
        <v>109.99528447573448</v>
      </c>
      <c r="H171" s="12" t="str">
        <f t="shared" si="5"/>
        <v>Higher range</v>
      </c>
      <c r="I171">
        <v>1</v>
      </c>
      <c r="J171" s="2">
        <v>136.43582498396299</v>
      </c>
      <c r="K171" t="s">
        <v>22</v>
      </c>
    </row>
    <row r="172" spans="1:11" x14ac:dyDescent="0.2">
      <c r="A172">
        <v>3</v>
      </c>
      <c r="B172" t="s">
        <v>14</v>
      </c>
      <c r="C172" t="s">
        <v>15</v>
      </c>
      <c r="D172" s="1">
        <v>44317</v>
      </c>
      <c r="E172">
        <v>601</v>
      </c>
      <c r="F172" s="3">
        <v>49421.5023165026</v>
      </c>
      <c r="G172" s="12">
        <f t="shared" si="4"/>
        <v>82.232116999172376</v>
      </c>
      <c r="H172" s="12" t="str">
        <f t="shared" si="5"/>
        <v>Lower range</v>
      </c>
      <c r="I172">
        <v>1</v>
      </c>
      <c r="J172" s="2">
        <v>70.370124927627401</v>
      </c>
      <c r="K172" t="s">
        <v>22</v>
      </c>
    </row>
    <row r="173" spans="1:11" x14ac:dyDescent="0.2">
      <c r="A173">
        <v>4</v>
      </c>
      <c r="B173" t="s">
        <v>16</v>
      </c>
      <c r="C173" t="s">
        <v>17</v>
      </c>
      <c r="D173" s="1">
        <v>44317</v>
      </c>
      <c r="E173">
        <v>825</v>
      </c>
      <c r="F173" s="3">
        <v>10000</v>
      </c>
      <c r="G173" s="12">
        <f t="shared" si="4"/>
        <v>12.121212121212121</v>
      </c>
      <c r="H173" s="12" t="str">
        <f t="shared" si="5"/>
        <v>Lowest range</v>
      </c>
      <c r="I173">
        <v>0</v>
      </c>
      <c r="J173" s="2">
        <v>112.622032163141</v>
      </c>
      <c r="K173" t="s">
        <v>22</v>
      </c>
    </row>
    <row r="174" spans="1:11" x14ac:dyDescent="0.2">
      <c r="A174">
        <v>5</v>
      </c>
      <c r="B174" t="s">
        <v>18</v>
      </c>
      <c r="C174" t="s">
        <v>19</v>
      </c>
      <c r="D174" s="1">
        <v>44317</v>
      </c>
      <c r="E174">
        <v>1058</v>
      </c>
      <c r="F174" s="3">
        <v>121270.112727655</v>
      </c>
      <c r="G174" s="12">
        <f t="shared" si="4"/>
        <v>114.62203471422967</v>
      </c>
      <c r="H174" s="12" t="str">
        <f t="shared" si="5"/>
        <v>Higher range</v>
      </c>
      <c r="I174">
        <v>1</v>
      </c>
      <c r="J174" s="2">
        <v>96.209729076566006</v>
      </c>
      <c r="K174" t="s">
        <v>22</v>
      </c>
    </row>
    <row r="175" spans="1:11" x14ac:dyDescent="0.2">
      <c r="A175">
        <v>6</v>
      </c>
      <c r="B175" t="s">
        <v>20</v>
      </c>
      <c r="C175" t="s">
        <v>21</v>
      </c>
      <c r="D175" s="1">
        <v>44317</v>
      </c>
      <c r="E175">
        <v>214</v>
      </c>
      <c r="F175" s="3">
        <v>62123.301812229103</v>
      </c>
      <c r="G175" s="12">
        <f t="shared" si="4"/>
        <v>290.29580286088367</v>
      </c>
      <c r="H175" s="12" t="str">
        <f t="shared" si="5"/>
        <v>Highest range</v>
      </c>
      <c r="I175">
        <v>0</v>
      </c>
      <c r="J175" s="2">
        <v>70.052472670033595</v>
      </c>
      <c r="K175" t="s">
        <v>22</v>
      </c>
    </row>
    <row r="176" spans="1:11" x14ac:dyDescent="0.2">
      <c r="A176">
        <v>1</v>
      </c>
      <c r="B176" t="s">
        <v>9</v>
      </c>
      <c r="C176" t="s">
        <v>10</v>
      </c>
      <c r="D176" s="1">
        <v>44348</v>
      </c>
      <c r="E176">
        <v>351</v>
      </c>
      <c r="F176" s="3">
        <v>49714.219372200598</v>
      </c>
      <c r="G176" s="12">
        <f t="shared" si="4"/>
        <v>141.63595262735214</v>
      </c>
      <c r="H176" s="12" t="str">
        <f t="shared" si="5"/>
        <v>Highest range</v>
      </c>
      <c r="I176">
        <v>1</v>
      </c>
      <c r="J176" s="2">
        <v>82.592546395207407</v>
      </c>
      <c r="K176" t="s">
        <v>23</v>
      </c>
    </row>
    <row r="177" spans="1:11" x14ac:dyDescent="0.2">
      <c r="A177">
        <v>2</v>
      </c>
      <c r="B177" t="s">
        <v>12</v>
      </c>
      <c r="C177" t="s">
        <v>13</v>
      </c>
      <c r="D177" s="1">
        <v>44348</v>
      </c>
      <c r="E177">
        <v>209</v>
      </c>
      <c r="F177" s="3">
        <v>89306.550169074195</v>
      </c>
      <c r="G177" s="12">
        <f t="shared" si="4"/>
        <v>427.30406779461339</v>
      </c>
      <c r="H177" s="12" t="str">
        <f t="shared" si="5"/>
        <v>Highest range</v>
      </c>
      <c r="I177">
        <v>1</v>
      </c>
      <c r="J177" s="2">
        <v>95.522014908180097</v>
      </c>
      <c r="K177" t="s">
        <v>23</v>
      </c>
    </row>
    <row r="178" spans="1:11" x14ac:dyDescent="0.2">
      <c r="A178">
        <v>3</v>
      </c>
      <c r="B178" t="s">
        <v>14</v>
      </c>
      <c r="C178" t="s">
        <v>15</v>
      </c>
      <c r="D178" s="1">
        <v>44348</v>
      </c>
      <c r="E178">
        <v>409</v>
      </c>
      <c r="F178" s="3">
        <v>10000</v>
      </c>
      <c r="G178" s="12">
        <f t="shared" si="4"/>
        <v>24.449877750611247</v>
      </c>
      <c r="H178" s="12" t="str">
        <f t="shared" si="5"/>
        <v>Lowest range</v>
      </c>
      <c r="I178">
        <v>0</v>
      </c>
      <c r="J178" s="2">
        <v>122.188762792693</v>
      </c>
      <c r="K178" t="s">
        <v>23</v>
      </c>
    </row>
    <row r="179" spans="1:11" x14ac:dyDescent="0.2">
      <c r="A179">
        <v>4</v>
      </c>
      <c r="B179" t="s">
        <v>16</v>
      </c>
      <c r="C179" t="s">
        <v>17</v>
      </c>
      <c r="D179" s="1">
        <v>44348</v>
      </c>
      <c r="E179">
        <v>743</v>
      </c>
      <c r="F179" s="3">
        <v>64841.691770475903</v>
      </c>
      <c r="G179" s="12">
        <f t="shared" si="4"/>
        <v>87.270110054476319</v>
      </c>
      <c r="H179" s="12" t="str">
        <f t="shared" si="5"/>
        <v>Lower range</v>
      </c>
      <c r="I179">
        <v>1</v>
      </c>
      <c r="J179" s="2">
        <v>127.985098889334</v>
      </c>
      <c r="K179" t="s">
        <v>23</v>
      </c>
    </row>
    <row r="180" spans="1:11" x14ac:dyDescent="0.2">
      <c r="A180">
        <v>5</v>
      </c>
      <c r="B180" t="s">
        <v>18</v>
      </c>
      <c r="C180" t="s">
        <v>19</v>
      </c>
      <c r="D180" s="1">
        <v>44348</v>
      </c>
      <c r="E180">
        <v>1287</v>
      </c>
      <c r="F180" s="3">
        <v>110299.313631413</v>
      </c>
      <c r="G180" s="12">
        <f t="shared" si="4"/>
        <v>85.702652394260298</v>
      </c>
      <c r="H180" s="12" t="str">
        <f t="shared" si="5"/>
        <v>Lower range</v>
      </c>
      <c r="I180">
        <v>1</v>
      </c>
      <c r="J180" s="2">
        <v>111.815573431811</v>
      </c>
      <c r="K180" t="s">
        <v>23</v>
      </c>
    </row>
    <row r="181" spans="1:11" x14ac:dyDescent="0.2">
      <c r="A181">
        <v>6</v>
      </c>
      <c r="B181" t="s">
        <v>20</v>
      </c>
      <c r="C181" t="s">
        <v>21</v>
      </c>
      <c r="D181" s="1">
        <v>44348</v>
      </c>
      <c r="E181">
        <v>509</v>
      </c>
      <c r="F181" s="3">
        <v>60497.775573279003</v>
      </c>
      <c r="G181" s="12">
        <f t="shared" si="4"/>
        <v>118.85614061547938</v>
      </c>
      <c r="H181" s="12" t="str">
        <f t="shared" si="5"/>
        <v>Higher range</v>
      </c>
      <c r="I181">
        <v>1</v>
      </c>
      <c r="J181" s="2">
        <v>144.12375042323799</v>
      </c>
      <c r="K181" t="s">
        <v>23</v>
      </c>
    </row>
    <row r="182" spans="1:11" x14ac:dyDescent="0.2">
      <c r="A182">
        <v>1</v>
      </c>
      <c r="B182" t="s">
        <v>9</v>
      </c>
      <c r="C182" t="s">
        <v>10</v>
      </c>
      <c r="D182" s="1">
        <v>44378</v>
      </c>
      <c r="E182">
        <v>856</v>
      </c>
      <c r="F182" s="3">
        <v>51250.054664989497</v>
      </c>
      <c r="G182" s="12">
        <f t="shared" si="4"/>
        <v>59.871559188071842</v>
      </c>
      <c r="H182" s="12" t="str">
        <f t="shared" si="5"/>
        <v>Lowest range</v>
      </c>
      <c r="I182">
        <v>0</v>
      </c>
      <c r="J182" s="2">
        <v>85.062693120917999</v>
      </c>
      <c r="K182" t="s">
        <v>23</v>
      </c>
    </row>
    <row r="183" spans="1:11" x14ac:dyDescent="0.2">
      <c r="A183">
        <v>2</v>
      </c>
      <c r="B183" t="s">
        <v>12</v>
      </c>
      <c r="C183" t="s">
        <v>13</v>
      </c>
      <c r="D183" s="1">
        <v>44378</v>
      </c>
      <c r="E183">
        <v>343</v>
      </c>
      <c r="F183" s="3">
        <v>29967.599802101598</v>
      </c>
      <c r="G183" s="12">
        <f t="shared" si="4"/>
        <v>87.369095632949268</v>
      </c>
      <c r="H183" s="12" t="str">
        <f t="shared" si="5"/>
        <v>Lower range</v>
      </c>
      <c r="I183">
        <v>0</v>
      </c>
      <c r="J183" s="2">
        <v>70.085908986229398</v>
      </c>
      <c r="K183" t="s">
        <v>23</v>
      </c>
    </row>
    <row r="184" spans="1:11" x14ac:dyDescent="0.2">
      <c r="A184">
        <v>3</v>
      </c>
      <c r="B184" t="s">
        <v>14</v>
      </c>
      <c r="C184" t="s">
        <v>15</v>
      </c>
      <c r="D184" s="1">
        <v>44378</v>
      </c>
      <c r="E184">
        <v>443</v>
      </c>
      <c r="F184" s="3">
        <v>68386.057394155097</v>
      </c>
      <c r="G184" s="12">
        <f t="shared" si="4"/>
        <v>154.37033271818305</v>
      </c>
      <c r="H184" s="12" t="str">
        <f t="shared" si="5"/>
        <v>Highest range</v>
      </c>
      <c r="I184">
        <v>1</v>
      </c>
      <c r="J184" s="2">
        <v>66.748258225906895</v>
      </c>
      <c r="K184" t="s">
        <v>23</v>
      </c>
    </row>
    <row r="185" spans="1:11" x14ac:dyDescent="0.2">
      <c r="A185">
        <v>4</v>
      </c>
      <c r="B185" t="s">
        <v>16</v>
      </c>
      <c r="C185" t="s">
        <v>17</v>
      </c>
      <c r="D185" s="1">
        <v>44378</v>
      </c>
      <c r="E185">
        <v>610</v>
      </c>
      <c r="F185" s="3">
        <v>55510.211246965002</v>
      </c>
      <c r="G185" s="12">
        <f t="shared" si="4"/>
        <v>91.000346306500006</v>
      </c>
      <c r="H185" s="12" t="str">
        <f t="shared" si="5"/>
        <v>Higher range</v>
      </c>
      <c r="I185">
        <v>0</v>
      </c>
      <c r="J185" s="2">
        <v>139.62213026850301</v>
      </c>
      <c r="K185" t="s">
        <v>23</v>
      </c>
    </row>
    <row r="186" spans="1:11" x14ac:dyDescent="0.2">
      <c r="A186">
        <v>5</v>
      </c>
      <c r="B186" t="s">
        <v>18</v>
      </c>
      <c r="C186" t="s">
        <v>19</v>
      </c>
      <c r="D186" s="1">
        <v>44378</v>
      </c>
      <c r="E186">
        <v>1422</v>
      </c>
      <c r="F186" s="3">
        <v>161494.35002616799</v>
      </c>
      <c r="G186" s="12">
        <f t="shared" si="4"/>
        <v>113.56845993401406</v>
      </c>
      <c r="H186" s="12" t="str">
        <f t="shared" si="5"/>
        <v>Higher range</v>
      </c>
      <c r="I186">
        <v>1</v>
      </c>
      <c r="J186" s="2">
        <v>79.883588633731307</v>
      </c>
      <c r="K186" t="s">
        <v>23</v>
      </c>
    </row>
    <row r="187" spans="1:11" x14ac:dyDescent="0.2">
      <c r="A187">
        <v>6</v>
      </c>
      <c r="B187" t="s">
        <v>20</v>
      </c>
      <c r="C187" t="s">
        <v>21</v>
      </c>
      <c r="D187" s="1">
        <v>44378</v>
      </c>
      <c r="E187">
        <v>753</v>
      </c>
      <c r="F187" s="3">
        <v>61187.184174566602</v>
      </c>
      <c r="G187" s="12">
        <f t="shared" si="4"/>
        <v>81.25788070991581</v>
      </c>
      <c r="H187" s="12" t="str">
        <f t="shared" si="5"/>
        <v>Lower range</v>
      </c>
      <c r="I187">
        <v>0</v>
      </c>
      <c r="J187" s="2">
        <v>131.48251137465101</v>
      </c>
      <c r="K187" t="s">
        <v>23</v>
      </c>
    </row>
    <row r="188" spans="1:11" x14ac:dyDescent="0.2">
      <c r="A188">
        <v>1</v>
      </c>
      <c r="B188" t="s">
        <v>9</v>
      </c>
      <c r="C188" t="s">
        <v>10</v>
      </c>
      <c r="D188" s="1">
        <v>44409</v>
      </c>
      <c r="E188">
        <v>763</v>
      </c>
      <c r="F188" s="3">
        <v>53951.992093847897</v>
      </c>
      <c r="G188" s="12">
        <f t="shared" si="4"/>
        <v>70.710343504387808</v>
      </c>
      <c r="H188" s="12" t="str">
        <f t="shared" si="5"/>
        <v>Lower range</v>
      </c>
      <c r="I188">
        <v>1</v>
      </c>
      <c r="J188" s="2">
        <v>98.090383144898396</v>
      </c>
      <c r="K188" t="s">
        <v>23</v>
      </c>
    </row>
    <row r="189" spans="1:11" x14ac:dyDescent="0.2">
      <c r="A189">
        <v>2</v>
      </c>
      <c r="B189" t="s">
        <v>12</v>
      </c>
      <c r="C189" t="s">
        <v>13</v>
      </c>
      <c r="D189" s="1">
        <v>44409</v>
      </c>
      <c r="E189">
        <v>837</v>
      </c>
      <c r="F189" s="3">
        <v>40794.091116123003</v>
      </c>
      <c r="G189" s="12">
        <f t="shared" si="4"/>
        <v>48.738460114842297</v>
      </c>
      <c r="H189" s="12" t="str">
        <f t="shared" si="5"/>
        <v>Lowest range</v>
      </c>
      <c r="I189">
        <v>1</v>
      </c>
      <c r="J189" s="2">
        <v>74.710323401014605</v>
      </c>
      <c r="K189" t="s">
        <v>23</v>
      </c>
    </row>
    <row r="190" spans="1:11" x14ac:dyDescent="0.2">
      <c r="A190">
        <v>3</v>
      </c>
      <c r="B190" t="s">
        <v>14</v>
      </c>
      <c r="C190" t="s">
        <v>15</v>
      </c>
      <c r="D190" s="1">
        <v>44409</v>
      </c>
      <c r="E190">
        <v>293</v>
      </c>
      <c r="F190" s="3">
        <v>39414.035249075598</v>
      </c>
      <c r="G190" s="12">
        <f t="shared" si="4"/>
        <v>134.5188916350703</v>
      </c>
      <c r="H190" s="12" t="str">
        <f t="shared" si="5"/>
        <v>Higher range</v>
      </c>
      <c r="I190">
        <v>0</v>
      </c>
      <c r="J190" s="2">
        <v>93.365533395638806</v>
      </c>
      <c r="K190" t="s">
        <v>23</v>
      </c>
    </row>
    <row r="191" spans="1:11" x14ac:dyDescent="0.2">
      <c r="A191">
        <v>4</v>
      </c>
      <c r="B191" t="s">
        <v>16</v>
      </c>
      <c r="C191" t="s">
        <v>17</v>
      </c>
      <c r="D191" s="1">
        <v>44409</v>
      </c>
      <c r="E191">
        <v>601</v>
      </c>
      <c r="F191" s="3">
        <v>10051.773130809799</v>
      </c>
      <c r="G191" s="12">
        <f t="shared" si="4"/>
        <v>16.725080084542096</v>
      </c>
      <c r="H191" s="12" t="str">
        <f t="shared" si="5"/>
        <v>Lowest range</v>
      </c>
      <c r="I191">
        <v>0</v>
      </c>
      <c r="J191" s="2">
        <v>115.03256863469301</v>
      </c>
      <c r="K191" t="s">
        <v>23</v>
      </c>
    </row>
    <row r="192" spans="1:11" x14ac:dyDescent="0.2">
      <c r="A192">
        <v>5</v>
      </c>
      <c r="B192" t="s">
        <v>18</v>
      </c>
      <c r="C192" t="s">
        <v>19</v>
      </c>
      <c r="D192" s="1">
        <v>44409</v>
      </c>
      <c r="E192">
        <v>1292</v>
      </c>
      <c r="F192" s="3">
        <v>79659.437242681903</v>
      </c>
      <c r="G192" s="12">
        <f t="shared" si="4"/>
        <v>61.655911178546361</v>
      </c>
      <c r="H192" s="12" t="str">
        <f t="shared" si="5"/>
        <v>Lowest range</v>
      </c>
      <c r="I192">
        <v>0</v>
      </c>
      <c r="J192" s="2">
        <v>96.262295673931604</v>
      </c>
      <c r="K192" t="s">
        <v>23</v>
      </c>
    </row>
    <row r="193" spans="1:11" x14ac:dyDescent="0.2">
      <c r="A193">
        <v>6</v>
      </c>
      <c r="B193" t="s">
        <v>20</v>
      </c>
      <c r="C193" t="s">
        <v>21</v>
      </c>
      <c r="D193" s="1">
        <v>44409</v>
      </c>
      <c r="E193">
        <v>425</v>
      </c>
      <c r="F193" s="3">
        <v>57984.462452105501</v>
      </c>
      <c r="G193" s="12">
        <f t="shared" si="4"/>
        <v>136.43402929907177</v>
      </c>
      <c r="H193" s="12" t="str">
        <f t="shared" si="5"/>
        <v>Higher range</v>
      </c>
      <c r="I193">
        <v>0</v>
      </c>
      <c r="J193" s="2">
        <v>134.62452920190401</v>
      </c>
      <c r="K193" t="s">
        <v>23</v>
      </c>
    </row>
    <row r="194" spans="1:11" x14ac:dyDescent="0.2">
      <c r="A194">
        <v>1</v>
      </c>
      <c r="B194" t="s">
        <v>9</v>
      </c>
      <c r="C194" t="s">
        <v>10</v>
      </c>
      <c r="D194" s="1">
        <v>44440</v>
      </c>
      <c r="E194">
        <v>629</v>
      </c>
      <c r="F194" s="3">
        <v>77688.842233712901</v>
      </c>
      <c r="G194" s="12">
        <f t="shared" si="4"/>
        <v>123.51167286758808</v>
      </c>
      <c r="H194" s="12" t="str">
        <f t="shared" si="5"/>
        <v>Higher range</v>
      </c>
      <c r="I194">
        <v>1</v>
      </c>
      <c r="J194" s="2">
        <v>148.764956373605</v>
      </c>
      <c r="K194" t="s">
        <v>24</v>
      </c>
    </row>
    <row r="195" spans="1:11" x14ac:dyDescent="0.2">
      <c r="A195">
        <v>2</v>
      </c>
      <c r="B195" t="s">
        <v>12</v>
      </c>
      <c r="C195" t="s">
        <v>13</v>
      </c>
      <c r="D195" s="1">
        <v>44440</v>
      </c>
      <c r="E195">
        <v>651</v>
      </c>
      <c r="F195" s="3">
        <v>60365</v>
      </c>
      <c r="G195" s="12">
        <f t="shared" ref="G195:G217" si="6">F195/E195</f>
        <v>92.726574500768052</v>
      </c>
      <c r="H195" s="12" t="str">
        <f t="shared" ref="H195:H217" si="7">IF(G195&lt;=64, "Lowest range",
   IF(AND(G195&gt;64, G195&lt;=91), "Lower range",
      IF(AND(G195&gt;91, G195&lt;=137), "Higher range",
         IF(G195&gt;137, "Highest range", "Not categorised"))))</f>
        <v>Higher range</v>
      </c>
      <c r="I195">
        <v>0</v>
      </c>
      <c r="J195" s="2">
        <v>89.551516984901497</v>
      </c>
      <c r="K195" t="s">
        <v>24</v>
      </c>
    </row>
    <row r="196" spans="1:11" x14ac:dyDescent="0.2">
      <c r="A196">
        <v>3</v>
      </c>
      <c r="B196" t="s">
        <v>14</v>
      </c>
      <c r="C196" t="s">
        <v>15</v>
      </c>
      <c r="D196" s="1">
        <v>44440</v>
      </c>
      <c r="E196">
        <v>900</v>
      </c>
      <c r="F196" s="3">
        <v>80194.515968968495</v>
      </c>
      <c r="G196" s="12">
        <f t="shared" si="6"/>
        <v>89.105017743298333</v>
      </c>
      <c r="H196" s="12" t="str">
        <f t="shared" si="7"/>
        <v>Lower range</v>
      </c>
      <c r="I196">
        <v>1</v>
      </c>
      <c r="J196" s="2">
        <v>92.172092687345497</v>
      </c>
      <c r="K196" t="s">
        <v>24</v>
      </c>
    </row>
    <row r="197" spans="1:11" x14ac:dyDescent="0.2">
      <c r="A197">
        <v>4</v>
      </c>
      <c r="B197" t="s">
        <v>16</v>
      </c>
      <c r="C197" t="s">
        <v>17</v>
      </c>
      <c r="D197" s="1">
        <v>44440</v>
      </c>
      <c r="E197">
        <v>828</v>
      </c>
      <c r="F197" s="3">
        <v>63046.457568268299</v>
      </c>
      <c r="G197" s="12">
        <f t="shared" si="6"/>
        <v>76.143064695976207</v>
      </c>
      <c r="H197" s="12" t="str">
        <f t="shared" si="7"/>
        <v>Lower range</v>
      </c>
      <c r="I197">
        <v>1</v>
      </c>
      <c r="J197" s="2">
        <v>85.915102966623095</v>
      </c>
      <c r="K197" t="s">
        <v>24</v>
      </c>
    </row>
    <row r="198" spans="1:11" x14ac:dyDescent="0.2">
      <c r="A198">
        <v>5</v>
      </c>
      <c r="B198" t="s">
        <v>18</v>
      </c>
      <c r="C198" t="s">
        <v>19</v>
      </c>
      <c r="D198" s="1">
        <v>44440</v>
      </c>
      <c r="E198">
        <v>1120</v>
      </c>
      <c r="F198" s="3">
        <v>79825.315806091399</v>
      </c>
      <c r="G198" s="12">
        <f t="shared" si="6"/>
        <v>71.272603398295885</v>
      </c>
      <c r="H198" s="12" t="str">
        <f t="shared" si="7"/>
        <v>Lower range</v>
      </c>
      <c r="I198">
        <v>0</v>
      </c>
      <c r="J198" s="2">
        <v>73.579209395920898</v>
      </c>
      <c r="K198" t="s">
        <v>24</v>
      </c>
    </row>
    <row r="199" spans="1:11" x14ac:dyDescent="0.2">
      <c r="A199">
        <v>6</v>
      </c>
      <c r="B199" t="s">
        <v>20</v>
      </c>
      <c r="C199" t="s">
        <v>21</v>
      </c>
      <c r="D199" s="1">
        <v>44440</v>
      </c>
      <c r="E199">
        <v>404</v>
      </c>
      <c r="F199" s="3">
        <v>77766.254028676107</v>
      </c>
      <c r="G199" s="12">
        <f t="shared" si="6"/>
        <v>192.49072779375274</v>
      </c>
      <c r="H199" s="12" t="str">
        <f t="shared" si="7"/>
        <v>Highest range</v>
      </c>
      <c r="I199">
        <v>1</v>
      </c>
      <c r="J199" s="2">
        <v>67.968310887024103</v>
      </c>
      <c r="K199" t="s">
        <v>24</v>
      </c>
    </row>
    <row r="200" spans="1:11" x14ac:dyDescent="0.2">
      <c r="A200">
        <v>1</v>
      </c>
      <c r="B200" t="s">
        <v>9</v>
      </c>
      <c r="C200" t="s">
        <v>10</v>
      </c>
      <c r="D200" s="1">
        <v>44470</v>
      </c>
      <c r="E200">
        <v>564</v>
      </c>
      <c r="F200" s="3">
        <v>44170.200420130197</v>
      </c>
      <c r="G200" s="12">
        <f t="shared" si="6"/>
        <v>78.315958191720213</v>
      </c>
      <c r="H200" s="12" t="str">
        <f t="shared" si="7"/>
        <v>Lower range</v>
      </c>
      <c r="I200">
        <v>0</v>
      </c>
      <c r="J200" s="2">
        <v>93.716538881682595</v>
      </c>
      <c r="K200" t="s">
        <v>24</v>
      </c>
    </row>
    <row r="201" spans="1:11" x14ac:dyDescent="0.2">
      <c r="A201">
        <v>2</v>
      </c>
      <c r="B201" t="s">
        <v>12</v>
      </c>
      <c r="C201" t="s">
        <v>13</v>
      </c>
      <c r="D201" s="1">
        <v>44470</v>
      </c>
      <c r="E201">
        <v>460</v>
      </c>
      <c r="F201" s="3">
        <v>33049.530138203801</v>
      </c>
      <c r="G201" s="12">
        <f t="shared" si="6"/>
        <v>71.846804648269128</v>
      </c>
      <c r="H201" s="12" t="str">
        <f t="shared" si="7"/>
        <v>Lower range</v>
      </c>
      <c r="I201">
        <v>1</v>
      </c>
      <c r="J201" s="2">
        <v>101.481735392969</v>
      </c>
      <c r="K201" t="s">
        <v>24</v>
      </c>
    </row>
    <row r="202" spans="1:11" x14ac:dyDescent="0.2">
      <c r="A202">
        <v>3</v>
      </c>
      <c r="B202" t="s">
        <v>14</v>
      </c>
      <c r="C202" t="s">
        <v>15</v>
      </c>
      <c r="D202" s="1">
        <v>44470</v>
      </c>
      <c r="E202">
        <v>729</v>
      </c>
      <c r="F202" s="3">
        <v>15205.724424438</v>
      </c>
      <c r="G202" s="12">
        <f t="shared" si="6"/>
        <v>20.8583325438107</v>
      </c>
      <c r="H202" s="12" t="str">
        <f t="shared" si="7"/>
        <v>Lowest range</v>
      </c>
      <c r="I202">
        <v>1</v>
      </c>
      <c r="J202" s="2">
        <v>115.212324553043</v>
      </c>
      <c r="K202" t="s">
        <v>24</v>
      </c>
    </row>
    <row r="203" spans="1:11" x14ac:dyDescent="0.2">
      <c r="A203">
        <v>4</v>
      </c>
      <c r="B203" t="s">
        <v>16</v>
      </c>
      <c r="C203" t="s">
        <v>17</v>
      </c>
      <c r="D203" s="1">
        <v>44470</v>
      </c>
      <c r="E203">
        <v>325</v>
      </c>
      <c r="F203" s="3">
        <v>17475.645708225202</v>
      </c>
      <c r="G203" s="12">
        <f t="shared" si="6"/>
        <v>53.771217563769852</v>
      </c>
      <c r="H203" s="12" t="str">
        <f t="shared" si="7"/>
        <v>Lowest range</v>
      </c>
      <c r="I203">
        <v>0</v>
      </c>
      <c r="J203" s="2">
        <v>115.67366645412901</v>
      </c>
      <c r="K203" t="s">
        <v>24</v>
      </c>
    </row>
    <row r="204" spans="1:11" x14ac:dyDescent="0.2">
      <c r="A204">
        <v>5</v>
      </c>
      <c r="B204" t="s">
        <v>18</v>
      </c>
      <c r="C204" t="s">
        <v>19</v>
      </c>
      <c r="D204" s="1">
        <v>44470</v>
      </c>
      <c r="E204">
        <v>1775</v>
      </c>
      <c r="F204" s="3">
        <v>108826.98552802</v>
      </c>
      <c r="G204" s="12">
        <f t="shared" si="6"/>
        <v>61.310977762264791</v>
      </c>
      <c r="H204" s="12" t="str">
        <f t="shared" si="7"/>
        <v>Lowest range</v>
      </c>
      <c r="I204">
        <v>0</v>
      </c>
      <c r="J204" s="2">
        <v>138.370966966075</v>
      </c>
      <c r="K204" t="s">
        <v>24</v>
      </c>
    </row>
    <row r="205" spans="1:11" x14ac:dyDescent="0.2">
      <c r="A205">
        <v>6</v>
      </c>
      <c r="B205" t="s">
        <v>20</v>
      </c>
      <c r="C205" t="s">
        <v>21</v>
      </c>
      <c r="D205" s="1">
        <v>44470</v>
      </c>
      <c r="E205">
        <v>595</v>
      </c>
      <c r="F205" s="3">
        <v>11626.5048593636</v>
      </c>
      <c r="G205" s="12">
        <f t="shared" si="6"/>
        <v>19.54034430145143</v>
      </c>
      <c r="H205" s="12" t="str">
        <f t="shared" si="7"/>
        <v>Lowest range</v>
      </c>
      <c r="I205">
        <v>0</v>
      </c>
      <c r="J205" s="2">
        <v>83.700317643128599</v>
      </c>
      <c r="K205" t="s">
        <v>24</v>
      </c>
    </row>
    <row r="206" spans="1:11" x14ac:dyDescent="0.2">
      <c r="A206">
        <v>1</v>
      </c>
      <c r="B206" t="s">
        <v>9</v>
      </c>
      <c r="C206" t="s">
        <v>10</v>
      </c>
      <c r="D206" s="1">
        <v>44501</v>
      </c>
      <c r="E206">
        <v>368</v>
      </c>
      <c r="F206" s="3">
        <v>44814.991148395398</v>
      </c>
      <c r="G206" s="12">
        <f t="shared" si="6"/>
        <v>121.77986725107445</v>
      </c>
      <c r="H206" s="12" t="str">
        <f t="shared" si="7"/>
        <v>Higher range</v>
      </c>
      <c r="I206">
        <v>1</v>
      </c>
      <c r="J206" s="2">
        <v>108.78843711103799</v>
      </c>
      <c r="K206" t="s">
        <v>24</v>
      </c>
    </row>
    <row r="207" spans="1:11" x14ac:dyDescent="0.2">
      <c r="A207">
        <v>2</v>
      </c>
      <c r="B207" t="s">
        <v>12</v>
      </c>
      <c r="C207" t="s">
        <v>13</v>
      </c>
      <c r="D207" s="1">
        <v>44501</v>
      </c>
      <c r="E207">
        <v>746</v>
      </c>
      <c r="F207" s="3">
        <v>24069.964650383401</v>
      </c>
      <c r="G207" s="12">
        <f t="shared" si="6"/>
        <v>32.265368164052816</v>
      </c>
      <c r="H207" s="12" t="str">
        <f t="shared" si="7"/>
        <v>Lowest range</v>
      </c>
      <c r="I207">
        <v>0</v>
      </c>
      <c r="J207" s="2">
        <v>123.640201506564</v>
      </c>
      <c r="K207" t="s">
        <v>24</v>
      </c>
    </row>
    <row r="208" spans="1:11" x14ac:dyDescent="0.2">
      <c r="A208">
        <v>3</v>
      </c>
      <c r="B208" t="s">
        <v>14</v>
      </c>
      <c r="C208" t="s">
        <v>15</v>
      </c>
      <c r="D208" s="1">
        <v>44501</v>
      </c>
      <c r="E208">
        <v>197</v>
      </c>
      <c r="F208" s="3">
        <v>43567.298975652302</v>
      </c>
      <c r="G208" s="12">
        <f t="shared" si="6"/>
        <v>221.15380190686449</v>
      </c>
      <c r="H208" s="12" t="str">
        <f t="shared" si="7"/>
        <v>Highest range</v>
      </c>
      <c r="I208">
        <v>0</v>
      </c>
      <c r="J208" s="2">
        <v>120.53855941122001</v>
      </c>
      <c r="K208" t="s">
        <v>24</v>
      </c>
    </row>
    <row r="209" spans="1:11" x14ac:dyDescent="0.2">
      <c r="A209">
        <v>4</v>
      </c>
      <c r="B209" t="s">
        <v>16</v>
      </c>
      <c r="C209" t="s">
        <v>17</v>
      </c>
      <c r="D209" s="1">
        <v>44501</v>
      </c>
      <c r="E209">
        <v>915</v>
      </c>
      <c r="F209" s="3">
        <v>71895.674232798207</v>
      </c>
      <c r="G209" s="12">
        <f t="shared" si="6"/>
        <v>78.574507358249406</v>
      </c>
      <c r="H209" s="12" t="str">
        <f t="shared" si="7"/>
        <v>Lower range</v>
      </c>
      <c r="I209">
        <v>1</v>
      </c>
      <c r="J209" s="2">
        <v>70.584121003676799</v>
      </c>
      <c r="K209" t="s">
        <v>24</v>
      </c>
    </row>
    <row r="210" spans="1:11" x14ac:dyDescent="0.2">
      <c r="A210">
        <v>5</v>
      </c>
      <c r="B210" t="s">
        <v>18</v>
      </c>
      <c r="C210" t="s">
        <v>19</v>
      </c>
      <c r="D210" s="1">
        <v>44501</v>
      </c>
      <c r="E210">
        <v>1741</v>
      </c>
      <c r="F210" s="3">
        <v>96226.297138364302</v>
      </c>
      <c r="G210" s="12">
        <f t="shared" si="6"/>
        <v>55.270704846849114</v>
      </c>
      <c r="H210" s="12" t="str">
        <f t="shared" si="7"/>
        <v>Lowest range</v>
      </c>
      <c r="I210">
        <v>0</v>
      </c>
      <c r="J210" s="2">
        <v>103.11695280010299</v>
      </c>
      <c r="K210" t="s">
        <v>24</v>
      </c>
    </row>
    <row r="211" spans="1:11" x14ac:dyDescent="0.2">
      <c r="A211">
        <v>6</v>
      </c>
      <c r="B211" t="s">
        <v>20</v>
      </c>
      <c r="C211" t="s">
        <v>21</v>
      </c>
      <c r="D211" s="1">
        <v>44501</v>
      </c>
      <c r="E211">
        <v>473</v>
      </c>
      <c r="F211" s="3">
        <v>29300.902709357299</v>
      </c>
      <c r="G211" s="12">
        <f t="shared" si="6"/>
        <v>61.946940188916066</v>
      </c>
      <c r="H211" s="12" t="str">
        <f t="shared" si="7"/>
        <v>Lowest range</v>
      </c>
      <c r="I211">
        <v>0</v>
      </c>
      <c r="J211" s="2">
        <v>58.855558422324101</v>
      </c>
      <c r="K211" t="s">
        <v>24</v>
      </c>
    </row>
    <row r="212" spans="1:11" x14ac:dyDescent="0.2">
      <c r="A212">
        <v>1</v>
      </c>
      <c r="B212" t="s">
        <v>9</v>
      </c>
      <c r="C212" t="s">
        <v>10</v>
      </c>
      <c r="D212" s="1">
        <v>44531</v>
      </c>
      <c r="E212">
        <v>538</v>
      </c>
      <c r="F212" s="3">
        <v>32108.735351724299</v>
      </c>
      <c r="G212" s="12">
        <f t="shared" si="6"/>
        <v>59.681664222535872</v>
      </c>
      <c r="H212" s="12" t="str">
        <f t="shared" si="7"/>
        <v>Lowest range</v>
      </c>
      <c r="I212">
        <v>1</v>
      </c>
      <c r="J212" s="2">
        <v>64.834320096208799</v>
      </c>
      <c r="K212" t="s">
        <v>11</v>
      </c>
    </row>
    <row r="213" spans="1:11" x14ac:dyDescent="0.2">
      <c r="A213">
        <v>2</v>
      </c>
      <c r="B213" t="s">
        <v>12</v>
      </c>
      <c r="C213" t="s">
        <v>13</v>
      </c>
      <c r="D213" s="1">
        <v>44531</v>
      </c>
      <c r="E213">
        <v>683</v>
      </c>
      <c r="F213" s="3">
        <v>56929.769517959801</v>
      </c>
      <c r="G213" s="12">
        <f t="shared" si="6"/>
        <v>83.35251759584159</v>
      </c>
      <c r="H213" s="12" t="str">
        <f t="shared" si="7"/>
        <v>Lower range</v>
      </c>
      <c r="I213">
        <v>0</v>
      </c>
      <c r="J213" s="2">
        <v>75.422457989749304</v>
      </c>
      <c r="K213" t="s">
        <v>11</v>
      </c>
    </row>
    <row r="214" spans="1:11" x14ac:dyDescent="0.2">
      <c r="A214">
        <v>3</v>
      </c>
      <c r="B214" t="s">
        <v>14</v>
      </c>
      <c r="C214" t="s">
        <v>15</v>
      </c>
      <c r="D214" s="1">
        <v>44531</v>
      </c>
      <c r="E214">
        <v>100</v>
      </c>
      <c r="F214" s="3">
        <v>55859.8705490391</v>
      </c>
      <c r="G214" s="12">
        <f t="shared" si="6"/>
        <v>558.59870549039101</v>
      </c>
      <c r="H214" s="12" t="str">
        <f t="shared" si="7"/>
        <v>Highest range</v>
      </c>
      <c r="I214">
        <v>1</v>
      </c>
      <c r="J214" s="2">
        <v>63.965125475631197</v>
      </c>
      <c r="K214" t="s">
        <v>11</v>
      </c>
    </row>
    <row r="215" spans="1:11" x14ac:dyDescent="0.2">
      <c r="A215">
        <v>4</v>
      </c>
      <c r="B215" t="s">
        <v>16</v>
      </c>
      <c r="C215" t="s">
        <v>17</v>
      </c>
      <c r="D215" s="1">
        <v>44531</v>
      </c>
      <c r="E215">
        <v>312</v>
      </c>
      <c r="F215" s="3">
        <v>62885.363190185999</v>
      </c>
      <c r="G215" s="12">
        <f t="shared" si="6"/>
        <v>201.55565125059616</v>
      </c>
      <c r="H215" s="12" t="str">
        <f t="shared" si="7"/>
        <v>Highest range</v>
      </c>
      <c r="I215">
        <v>0</v>
      </c>
      <c r="J215" s="2">
        <v>66.238189466232001</v>
      </c>
      <c r="K215" t="s">
        <v>11</v>
      </c>
    </row>
    <row r="216" spans="1:11" x14ac:dyDescent="0.2">
      <c r="A216">
        <v>5</v>
      </c>
      <c r="B216" t="s">
        <v>18</v>
      </c>
      <c r="C216" t="s">
        <v>19</v>
      </c>
      <c r="D216" s="1">
        <v>44531</v>
      </c>
      <c r="E216">
        <v>1179</v>
      </c>
      <c r="F216" s="3">
        <v>75697.807473715293</v>
      </c>
      <c r="G216" s="12">
        <f t="shared" si="6"/>
        <v>64.205095397553265</v>
      </c>
      <c r="H216" s="12" t="str">
        <f t="shared" si="7"/>
        <v>Lower range</v>
      </c>
      <c r="I216">
        <v>0</v>
      </c>
      <c r="J216" s="2">
        <v>94.375021930457095</v>
      </c>
      <c r="K216" t="s">
        <v>11</v>
      </c>
    </row>
    <row r="217" spans="1:11" x14ac:dyDescent="0.2">
      <c r="A217">
        <v>6</v>
      </c>
      <c r="B217" t="s">
        <v>20</v>
      </c>
      <c r="C217" t="s">
        <v>21</v>
      </c>
      <c r="D217" s="1">
        <v>44531</v>
      </c>
      <c r="E217">
        <v>461</v>
      </c>
      <c r="F217" s="3">
        <v>54348.657463594398</v>
      </c>
      <c r="G217" s="12">
        <f t="shared" si="6"/>
        <v>117.8929662984694</v>
      </c>
      <c r="H217" s="12" t="str">
        <f t="shared" si="7"/>
        <v>Higher range</v>
      </c>
      <c r="I217">
        <v>1</v>
      </c>
      <c r="J217" s="2">
        <v>116.16323503711401</v>
      </c>
      <c r="K217" t="s">
        <v>11</v>
      </c>
    </row>
  </sheetData>
  <autoFilter ref="A1:K217" xr:uid="{00000000-0001-0000-0000-00000000000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EB79-EC53-D041-827C-E45EF813BBAF}">
  <sheetPr>
    <tabColor rgb="FF00B0F0"/>
  </sheetPr>
  <dimension ref="A1:AD120"/>
  <sheetViews>
    <sheetView tabSelected="1" topLeftCell="M1" zoomScale="160" zoomScaleNormal="160" workbookViewId="0">
      <pane ySplit="1" topLeftCell="A2" activePane="bottomLeft" state="frozen"/>
      <selection pane="bottomLeft" activeCell="V10" sqref="V10"/>
    </sheetView>
  </sheetViews>
  <sheetFormatPr baseColWidth="10" defaultColWidth="8.83203125" defaultRowHeight="14" x14ac:dyDescent="0.15"/>
  <cols>
    <col min="1" max="1" width="4" style="19" customWidth="1"/>
    <col min="2" max="2" width="11.33203125" style="19" bestFit="1" customWidth="1"/>
    <col min="3" max="3" width="10.6640625" style="19" hidden="1" customWidth="1"/>
    <col min="4" max="4" width="12.1640625" style="19" customWidth="1"/>
    <col min="5" max="5" width="11.5" style="28" customWidth="1"/>
    <col min="6" max="7" width="9" style="19" customWidth="1"/>
    <col min="8" max="8" width="11.6640625" style="19" bestFit="1" customWidth="1"/>
    <col min="9" max="9" width="11.6640625" style="19" hidden="1" customWidth="1"/>
    <col min="10" max="10" width="11.5" style="19" bestFit="1" customWidth="1"/>
    <col min="11" max="13" width="11.6640625" style="19" customWidth="1"/>
    <col min="14" max="17" width="8.83203125" style="19" customWidth="1"/>
    <col min="18" max="18" width="17.6640625" style="19" customWidth="1"/>
    <col min="19" max="19" width="16.6640625" style="30" customWidth="1"/>
    <col min="20" max="20" width="11.5" style="28" customWidth="1"/>
    <col min="21" max="21" width="2" style="19" customWidth="1"/>
    <col min="22" max="22" width="15.33203125" style="19" bestFit="1" customWidth="1"/>
    <col min="23" max="23" width="12.1640625" style="19" bestFit="1" customWidth="1"/>
    <col min="24" max="24" width="12.5" style="19" bestFit="1" customWidth="1"/>
    <col min="25" max="26" width="12.1640625" style="19" bestFit="1" customWidth="1"/>
    <col min="27" max="27" width="12.6640625" style="19" bestFit="1" customWidth="1"/>
    <col min="28" max="28" width="12.1640625" style="19" bestFit="1" customWidth="1"/>
    <col min="29" max="29" width="12.6640625" style="19" bestFit="1" customWidth="1"/>
    <col min="30" max="30" width="12.1640625" style="19" bestFit="1" customWidth="1"/>
    <col min="31" max="16384" width="8.83203125" style="19"/>
  </cols>
  <sheetData>
    <row r="1" spans="1:27" ht="15" x14ac:dyDescent="0.2">
      <c r="A1" s="24" t="s">
        <v>0</v>
      </c>
      <c r="B1" s="24" t="s">
        <v>1</v>
      </c>
      <c r="C1" s="24" t="s">
        <v>2</v>
      </c>
      <c r="D1" s="66" t="s">
        <v>4</v>
      </c>
      <c r="E1" s="25" t="s">
        <v>5</v>
      </c>
      <c r="F1" s="35" t="s">
        <v>3</v>
      </c>
      <c r="G1" s="31" t="s">
        <v>75</v>
      </c>
      <c r="H1" s="35" t="s">
        <v>8</v>
      </c>
      <c r="I1" s="37" t="s">
        <v>73</v>
      </c>
      <c r="J1" s="26" t="s">
        <v>74</v>
      </c>
      <c r="K1" s="26" t="s">
        <v>18</v>
      </c>
      <c r="L1" s="26" t="s">
        <v>9</v>
      </c>
      <c r="M1" s="26" t="s">
        <v>16</v>
      </c>
      <c r="N1" s="26" t="s">
        <v>24</v>
      </c>
      <c r="O1" s="26" t="s">
        <v>11</v>
      </c>
      <c r="P1" s="26" t="s">
        <v>22</v>
      </c>
      <c r="Q1" s="26" t="s">
        <v>23</v>
      </c>
      <c r="R1" s="26" t="s">
        <v>6</v>
      </c>
      <c r="S1" s="27" t="s">
        <v>7</v>
      </c>
      <c r="T1" s="39" t="s">
        <v>36</v>
      </c>
    </row>
    <row r="2" spans="1:27" ht="15" x14ac:dyDescent="0.2">
      <c r="A2" s="19">
        <v>1</v>
      </c>
      <c r="B2" s="19" t="s">
        <v>9</v>
      </c>
      <c r="C2" s="19" t="s">
        <v>10</v>
      </c>
      <c r="D2" s="19">
        <v>258</v>
      </c>
      <c r="E2" s="28">
        <v>81782.882644051002</v>
      </c>
      <c r="F2" s="29">
        <v>43466</v>
      </c>
      <c r="G2" s="32" t="str">
        <f>TEXT(F2, "mmmm")</f>
        <v>January</v>
      </c>
      <c r="H2" s="19" t="s">
        <v>11</v>
      </c>
      <c r="I2" s="38">
        <f t="shared" ref="I2:I33" si="0">IF(H2="Spring",1,IF(H2="Summer",2,IF(H2="Autumn",3,4)))</f>
        <v>2</v>
      </c>
      <c r="J2" s="34">
        <f t="shared" ref="J2:J33" si="1">MONTH(F2)</f>
        <v>1</v>
      </c>
      <c r="K2" s="33">
        <f>IF(B2="Headphones",1,0)</f>
        <v>0</v>
      </c>
      <c r="L2" s="33">
        <f>IF(B2="Smartphone",1,0)</f>
        <v>1</v>
      </c>
      <c r="M2" s="33">
        <f>IF(B2="Smartwatch",1,0)</f>
        <v>0</v>
      </c>
      <c r="N2" s="33">
        <f>IF(H2="Spring", 1, 0)</f>
        <v>0</v>
      </c>
      <c r="O2" s="33">
        <f>IF(H2="Summer", 1, 0)</f>
        <v>1</v>
      </c>
      <c r="P2" s="33">
        <f>IF(H2="Autumn", 1, 0)</f>
        <v>0</v>
      </c>
      <c r="Q2" s="33">
        <f>IF(H2="Winter", 1, 0)</f>
        <v>0</v>
      </c>
      <c r="R2" s="19">
        <v>1</v>
      </c>
      <c r="S2" s="30">
        <v>108.365611185087</v>
      </c>
      <c r="T2" s="12">
        <f>E2/D2</f>
        <v>316.98791722500391</v>
      </c>
      <c r="V2" s="19" t="s">
        <v>76</v>
      </c>
    </row>
    <row r="3" spans="1:27" ht="16" thickBot="1" x14ac:dyDescent="0.25">
      <c r="A3" s="19">
        <v>4</v>
      </c>
      <c r="B3" s="19" t="s">
        <v>16</v>
      </c>
      <c r="C3" s="19" t="s">
        <v>17</v>
      </c>
      <c r="D3" s="19">
        <v>235</v>
      </c>
      <c r="E3" s="28">
        <v>86629.175317087007</v>
      </c>
      <c r="F3" s="29">
        <v>43466</v>
      </c>
      <c r="G3" s="32" t="str">
        <f t="shared" ref="G3:G66" si="2">TEXT(F3, "mmmm")</f>
        <v>January</v>
      </c>
      <c r="H3" s="19" t="s">
        <v>11</v>
      </c>
      <c r="I3" s="38">
        <f t="shared" si="0"/>
        <v>2</v>
      </c>
      <c r="J3" s="34">
        <f t="shared" si="1"/>
        <v>1</v>
      </c>
      <c r="K3" s="33">
        <f t="shared" ref="K3:K66" si="3">IF(B3="Headphones",1,0)</f>
        <v>0</v>
      </c>
      <c r="L3" s="33">
        <f t="shared" ref="L3:L66" si="4">IF(B3="Smartphone",1,0)</f>
        <v>0</v>
      </c>
      <c r="M3" s="33">
        <f t="shared" ref="M3:M66" si="5">IF(B3="Smartwatch",1,0)</f>
        <v>1</v>
      </c>
      <c r="N3" s="33">
        <f t="shared" ref="N3:N66" si="6">IF(H3="Spring", 1, 0)</f>
        <v>0</v>
      </c>
      <c r="O3" s="33">
        <f t="shared" ref="O3:O66" si="7">IF(H3="Summer", 1, 0)</f>
        <v>1</v>
      </c>
      <c r="P3" s="33">
        <f t="shared" ref="P3:P66" si="8">IF(H3="Autumn", 1, 0)</f>
        <v>0</v>
      </c>
      <c r="Q3" s="33">
        <f t="shared" ref="Q3:Q66" si="9">IF(H3="Winter", 1, 0)</f>
        <v>0</v>
      </c>
      <c r="R3" s="19">
        <v>1</v>
      </c>
      <c r="S3" s="30">
        <v>137.66614859257899</v>
      </c>
      <c r="T3" s="12">
        <f t="shared" ref="T3:T66" si="10">E3/D3</f>
        <v>368.63478858334895</v>
      </c>
    </row>
    <row r="4" spans="1:27" ht="15" x14ac:dyDescent="0.2">
      <c r="A4" s="19">
        <v>5</v>
      </c>
      <c r="B4" s="19" t="s">
        <v>18</v>
      </c>
      <c r="C4" s="19" t="s">
        <v>19</v>
      </c>
      <c r="D4" s="19">
        <v>630</v>
      </c>
      <c r="E4" s="28">
        <v>105687.54760481699</v>
      </c>
      <c r="F4" s="29">
        <v>43466</v>
      </c>
      <c r="G4" s="32" t="str">
        <f t="shared" si="2"/>
        <v>January</v>
      </c>
      <c r="H4" s="19" t="s">
        <v>11</v>
      </c>
      <c r="I4" s="38">
        <f t="shared" si="0"/>
        <v>2</v>
      </c>
      <c r="J4" s="34">
        <f t="shared" si="1"/>
        <v>1</v>
      </c>
      <c r="K4" s="33">
        <f t="shared" si="3"/>
        <v>1</v>
      </c>
      <c r="L4" s="33">
        <f t="shared" si="4"/>
        <v>0</v>
      </c>
      <c r="M4" s="33">
        <f t="shared" si="5"/>
        <v>0</v>
      </c>
      <c r="N4" s="33">
        <f t="shared" si="6"/>
        <v>0</v>
      </c>
      <c r="O4" s="33">
        <f t="shared" si="7"/>
        <v>1</v>
      </c>
      <c r="P4" s="33">
        <f t="shared" si="8"/>
        <v>0</v>
      </c>
      <c r="Q4" s="33">
        <f t="shared" si="9"/>
        <v>0</v>
      </c>
      <c r="R4" s="19">
        <v>1</v>
      </c>
      <c r="S4" s="30">
        <v>87.646336687804904</v>
      </c>
      <c r="T4" s="12">
        <f t="shared" si="10"/>
        <v>167.7580120711381</v>
      </c>
      <c r="V4" s="36" t="s">
        <v>77</v>
      </c>
      <c r="W4" s="36"/>
    </row>
    <row r="5" spans="1:27" ht="15" x14ac:dyDescent="0.2">
      <c r="A5" s="19">
        <v>1</v>
      </c>
      <c r="B5" s="19" t="s">
        <v>9</v>
      </c>
      <c r="C5" s="19" t="s">
        <v>10</v>
      </c>
      <c r="D5" s="19">
        <v>551</v>
      </c>
      <c r="E5" s="28">
        <v>74650.284234724997</v>
      </c>
      <c r="F5" s="29">
        <v>43497</v>
      </c>
      <c r="G5" s="32" t="str">
        <f t="shared" si="2"/>
        <v>February</v>
      </c>
      <c r="H5" s="19" t="s">
        <v>11</v>
      </c>
      <c r="I5" s="38">
        <f t="shared" si="0"/>
        <v>2</v>
      </c>
      <c r="J5" s="34">
        <f t="shared" si="1"/>
        <v>2</v>
      </c>
      <c r="K5" s="33">
        <f t="shared" si="3"/>
        <v>0</v>
      </c>
      <c r="L5" s="33">
        <f t="shared" si="4"/>
        <v>1</v>
      </c>
      <c r="M5" s="33">
        <f t="shared" si="5"/>
        <v>0</v>
      </c>
      <c r="N5" s="33">
        <f t="shared" si="6"/>
        <v>0</v>
      </c>
      <c r="O5" s="33">
        <f t="shared" si="7"/>
        <v>1</v>
      </c>
      <c r="P5" s="33">
        <f t="shared" si="8"/>
        <v>0</v>
      </c>
      <c r="Q5" s="33">
        <f t="shared" si="9"/>
        <v>0</v>
      </c>
      <c r="R5" s="19">
        <v>0</v>
      </c>
      <c r="S5" s="30">
        <v>96.869315979497003</v>
      </c>
      <c r="T5" s="12">
        <f t="shared" si="10"/>
        <v>135.48145959115246</v>
      </c>
      <c r="V5" s="19" t="s">
        <v>78</v>
      </c>
      <c r="W5" s="19">
        <v>0.87517202062131494</v>
      </c>
    </row>
    <row r="6" spans="1:27" ht="15" x14ac:dyDescent="0.2">
      <c r="A6" s="19">
        <v>4</v>
      </c>
      <c r="B6" s="19" t="s">
        <v>16</v>
      </c>
      <c r="C6" s="19" t="s">
        <v>17</v>
      </c>
      <c r="D6" s="19">
        <v>803</v>
      </c>
      <c r="E6" s="28">
        <v>56249.169621958899</v>
      </c>
      <c r="F6" s="29">
        <v>43497</v>
      </c>
      <c r="G6" s="32" t="str">
        <f t="shared" si="2"/>
        <v>February</v>
      </c>
      <c r="H6" s="19" t="s">
        <v>11</v>
      </c>
      <c r="I6" s="38">
        <f t="shared" si="0"/>
        <v>2</v>
      </c>
      <c r="J6" s="34">
        <f t="shared" si="1"/>
        <v>2</v>
      </c>
      <c r="K6" s="33">
        <f t="shared" si="3"/>
        <v>0</v>
      </c>
      <c r="L6" s="33">
        <f t="shared" si="4"/>
        <v>0</v>
      </c>
      <c r="M6" s="33">
        <f t="shared" si="5"/>
        <v>1</v>
      </c>
      <c r="N6" s="33">
        <f t="shared" si="6"/>
        <v>0</v>
      </c>
      <c r="O6" s="33">
        <f t="shared" si="7"/>
        <v>1</v>
      </c>
      <c r="P6" s="33">
        <f t="shared" si="8"/>
        <v>0</v>
      </c>
      <c r="Q6" s="33">
        <f t="shared" si="9"/>
        <v>0</v>
      </c>
      <c r="R6" s="19">
        <v>0</v>
      </c>
      <c r="S6" s="30">
        <v>125.70812020424501</v>
      </c>
      <c r="T6" s="12">
        <f t="shared" si="10"/>
        <v>70.04877910580187</v>
      </c>
      <c r="V6" s="19" t="s">
        <v>79</v>
      </c>
      <c r="W6" s="19">
        <v>0.76592606567839527</v>
      </c>
    </row>
    <row r="7" spans="1:27" ht="15" x14ac:dyDescent="0.2">
      <c r="A7" s="19">
        <v>5</v>
      </c>
      <c r="B7" s="19" t="s">
        <v>18</v>
      </c>
      <c r="C7" s="19" t="s">
        <v>19</v>
      </c>
      <c r="D7" s="19">
        <v>594</v>
      </c>
      <c r="E7" s="28">
        <v>80882.934037723593</v>
      </c>
      <c r="F7" s="29">
        <v>43497</v>
      </c>
      <c r="G7" s="32" t="str">
        <f t="shared" si="2"/>
        <v>February</v>
      </c>
      <c r="H7" s="19" t="s">
        <v>11</v>
      </c>
      <c r="I7" s="38">
        <f t="shared" si="0"/>
        <v>2</v>
      </c>
      <c r="J7" s="34">
        <f t="shared" si="1"/>
        <v>2</v>
      </c>
      <c r="K7" s="33">
        <f t="shared" si="3"/>
        <v>1</v>
      </c>
      <c r="L7" s="33">
        <f t="shared" si="4"/>
        <v>0</v>
      </c>
      <c r="M7" s="33">
        <f t="shared" si="5"/>
        <v>0</v>
      </c>
      <c r="N7" s="33">
        <f t="shared" si="6"/>
        <v>0</v>
      </c>
      <c r="O7" s="33">
        <f t="shared" si="7"/>
        <v>1</v>
      </c>
      <c r="P7" s="33">
        <f t="shared" si="8"/>
        <v>0</v>
      </c>
      <c r="Q7" s="33">
        <f t="shared" si="9"/>
        <v>0</v>
      </c>
      <c r="R7" s="19">
        <v>0</v>
      </c>
      <c r="S7" s="30">
        <v>62.915941515149498</v>
      </c>
      <c r="T7" s="12">
        <f t="shared" si="10"/>
        <v>136.16655561906327</v>
      </c>
      <c r="V7" s="19" t="s">
        <v>80</v>
      </c>
      <c r="W7" s="19">
        <v>0.72128839819041224</v>
      </c>
    </row>
    <row r="8" spans="1:27" ht="15" x14ac:dyDescent="0.2">
      <c r="A8" s="19">
        <v>1</v>
      </c>
      <c r="B8" s="19" t="s">
        <v>9</v>
      </c>
      <c r="C8" s="19" t="s">
        <v>10</v>
      </c>
      <c r="D8" s="19">
        <v>100</v>
      </c>
      <c r="E8" s="28">
        <v>44634.738761009699</v>
      </c>
      <c r="F8" s="29">
        <v>43525</v>
      </c>
      <c r="G8" s="32" t="str">
        <f t="shared" si="2"/>
        <v>March</v>
      </c>
      <c r="H8" s="19" t="s">
        <v>22</v>
      </c>
      <c r="I8" s="38">
        <f t="shared" si="0"/>
        <v>3</v>
      </c>
      <c r="J8" s="34">
        <f t="shared" si="1"/>
        <v>3</v>
      </c>
      <c r="K8" s="33">
        <f t="shared" si="3"/>
        <v>0</v>
      </c>
      <c r="L8" s="33">
        <f t="shared" si="4"/>
        <v>1</v>
      </c>
      <c r="M8" s="33">
        <f t="shared" si="5"/>
        <v>0</v>
      </c>
      <c r="N8" s="33">
        <f t="shared" si="6"/>
        <v>0</v>
      </c>
      <c r="O8" s="33">
        <f t="shared" si="7"/>
        <v>0</v>
      </c>
      <c r="P8" s="33">
        <f t="shared" si="8"/>
        <v>1</v>
      </c>
      <c r="Q8" s="33">
        <f t="shared" si="9"/>
        <v>0</v>
      </c>
      <c r="R8" s="19">
        <v>0</v>
      </c>
      <c r="S8" s="30">
        <v>102.016350111199</v>
      </c>
      <c r="T8" s="12">
        <f t="shared" si="10"/>
        <v>446.34738761009697</v>
      </c>
      <c r="V8" s="19" t="s">
        <v>81</v>
      </c>
      <c r="W8" s="19">
        <v>216.76670965425305</v>
      </c>
    </row>
    <row r="9" spans="1:27" ht="16" thickBot="1" x14ac:dyDescent="0.25">
      <c r="A9" s="19">
        <v>4</v>
      </c>
      <c r="B9" s="19" t="s">
        <v>16</v>
      </c>
      <c r="C9" s="19" t="s">
        <v>17</v>
      </c>
      <c r="D9" s="19">
        <v>629</v>
      </c>
      <c r="E9" s="28">
        <v>77372.631150646906</v>
      </c>
      <c r="F9" s="29">
        <v>43525</v>
      </c>
      <c r="G9" s="32" t="str">
        <f t="shared" si="2"/>
        <v>March</v>
      </c>
      <c r="H9" s="19" t="s">
        <v>22</v>
      </c>
      <c r="I9" s="38">
        <f t="shared" si="0"/>
        <v>3</v>
      </c>
      <c r="J9" s="34">
        <f t="shared" si="1"/>
        <v>3</v>
      </c>
      <c r="K9" s="33">
        <f t="shared" si="3"/>
        <v>0</v>
      </c>
      <c r="L9" s="33">
        <f t="shared" si="4"/>
        <v>0</v>
      </c>
      <c r="M9" s="33">
        <f t="shared" si="5"/>
        <v>1</v>
      </c>
      <c r="N9" s="33">
        <f t="shared" si="6"/>
        <v>0</v>
      </c>
      <c r="O9" s="33">
        <f t="shared" si="7"/>
        <v>0</v>
      </c>
      <c r="P9" s="33">
        <f t="shared" si="8"/>
        <v>1</v>
      </c>
      <c r="Q9" s="33">
        <f t="shared" si="9"/>
        <v>0</v>
      </c>
      <c r="R9" s="19">
        <v>1</v>
      </c>
      <c r="S9" s="30">
        <v>130.50446675193601</v>
      </c>
      <c r="T9" s="12">
        <f t="shared" si="10"/>
        <v>123.00895254474865</v>
      </c>
      <c r="V9" s="21" t="s">
        <v>82</v>
      </c>
      <c r="W9" s="21">
        <v>102</v>
      </c>
    </row>
    <row r="10" spans="1:27" ht="15" x14ac:dyDescent="0.2">
      <c r="A10" s="19">
        <v>5</v>
      </c>
      <c r="B10" s="19" t="s">
        <v>18</v>
      </c>
      <c r="C10" s="19" t="s">
        <v>19</v>
      </c>
      <c r="D10" s="19">
        <v>1070</v>
      </c>
      <c r="E10" s="28">
        <v>124079.56766822199</v>
      </c>
      <c r="F10" s="29">
        <v>43525</v>
      </c>
      <c r="G10" s="32" t="str">
        <f t="shared" si="2"/>
        <v>March</v>
      </c>
      <c r="H10" s="19" t="s">
        <v>22</v>
      </c>
      <c r="I10" s="38">
        <f t="shared" si="0"/>
        <v>3</v>
      </c>
      <c r="J10" s="34">
        <f t="shared" si="1"/>
        <v>3</v>
      </c>
      <c r="K10" s="33">
        <f t="shared" si="3"/>
        <v>1</v>
      </c>
      <c r="L10" s="33">
        <f t="shared" si="4"/>
        <v>0</v>
      </c>
      <c r="M10" s="33">
        <f t="shared" si="5"/>
        <v>0</v>
      </c>
      <c r="N10" s="33">
        <f t="shared" si="6"/>
        <v>0</v>
      </c>
      <c r="O10" s="33">
        <f t="shared" si="7"/>
        <v>0</v>
      </c>
      <c r="P10" s="33">
        <f t="shared" si="8"/>
        <v>1</v>
      </c>
      <c r="Q10" s="33">
        <f t="shared" si="9"/>
        <v>0</v>
      </c>
      <c r="R10" s="19">
        <v>1</v>
      </c>
      <c r="S10" s="30">
        <v>85.058755880659703</v>
      </c>
      <c r="T10" s="12">
        <f t="shared" si="10"/>
        <v>115.96221277403924</v>
      </c>
    </row>
    <row r="11" spans="1:27" ht="16" thickBot="1" x14ac:dyDescent="0.25">
      <c r="A11" s="19">
        <v>1</v>
      </c>
      <c r="B11" s="19" t="s">
        <v>9</v>
      </c>
      <c r="C11" s="19" t="s">
        <v>10</v>
      </c>
      <c r="D11" s="19">
        <v>572</v>
      </c>
      <c r="E11" s="28">
        <v>84371.987480273703</v>
      </c>
      <c r="F11" s="29">
        <v>43556</v>
      </c>
      <c r="G11" s="32" t="str">
        <f t="shared" si="2"/>
        <v>April</v>
      </c>
      <c r="H11" s="19" t="s">
        <v>22</v>
      </c>
      <c r="I11" s="38">
        <f t="shared" si="0"/>
        <v>3</v>
      </c>
      <c r="J11" s="34">
        <f t="shared" si="1"/>
        <v>4</v>
      </c>
      <c r="K11" s="33">
        <f t="shared" si="3"/>
        <v>0</v>
      </c>
      <c r="L11" s="33">
        <f t="shared" si="4"/>
        <v>1</v>
      </c>
      <c r="M11" s="33">
        <f t="shared" si="5"/>
        <v>0</v>
      </c>
      <c r="N11" s="33">
        <f t="shared" si="6"/>
        <v>0</v>
      </c>
      <c r="O11" s="33">
        <f t="shared" si="7"/>
        <v>0</v>
      </c>
      <c r="P11" s="33">
        <f t="shared" si="8"/>
        <v>1</v>
      </c>
      <c r="Q11" s="33">
        <f t="shared" si="9"/>
        <v>0</v>
      </c>
      <c r="R11" s="19">
        <v>0</v>
      </c>
      <c r="S11" s="30">
        <v>128.36530127411399</v>
      </c>
      <c r="T11" s="12">
        <f t="shared" si="10"/>
        <v>147.50347461586313</v>
      </c>
      <c r="V11" s="19" t="s">
        <v>62</v>
      </c>
    </row>
    <row r="12" spans="1:27" ht="15" x14ac:dyDescent="0.2">
      <c r="A12" s="19">
        <v>4</v>
      </c>
      <c r="B12" s="19" t="s">
        <v>16</v>
      </c>
      <c r="C12" s="19" t="s">
        <v>17</v>
      </c>
      <c r="D12" s="19">
        <v>443</v>
      </c>
      <c r="E12" s="28">
        <v>16706.1360760998</v>
      </c>
      <c r="F12" s="29">
        <v>43556</v>
      </c>
      <c r="G12" s="32" t="str">
        <f t="shared" si="2"/>
        <v>April</v>
      </c>
      <c r="H12" s="19" t="s">
        <v>22</v>
      </c>
      <c r="I12" s="38">
        <f t="shared" si="0"/>
        <v>3</v>
      </c>
      <c r="J12" s="34">
        <f t="shared" si="1"/>
        <v>4</v>
      </c>
      <c r="K12" s="33">
        <f t="shared" si="3"/>
        <v>0</v>
      </c>
      <c r="L12" s="33">
        <f t="shared" si="4"/>
        <v>0</v>
      </c>
      <c r="M12" s="33">
        <f t="shared" si="5"/>
        <v>1</v>
      </c>
      <c r="N12" s="33">
        <f t="shared" si="6"/>
        <v>0</v>
      </c>
      <c r="O12" s="33">
        <f t="shared" si="7"/>
        <v>0</v>
      </c>
      <c r="P12" s="33">
        <f t="shared" si="8"/>
        <v>1</v>
      </c>
      <c r="Q12" s="33">
        <f t="shared" si="9"/>
        <v>0</v>
      </c>
      <c r="R12" s="19">
        <v>1</v>
      </c>
      <c r="S12" s="30">
        <v>112.080568442209</v>
      </c>
      <c r="T12" s="12">
        <f t="shared" si="10"/>
        <v>37.711368117606774</v>
      </c>
      <c r="V12" s="20"/>
      <c r="W12" s="20" t="s">
        <v>65</v>
      </c>
      <c r="X12" s="20" t="s">
        <v>64</v>
      </c>
      <c r="Y12" s="20" t="s">
        <v>66</v>
      </c>
      <c r="Z12" s="20" t="s">
        <v>67</v>
      </c>
      <c r="AA12" s="20" t="s">
        <v>86</v>
      </c>
    </row>
    <row r="13" spans="1:27" ht="15" x14ac:dyDescent="0.2">
      <c r="A13" s="19">
        <v>5</v>
      </c>
      <c r="B13" s="19" t="s">
        <v>18</v>
      </c>
      <c r="C13" s="19" t="s">
        <v>19</v>
      </c>
      <c r="D13" s="19">
        <v>655</v>
      </c>
      <c r="E13" s="28">
        <v>81932.313913534701</v>
      </c>
      <c r="F13" s="29">
        <v>43556</v>
      </c>
      <c r="G13" s="32" t="str">
        <f t="shared" si="2"/>
        <v>April</v>
      </c>
      <c r="H13" s="19" t="s">
        <v>22</v>
      </c>
      <c r="I13" s="38">
        <f t="shared" si="0"/>
        <v>3</v>
      </c>
      <c r="J13" s="34">
        <f t="shared" si="1"/>
        <v>4</v>
      </c>
      <c r="K13" s="33">
        <f t="shared" si="3"/>
        <v>1</v>
      </c>
      <c r="L13" s="33">
        <f t="shared" si="4"/>
        <v>0</v>
      </c>
      <c r="M13" s="33">
        <f t="shared" si="5"/>
        <v>0</v>
      </c>
      <c r="N13" s="33">
        <f t="shared" si="6"/>
        <v>0</v>
      </c>
      <c r="O13" s="33">
        <f t="shared" si="7"/>
        <v>0</v>
      </c>
      <c r="P13" s="33">
        <f t="shared" si="8"/>
        <v>1</v>
      </c>
      <c r="Q13" s="33">
        <f t="shared" si="9"/>
        <v>0</v>
      </c>
      <c r="R13" s="19">
        <v>0</v>
      </c>
      <c r="S13" s="30">
        <v>74.014561877819304</v>
      </c>
      <c r="T13" s="12">
        <f t="shared" si="10"/>
        <v>125.08750215806825</v>
      </c>
      <c r="V13" s="19" t="s">
        <v>83</v>
      </c>
      <c r="W13" s="19">
        <v>11</v>
      </c>
      <c r="X13" s="19">
        <v>14145125.103999171</v>
      </c>
      <c r="Y13" s="19">
        <v>1285920.4639999247</v>
      </c>
      <c r="Z13" s="19">
        <v>33.44868992717349</v>
      </c>
      <c r="AA13" s="19">
        <v>4.2010802030964365E-27</v>
      </c>
    </row>
    <row r="14" spans="1:27" ht="15" x14ac:dyDescent="0.2">
      <c r="A14" s="19">
        <v>1</v>
      </c>
      <c r="B14" s="19" t="s">
        <v>9</v>
      </c>
      <c r="C14" s="19" t="s">
        <v>10</v>
      </c>
      <c r="D14" s="19">
        <v>699</v>
      </c>
      <c r="E14" s="28">
        <v>45293.625161854899</v>
      </c>
      <c r="F14" s="29">
        <v>43586</v>
      </c>
      <c r="G14" s="32" t="str">
        <f t="shared" si="2"/>
        <v>May</v>
      </c>
      <c r="H14" s="19" t="s">
        <v>22</v>
      </c>
      <c r="I14" s="38">
        <f t="shared" si="0"/>
        <v>3</v>
      </c>
      <c r="J14" s="34">
        <f t="shared" si="1"/>
        <v>5</v>
      </c>
      <c r="K14" s="33">
        <f t="shared" si="3"/>
        <v>0</v>
      </c>
      <c r="L14" s="33">
        <f t="shared" si="4"/>
        <v>1</v>
      </c>
      <c r="M14" s="33">
        <f t="shared" si="5"/>
        <v>0</v>
      </c>
      <c r="N14" s="33">
        <f t="shared" si="6"/>
        <v>0</v>
      </c>
      <c r="O14" s="33">
        <f t="shared" si="7"/>
        <v>0</v>
      </c>
      <c r="P14" s="33">
        <f t="shared" si="8"/>
        <v>1</v>
      </c>
      <c r="Q14" s="33">
        <f t="shared" si="9"/>
        <v>0</v>
      </c>
      <c r="R14" s="19">
        <v>0</v>
      </c>
      <c r="S14" s="30">
        <v>116.755773852102</v>
      </c>
      <c r="T14" s="12">
        <f t="shared" si="10"/>
        <v>64.797747012667955</v>
      </c>
      <c r="V14" s="19" t="s">
        <v>84</v>
      </c>
      <c r="W14" s="19">
        <v>92</v>
      </c>
      <c r="X14" s="19">
        <v>4322878.190118474</v>
      </c>
      <c r="Y14" s="19">
        <v>46987.806414331237</v>
      </c>
    </row>
    <row r="15" spans="1:27" ht="16" thickBot="1" x14ac:dyDescent="0.25">
      <c r="A15" s="19">
        <v>4</v>
      </c>
      <c r="B15" s="19" t="s">
        <v>16</v>
      </c>
      <c r="C15" s="19" t="s">
        <v>17</v>
      </c>
      <c r="D15" s="19">
        <v>478</v>
      </c>
      <c r="E15" s="28">
        <v>29295.1535516125</v>
      </c>
      <c r="F15" s="29">
        <v>43586</v>
      </c>
      <c r="G15" s="32" t="str">
        <f t="shared" si="2"/>
        <v>May</v>
      </c>
      <c r="H15" s="19" t="s">
        <v>22</v>
      </c>
      <c r="I15" s="38">
        <f t="shared" si="0"/>
        <v>3</v>
      </c>
      <c r="J15" s="34">
        <f t="shared" si="1"/>
        <v>5</v>
      </c>
      <c r="K15" s="33">
        <f t="shared" si="3"/>
        <v>0</v>
      </c>
      <c r="L15" s="33">
        <f t="shared" si="4"/>
        <v>0</v>
      </c>
      <c r="M15" s="33">
        <f t="shared" si="5"/>
        <v>1</v>
      </c>
      <c r="N15" s="33">
        <f t="shared" si="6"/>
        <v>0</v>
      </c>
      <c r="O15" s="33">
        <f t="shared" si="7"/>
        <v>0</v>
      </c>
      <c r="P15" s="33">
        <f t="shared" si="8"/>
        <v>1</v>
      </c>
      <c r="Q15" s="33">
        <f t="shared" si="9"/>
        <v>0</v>
      </c>
      <c r="R15" s="19">
        <v>1</v>
      </c>
      <c r="S15" s="30">
        <v>139.42172628959199</v>
      </c>
      <c r="T15" s="12">
        <f t="shared" si="10"/>
        <v>61.28693211634414</v>
      </c>
      <c r="V15" s="21" t="s">
        <v>72</v>
      </c>
      <c r="W15" s="21">
        <v>103</v>
      </c>
      <c r="X15" s="21">
        <v>18468003.294117644</v>
      </c>
      <c r="Y15" s="21"/>
      <c r="Z15" s="21"/>
      <c r="AA15" s="21"/>
    </row>
    <row r="16" spans="1:27" ht="16" thickBot="1" x14ac:dyDescent="0.25">
      <c r="A16" s="19">
        <v>5</v>
      </c>
      <c r="B16" s="19" t="s">
        <v>18</v>
      </c>
      <c r="C16" s="19" t="s">
        <v>19</v>
      </c>
      <c r="D16" s="19">
        <v>887</v>
      </c>
      <c r="E16" s="28">
        <v>75439.690440442602</v>
      </c>
      <c r="F16" s="29">
        <v>43586</v>
      </c>
      <c r="G16" s="32" t="str">
        <f t="shared" si="2"/>
        <v>May</v>
      </c>
      <c r="H16" s="19" t="s">
        <v>22</v>
      </c>
      <c r="I16" s="38">
        <f t="shared" si="0"/>
        <v>3</v>
      </c>
      <c r="J16" s="34">
        <f t="shared" si="1"/>
        <v>5</v>
      </c>
      <c r="K16" s="33">
        <f t="shared" si="3"/>
        <v>1</v>
      </c>
      <c r="L16" s="33">
        <f t="shared" si="4"/>
        <v>0</v>
      </c>
      <c r="M16" s="33">
        <f t="shared" si="5"/>
        <v>0</v>
      </c>
      <c r="N16" s="33">
        <f t="shared" si="6"/>
        <v>0</v>
      </c>
      <c r="O16" s="33">
        <f t="shared" si="7"/>
        <v>0</v>
      </c>
      <c r="P16" s="33">
        <f t="shared" si="8"/>
        <v>1</v>
      </c>
      <c r="Q16" s="33">
        <f t="shared" si="9"/>
        <v>0</v>
      </c>
      <c r="R16" s="19">
        <v>0</v>
      </c>
      <c r="S16" s="30">
        <v>53.931213984109803</v>
      </c>
      <c r="T16" s="12">
        <f t="shared" si="10"/>
        <v>85.050383811096509</v>
      </c>
    </row>
    <row r="17" spans="1:30" ht="15" x14ac:dyDescent="0.2">
      <c r="A17" s="19">
        <v>1</v>
      </c>
      <c r="B17" s="19" t="s">
        <v>9</v>
      </c>
      <c r="C17" s="19" t="s">
        <v>10</v>
      </c>
      <c r="D17" s="19">
        <v>424</v>
      </c>
      <c r="E17" s="28">
        <v>28808.417075666999</v>
      </c>
      <c r="F17" s="29">
        <v>43617</v>
      </c>
      <c r="G17" s="32" t="str">
        <f t="shared" si="2"/>
        <v>June</v>
      </c>
      <c r="H17" s="19" t="s">
        <v>23</v>
      </c>
      <c r="I17" s="38">
        <f t="shared" si="0"/>
        <v>4</v>
      </c>
      <c r="J17" s="34">
        <f t="shared" si="1"/>
        <v>6</v>
      </c>
      <c r="K17" s="33">
        <f t="shared" si="3"/>
        <v>0</v>
      </c>
      <c r="L17" s="33">
        <f t="shared" si="4"/>
        <v>1</v>
      </c>
      <c r="M17" s="33">
        <f t="shared" si="5"/>
        <v>0</v>
      </c>
      <c r="N17" s="33">
        <f t="shared" si="6"/>
        <v>0</v>
      </c>
      <c r="O17" s="33">
        <f t="shared" si="7"/>
        <v>0</v>
      </c>
      <c r="P17" s="33">
        <f t="shared" si="8"/>
        <v>0</v>
      </c>
      <c r="Q17" s="33">
        <f t="shared" si="9"/>
        <v>1</v>
      </c>
      <c r="R17" s="19">
        <v>0</v>
      </c>
      <c r="S17" s="30">
        <v>77.687764814720296</v>
      </c>
      <c r="T17" s="12">
        <f t="shared" si="10"/>
        <v>67.944379895441031</v>
      </c>
      <c r="V17" s="20"/>
      <c r="W17" s="20" t="s">
        <v>87</v>
      </c>
      <c r="X17" s="20" t="s">
        <v>81</v>
      </c>
      <c r="Y17" s="20" t="s">
        <v>88</v>
      </c>
      <c r="Z17" s="20" t="s">
        <v>68</v>
      </c>
      <c r="AA17" s="20" t="s">
        <v>89</v>
      </c>
      <c r="AB17" s="20" t="s">
        <v>90</v>
      </c>
      <c r="AC17" s="20" t="s">
        <v>91</v>
      </c>
      <c r="AD17" s="20" t="s">
        <v>92</v>
      </c>
    </row>
    <row r="18" spans="1:30" ht="15" x14ac:dyDescent="0.2">
      <c r="A18" s="19">
        <v>4</v>
      </c>
      <c r="B18" s="19" t="s">
        <v>16</v>
      </c>
      <c r="C18" s="19" t="s">
        <v>17</v>
      </c>
      <c r="D18" s="19">
        <v>374</v>
      </c>
      <c r="E18" s="28">
        <v>10000</v>
      </c>
      <c r="F18" s="29">
        <v>43617</v>
      </c>
      <c r="G18" s="32" t="str">
        <f t="shared" si="2"/>
        <v>June</v>
      </c>
      <c r="H18" s="19" t="s">
        <v>23</v>
      </c>
      <c r="I18" s="38">
        <f t="shared" si="0"/>
        <v>4</v>
      </c>
      <c r="J18" s="34">
        <f t="shared" si="1"/>
        <v>6</v>
      </c>
      <c r="K18" s="33">
        <f t="shared" si="3"/>
        <v>0</v>
      </c>
      <c r="L18" s="33">
        <f t="shared" si="4"/>
        <v>0</v>
      </c>
      <c r="M18" s="33">
        <f t="shared" si="5"/>
        <v>1</v>
      </c>
      <c r="N18" s="33">
        <f t="shared" si="6"/>
        <v>0</v>
      </c>
      <c r="O18" s="33">
        <f t="shared" si="7"/>
        <v>0</v>
      </c>
      <c r="P18" s="33">
        <f t="shared" si="8"/>
        <v>0</v>
      </c>
      <c r="Q18" s="33">
        <f t="shared" si="9"/>
        <v>1</v>
      </c>
      <c r="R18" s="19">
        <v>0</v>
      </c>
      <c r="S18" s="30">
        <v>56.234136251124099</v>
      </c>
      <c r="T18" s="12">
        <f t="shared" si="10"/>
        <v>26.737967914438503</v>
      </c>
      <c r="V18" s="19" t="s">
        <v>85</v>
      </c>
      <c r="W18" s="19">
        <v>1256.436474013175</v>
      </c>
      <c r="X18" s="19">
        <v>146.85403229009412</v>
      </c>
      <c r="Y18" s="19">
        <v>8.5556824992807954</v>
      </c>
      <c r="Z18" s="19">
        <v>2.4877200180972361E-13</v>
      </c>
      <c r="AA18" s="19">
        <v>964.77168989271968</v>
      </c>
      <c r="AB18" s="19">
        <v>1548.1012581336304</v>
      </c>
      <c r="AC18" s="19">
        <v>964.77168989271968</v>
      </c>
      <c r="AD18" s="19">
        <v>1548.1012581336304</v>
      </c>
    </row>
    <row r="19" spans="1:30" ht="15" x14ac:dyDescent="0.2">
      <c r="A19" s="19">
        <v>5</v>
      </c>
      <c r="B19" s="19" t="s">
        <v>18</v>
      </c>
      <c r="C19" s="19" t="s">
        <v>19</v>
      </c>
      <c r="D19" s="19">
        <v>1562</v>
      </c>
      <c r="E19" s="28">
        <v>114131.10494254</v>
      </c>
      <c r="F19" s="29">
        <v>43617</v>
      </c>
      <c r="G19" s="32" t="str">
        <f t="shared" si="2"/>
        <v>June</v>
      </c>
      <c r="H19" s="19" t="s">
        <v>23</v>
      </c>
      <c r="I19" s="38">
        <f t="shared" si="0"/>
        <v>4</v>
      </c>
      <c r="J19" s="34">
        <f t="shared" si="1"/>
        <v>6</v>
      </c>
      <c r="K19" s="33">
        <f t="shared" si="3"/>
        <v>1</v>
      </c>
      <c r="L19" s="33">
        <f t="shared" si="4"/>
        <v>0</v>
      </c>
      <c r="M19" s="33">
        <f t="shared" si="5"/>
        <v>0</v>
      </c>
      <c r="N19" s="33">
        <f t="shared" si="6"/>
        <v>0</v>
      </c>
      <c r="O19" s="33">
        <f t="shared" si="7"/>
        <v>0</v>
      </c>
      <c r="P19" s="33">
        <f t="shared" si="8"/>
        <v>0</v>
      </c>
      <c r="Q19" s="33">
        <f t="shared" si="9"/>
        <v>1</v>
      </c>
      <c r="R19" s="19">
        <v>1</v>
      </c>
      <c r="S19" s="30">
        <v>85.414667079312494</v>
      </c>
      <c r="T19" s="12">
        <f t="shared" si="10"/>
        <v>73.067288695608198</v>
      </c>
      <c r="V19" s="19" t="s">
        <v>74</v>
      </c>
      <c r="W19" s="19">
        <v>9.0403133356337886</v>
      </c>
      <c r="X19" s="19">
        <v>9.4327114425199774</v>
      </c>
      <c r="Y19" s="19">
        <v>0.95840028508479869</v>
      </c>
      <c r="Z19" s="19">
        <v>0.34037284929436373</v>
      </c>
      <c r="AA19" s="19">
        <v>-9.6938657921034928</v>
      </c>
      <c r="AB19" s="19">
        <v>27.774492463371068</v>
      </c>
      <c r="AC19" s="19">
        <v>-9.6938657921034928</v>
      </c>
      <c r="AD19" s="19">
        <v>27.774492463371068</v>
      </c>
    </row>
    <row r="20" spans="1:30" ht="15" x14ac:dyDescent="0.2">
      <c r="A20" s="19">
        <v>1</v>
      </c>
      <c r="B20" s="19" t="s">
        <v>9</v>
      </c>
      <c r="C20" s="19" t="s">
        <v>10</v>
      </c>
      <c r="D20" s="19">
        <v>454</v>
      </c>
      <c r="E20" s="28">
        <v>37068.542315149403</v>
      </c>
      <c r="F20" s="29">
        <v>43647</v>
      </c>
      <c r="G20" s="32" t="str">
        <f t="shared" si="2"/>
        <v>July</v>
      </c>
      <c r="H20" s="19" t="s">
        <v>23</v>
      </c>
      <c r="I20" s="38">
        <f t="shared" si="0"/>
        <v>4</v>
      </c>
      <c r="J20" s="34">
        <f t="shared" si="1"/>
        <v>7</v>
      </c>
      <c r="K20" s="33">
        <f t="shared" si="3"/>
        <v>0</v>
      </c>
      <c r="L20" s="33">
        <f t="shared" si="4"/>
        <v>1</v>
      </c>
      <c r="M20" s="33">
        <f t="shared" si="5"/>
        <v>0</v>
      </c>
      <c r="N20" s="33">
        <f t="shared" si="6"/>
        <v>0</v>
      </c>
      <c r="O20" s="33">
        <f t="shared" si="7"/>
        <v>0</v>
      </c>
      <c r="P20" s="33">
        <f t="shared" si="8"/>
        <v>0</v>
      </c>
      <c r="Q20" s="33">
        <f t="shared" si="9"/>
        <v>1</v>
      </c>
      <c r="R20" s="19">
        <v>1</v>
      </c>
      <c r="S20" s="30">
        <v>73.321641154980099</v>
      </c>
      <c r="T20" s="12">
        <f t="shared" si="10"/>
        <v>81.648771619271812</v>
      </c>
      <c r="V20" s="19" t="s">
        <v>18</v>
      </c>
      <c r="W20" s="19">
        <v>0</v>
      </c>
      <c r="X20" s="19">
        <v>0</v>
      </c>
      <c r="Y20" s="19">
        <v>65535</v>
      </c>
      <c r="Z20" s="19" t="e">
        <v>#NUM!</v>
      </c>
      <c r="AA20" s="19">
        <v>0</v>
      </c>
      <c r="AB20" s="19">
        <v>0</v>
      </c>
      <c r="AC20" s="19">
        <v>0</v>
      </c>
      <c r="AD20" s="19">
        <v>0</v>
      </c>
    </row>
    <row r="21" spans="1:30" ht="15" x14ac:dyDescent="0.2">
      <c r="A21" s="19">
        <v>4</v>
      </c>
      <c r="B21" s="19" t="s">
        <v>16</v>
      </c>
      <c r="C21" s="19" t="s">
        <v>17</v>
      </c>
      <c r="D21" s="19">
        <v>499</v>
      </c>
      <c r="E21" s="28">
        <v>91689.544610831203</v>
      </c>
      <c r="F21" s="29">
        <v>43647</v>
      </c>
      <c r="G21" s="32" t="str">
        <f t="shared" si="2"/>
        <v>July</v>
      </c>
      <c r="H21" s="19" t="s">
        <v>23</v>
      </c>
      <c r="I21" s="38">
        <f t="shared" si="0"/>
        <v>4</v>
      </c>
      <c r="J21" s="34">
        <f t="shared" si="1"/>
        <v>7</v>
      </c>
      <c r="K21" s="33">
        <f t="shared" si="3"/>
        <v>0</v>
      </c>
      <c r="L21" s="33">
        <f t="shared" si="4"/>
        <v>0</v>
      </c>
      <c r="M21" s="33">
        <f t="shared" si="5"/>
        <v>1</v>
      </c>
      <c r="N21" s="33">
        <f t="shared" si="6"/>
        <v>0</v>
      </c>
      <c r="O21" s="33">
        <f t="shared" si="7"/>
        <v>0</v>
      </c>
      <c r="P21" s="33">
        <f t="shared" si="8"/>
        <v>0</v>
      </c>
      <c r="Q21" s="33">
        <f t="shared" si="9"/>
        <v>1</v>
      </c>
      <c r="R21" s="19">
        <v>1</v>
      </c>
      <c r="S21" s="30">
        <v>62.758030279556301</v>
      </c>
      <c r="T21" s="12">
        <f t="shared" si="10"/>
        <v>183.74658238643528</v>
      </c>
      <c r="V21" s="19" t="s">
        <v>9</v>
      </c>
      <c r="W21" s="19">
        <v>-683.09440094559488</v>
      </c>
      <c r="X21" s="19">
        <v>52.929440624001998</v>
      </c>
      <c r="Y21" s="19">
        <v>-12.905755150486721</v>
      </c>
      <c r="Z21" s="19" t="e">
        <v>#NUM!</v>
      </c>
      <c r="AA21" s="19">
        <v>-788.21683873280256</v>
      </c>
      <c r="AB21" s="19">
        <v>-577.97196315838721</v>
      </c>
      <c r="AC21" s="19">
        <v>-788.21683873280256</v>
      </c>
      <c r="AD21" s="19">
        <v>-577.97196315838721</v>
      </c>
    </row>
    <row r="22" spans="1:30" ht="15" x14ac:dyDescent="0.2">
      <c r="A22" s="19">
        <v>5</v>
      </c>
      <c r="B22" s="19" t="s">
        <v>18</v>
      </c>
      <c r="C22" s="19" t="s">
        <v>19</v>
      </c>
      <c r="D22" s="19">
        <v>1481</v>
      </c>
      <c r="E22" s="28">
        <v>78516.008071069897</v>
      </c>
      <c r="F22" s="29">
        <v>43647</v>
      </c>
      <c r="G22" s="32" t="str">
        <f t="shared" si="2"/>
        <v>July</v>
      </c>
      <c r="H22" s="19" t="s">
        <v>23</v>
      </c>
      <c r="I22" s="38">
        <f t="shared" si="0"/>
        <v>4</v>
      </c>
      <c r="J22" s="34">
        <f t="shared" si="1"/>
        <v>7</v>
      </c>
      <c r="K22" s="33">
        <f t="shared" si="3"/>
        <v>1</v>
      </c>
      <c r="L22" s="33">
        <f t="shared" si="4"/>
        <v>0</v>
      </c>
      <c r="M22" s="33">
        <f t="shared" si="5"/>
        <v>0</v>
      </c>
      <c r="N22" s="33">
        <f t="shared" si="6"/>
        <v>0</v>
      </c>
      <c r="O22" s="33">
        <f t="shared" si="7"/>
        <v>0</v>
      </c>
      <c r="P22" s="33">
        <f t="shared" si="8"/>
        <v>0</v>
      </c>
      <c r="Q22" s="33">
        <f t="shared" si="9"/>
        <v>1</v>
      </c>
      <c r="R22" s="19">
        <v>1</v>
      </c>
      <c r="S22" s="30">
        <v>107.077830466891</v>
      </c>
      <c r="T22" s="12">
        <f t="shared" si="10"/>
        <v>53.015535497008706</v>
      </c>
      <c r="V22" s="19" t="s">
        <v>16</v>
      </c>
      <c r="W22" s="19">
        <v>-683.9734034098359</v>
      </c>
      <c r="X22" s="19">
        <v>53.333440127348098</v>
      </c>
      <c r="Y22" s="19">
        <v>-12.824475634361168</v>
      </c>
      <c r="Z22" s="19">
        <v>3.4007298238781814E-22</v>
      </c>
      <c r="AA22" s="19">
        <v>-789.89821908269425</v>
      </c>
      <c r="AB22" s="19">
        <v>-578.04858773697754</v>
      </c>
      <c r="AC22" s="19">
        <v>-789.89821908269425</v>
      </c>
      <c r="AD22" s="19">
        <v>-578.04858773697754</v>
      </c>
    </row>
    <row r="23" spans="1:30" ht="15" x14ac:dyDescent="0.2">
      <c r="A23" s="19">
        <v>1</v>
      </c>
      <c r="B23" s="19" t="s">
        <v>9</v>
      </c>
      <c r="C23" s="19" t="s">
        <v>10</v>
      </c>
      <c r="D23" s="19">
        <v>458</v>
      </c>
      <c r="E23" s="28">
        <v>10000</v>
      </c>
      <c r="F23" s="29">
        <v>43678</v>
      </c>
      <c r="G23" s="32" t="str">
        <f t="shared" si="2"/>
        <v>August</v>
      </c>
      <c r="H23" s="19" t="s">
        <v>23</v>
      </c>
      <c r="I23" s="38">
        <f t="shared" si="0"/>
        <v>4</v>
      </c>
      <c r="J23" s="34">
        <f t="shared" si="1"/>
        <v>8</v>
      </c>
      <c r="K23" s="33">
        <f t="shared" si="3"/>
        <v>0</v>
      </c>
      <c r="L23" s="33">
        <f t="shared" si="4"/>
        <v>1</v>
      </c>
      <c r="M23" s="33">
        <f t="shared" si="5"/>
        <v>0</v>
      </c>
      <c r="N23" s="33">
        <f t="shared" si="6"/>
        <v>0</v>
      </c>
      <c r="O23" s="33">
        <f t="shared" si="7"/>
        <v>0</v>
      </c>
      <c r="P23" s="33">
        <f t="shared" si="8"/>
        <v>0</v>
      </c>
      <c r="Q23" s="33">
        <f t="shared" si="9"/>
        <v>1</v>
      </c>
      <c r="R23" s="19">
        <v>1</v>
      </c>
      <c r="S23" s="30">
        <v>68.656702405130503</v>
      </c>
      <c r="T23" s="12">
        <f t="shared" si="10"/>
        <v>21.834061135371179</v>
      </c>
      <c r="V23" s="19" t="s">
        <v>24</v>
      </c>
      <c r="W23" s="19">
        <v>0</v>
      </c>
      <c r="X23" s="19">
        <v>0</v>
      </c>
      <c r="Y23" s="19">
        <v>65535</v>
      </c>
      <c r="Z23" s="19" t="e">
        <v>#NUM!</v>
      </c>
      <c r="AA23" s="19">
        <v>0</v>
      </c>
      <c r="AB23" s="19">
        <v>0</v>
      </c>
      <c r="AC23" s="19">
        <v>0</v>
      </c>
      <c r="AD23" s="19">
        <v>0</v>
      </c>
    </row>
    <row r="24" spans="1:30" ht="15" x14ac:dyDescent="0.2">
      <c r="A24" s="19">
        <v>4</v>
      </c>
      <c r="B24" s="19" t="s">
        <v>16</v>
      </c>
      <c r="C24" s="19" t="s">
        <v>17</v>
      </c>
      <c r="D24" s="19">
        <v>384</v>
      </c>
      <c r="E24" s="28">
        <v>65107.824516515102</v>
      </c>
      <c r="F24" s="29">
        <v>43678</v>
      </c>
      <c r="G24" s="32" t="str">
        <f t="shared" si="2"/>
        <v>August</v>
      </c>
      <c r="H24" s="19" t="s">
        <v>23</v>
      </c>
      <c r="I24" s="38">
        <f t="shared" si="0"/>
        <v>4</v>
      </c>
      <c r="J24" s="34">
        <f t="shared" si="1"/>
        <v>8</v>
      </c>
      <c r="K24" s="33">
        <f t="shared" si="3"/>
        <v>0</v>
      </c>
      <c r="L24" s="33">
        <f t="shared" si="4"/>
        <v>0</v>
      </c>
      <c r="M24" s="33">
        <f t="shared" si="5"/>
        <v>1</v>
      </c>
      <c r="N24" s="33">
        <f t="shared" si="6"/>
        <v>0</v>
      </c>
      <c r="O24" s="33">
        <f t="shared" si="7"/>
        <v>0</v>
      </c>
      <c r="P24" s="33">
        <f t="shared" si="8"/>
        <v>0</v>
      </c>
      <c r="Q24" s="33">
        <f t="shared" si="9"/>
        <v>1</v>
      </c>
      <c r="R24" s="19">
        <v>1</v>
      </c>
      <c r="S24" s="30">
        <v>122.289609662177</v>
      </c>
      <c r="T24" s="12">
        <f t="shared" si="10"/>
        <v>169.55162634509142</v>
      </c>
      <c r="V24" s="19" t="s">
        <v>11</v>
      </c>
      <c r="W24" s="19">
        <v>-48.737410900323745</v>
      </c>
      <c r="X24" s="19">
        <v>83.213052100349287</v>
      </c>
      <c r="Y24" s="19">
        <v>-0.58569430720495308</v>
      </c>
      <c r="Z24" s="19" t="e">
        <v>#NUM!</v>
      </c>
      <c r="AA24" s="19">
        <v>-214.00571506856895</v>
      </c>
      <c r="AB24" s="19">
        <v>116.53089326792144</v>
      </c>
      <c r="AC24" s="19">
        <v>-214.00571506856895</v>
      </c>
      <c r="AD24" s="19">
        <v>116.53089326792144</v>
      </c>
    </row>
    <row r="25" spans="1:30" ht="15" x14ac:dyDescent="0.2">
      <c r="A25" s="19">
        <v>5</v>
      </c>
      <c r="B25" s="19" t="s">
        <v>18</v>
      </c>
      <c r="C25" s="19" t="s">
        <v>19</v>
      </c>
      <c r="D25" s="19">
        <v>1914</v>
      </c>
      <c r="E25" s="28">
        <v>124954.545283157</v>
      </c>
      <c r="F25" s="29">
        <v>43678</v>
      </c>
      <c r="G25" s="32" t="str">
        <f t="shared" si="2"/>
        <v>August</v>
      </c>
      <c r="H25" s="19" t="s">
        <v>23</v>
      </c>
      <c r="I25" s="38">
        <f t="shared" si="0"/>
        <v>4</v>
      </c>
      <c r="J25" s="34">
        <f t="shared" si="1"/>
        <v>8</v>
      </c>
      <c r="K25" s="33">
        <f t="shared" si="3"/>
        <v>1</v>
      </c>
      <c r="L25" s="33">
        <f t="shared" si="4"/>
        <v>0</v>
      </c>
      <c r="M25" s="33">
        <f t="shared" si="5"/>
        <v>0</v>
      </c>
      <c r="N25" s="33">
        <f t="shared" si="6"/>
        <v>0</v>
      </c>
      <c r="O25" s="33">
        <f t="shared" si="7"/>
        <v>0</v>
      </c>
      <c r="P25" s="33">
        <f t="shared" si="8"/>
        <v>0</v>
      </c>
      <c r="Q25" s="33">
        <f t="shared" si="9"/>
        <v>1</v>
      </c>
      <c r="R25" s="19">
        <v>1</v>
      </c>
      <c r="S25" s="30">
        <v>70.507756014945898</v>
      </c>
      <c r="T25" s="12">
        <f t="shared" si="10"/>
        <v>65.284506417532398</v>
      </c>
      <c r="V25" s="19" t="s">
        <v>22</v>
      </c>
      <c r="W25" s="19">
        <v>-113.46247862232023</v>
      </c>
      <c r="X25" s="19">
        <v>83.158087250963561</v>
      </c>
      <c r="Y25" s="19">
        <v>-1.3644190525919719</v>
      </c>
      <c r="Z25" s="19">
        <v>0.17576397159178284</v>
      </c>
      <c r="AA25" s="19">
        <v>-278.62161785528713</v>
      </c>
      <c r="AB25" s="19">
        <v>51.696660610646688</v>
      </c>
      <c r="AC25" s="19">
        <v>-278.62161785528713</v>
      </c>
      <c r="AD25" s="19">
        <v>51.696660610646688</v>
      </c>
    </row>
    <row r="26" spans="1:30" ht="15" x14ac:dyDescent="0.2">
      <c r="A26" s="19">
        <v>1</v>
      </c>
      <c r="B26" s="19" t="s">
        <v>9</v>
      </c>
      <c r="C26" s="19" t="s">
        <v>10</v>
      </c>
      <c r="D26" s="19">
        <v>337</v>
      </c>
      <c r="E26" s="28">
        <v>19514.189336600099</v>
      </c>
      <c r="F26" s="29">
        <v>43709</v>
      </c>
      <c r="G26" s="32" t="str">
        <f t="shared" si="2"/>
        <v>September</v>
      </c>
      <c r="H26" s="19" t="s">
        <v>24</v>
      </c>
      <c r="I26" s="38">
        <f t="shared" si="0"/>
        <v>1</v>
      </c>
      <c r="J26" s="34">
        <f t="shared" si="1"/>
        <v>9</v>
      </c>
      <c r="K26" s="33">
        <f t="shared" si="3"/>
        <v>0</v>
      </c>
      <c r="L26" s="33">
        <f t="shared" si="4"/>
        <v>1</v>
      </c>
      <c r="M26" s="33">
        <f t="shared" si="5"/>
        <v>0</v>
      </c>
      <c r="N26" s="33">
        <f t="shared" si="6"/>
        <v>1</v>
      </c>
      <c r="O26" s="33">
        <f t="shared" si="7"/>
        <v>0</v>
      </c>
      <c r="P26" s="33">
        <f t="shared" si="8"/>
        <v>0</v>
      </c>
      <c r="Q26" s="33">
        <f t="shared" si="9"/>
        <v>0</v>
      </c>
      <c r="R26" s="19">
        <v>0</v>
      </c>
      <c r="S26" s="30">
        <v>100.610395635934</v>
      </c>
      <c r="T26" s="12">
        <f t="shared" si="10"/>
        <v>57.905606340059641</v>
      </c>
      <c r="V26" s="19" t="s">
        <v>23</v>
      </c>
      <c r="W26" s="19">
        <v>26.270671853225458</v>
      </c>
      <c r="X26" s="19">
        <v>69.51017735269366</v>
      </c>
      <c r="Y26" s="19">
        <v>0.37793993417580335</v>
      </c>
      <c r="Z26" s="19">
        <v>0.70634580420017268</v>
      </c>
      <c r="AA26" s="19">
        <v>-111.78254027580573</v>
      </c>
      <c r="AB26" s="19">
        <v>164.32388398225663</v>
      </c>
      <c r="AC26" s="19">
        <v>-111.78254027580573</v>
      </c>
      <c r="AD26" s="19">
        <v>164.32388398225663</v>
      </c>
    </row>
    <row r="27" spans="1:30" ht="15" x14ac:dyDescent="0.2">
      <c r="A27" s="19">
        <v>4</v>
      </c>
      <c r="B27" s="19" t="s">
        <v>16</v>
      </c>
      <c r="C27" s="19" t="s">
        <v>17</v>
      </c>
      <c r="D27" s="19">
        <v>423</v>
      </c>
      <c r="E27" s="28">
        <v>62532.3213506596</v>
      </c>
      <c r="F27" s="29">
        <v>43709</v>
      </c>
      <c r="G27" s="32" t="str">
        <f t="shared" si="2"/>
        <v>September</v>
      </c>
      <c r="H27" s="19" t="s">
        <v>24</v>
      </c>
      <c r="I27" s="38">
        <f t="shared" si="0"/>
        <v>1</v>
      </c>
      <c r="J27" s="34">
        <f t="shared" si="1"/>
        <v>9</v>
      </c>
      <c r="K27" s="33">
        <f t="shared" si="3"/>
        <v>0</v>
      </c>
      <c r="L27" s="33">
        <f t="shared" si="4"/>
        <v>0</v>
      </c>
      <c r="M27" s="33">
        <f t="shared" si="5"/>
        <v>1</v>
      </c>
      <c r="N27" s="33">
        <f t="shared" si="6"/>
        <v>1</v>
      </c>
      <c r="O27" s="33">
        <f t="shared" si="7"/>
        <v>0</v>
      </c>
      <c r="P27" s="33">
        <f t="shared" si="8"/>
        <v>0</v>
      </c>
      <c r="Q27" s="33">
        <f t="shared" si="9"/>
        <v>0</v>
      </c>
      <c r="R27" s="19">
        <v>1</v>
      </c>
      <c r="S27" s="30">
        <v>75.464065476376305</v>
      </c>
      <c r="T27" s="12">
        <f t="shared" si="10"/>
        <v>147.83054692827329</v>
      </c>
      <c r="V27" s="19" t="s">
        <v>6</v>
      </c>
      <c r="W27" s="19">
        <v>54.547764380213174</v>
      </c>
      <c r="X27" s="19">
        <v>45.481930532401314</v>
      </c>
      <c r="Y27" s="19">
        <v>1.1993282550166458</v>
      </c>
      <c r="Z27" s="19">
        <v>0.23348009853544738</v>
      </c>
      <c r="AA27" s="19">
        <v>-35.783275518710894</v>
      </c>
      <c r="AB27" s="19">
        <v>144.87880427913723</v>
      </c>
      <c r="AC27" s="19">
        <v>-35.783275518710894</v>
      </c>
      <c r="AD27" s="19">
        <v>144.87880427913723</v>
      </c>
    </row>
    <row r="28" spans="1:30" ht="15" x14ac:dyDescent="0.2">
      <c r="A28" s="19">
        <v>5</v>
      </c>
      <c r="B28" s="19" t="s">
        <v>18</v>
      </c>
      <c r="C28" s="19" t="s">
        <v>19</v>
      </c>
      <c r="D28" s="19">
        <v>1649</v>
      </c>
      <c r="E28" s="28">
        <v>133189.87314485299</v>
      </c>
      <c r="F28" s="29">
        <v>43709</v>
      </c>
      <c r="G28" s="32" t="str">
        <f t="shared" si="2"/>
        <v>September</v>
      </c>
      <c r="H28" s="19" t="s">
        <v>24</v>
      </c>
      <c r="I28" s="38">
        <f t="shared" si="0"/>
        <v>1</v>
      </c>
      <c r="J28" s="34">
        <f t="shared" si="1"/>
        <v>9</v>
      </c>
      <c r="K28" s="33">
        <f t="shared" si="3"/>
        <v>1</v>
      </c>
      <c r="L28" s="33">
        <f t="shared" si="4"/>
        <v>0</v>
      </c>
      <c r="M28" s="33">
        <f t="shared" si="5"/>
        <v>0</v>
      </c>
      <c r="N28" s="33">
        <f t="shared" si="6"/>
        <v>1</v>
      </c>
      <c r="O28" s="33">
        <f t="shared" si="7"/>
        <v>0</v>
      </c>
      <c r="P28" s="33">
        <f t="shared" si="8"/>
        <v>0</v>
      </c>
      <c r="Q28" s="33">
        <f t="shared" si="9"/>
        <v>0</v>
      </c>
      <c r="R28" s="19">
        <v>0</v>
      </c>
      <c r="S28" s="30">
        <v>129.42894499664601</v>
      </c>
      <c r="T28" s="12">
        <f t="shared" si="10"/>
        <v>80.770086807066704</v>
      </c>
      <c r="V28" s="19" t="s">
        <v>7</v>
      </c>
      <c r="W28" s="19">
        <v>1.2344620079803155</v>
      </c>
      <c r="X28" s="19">
        <v>0.81576003037197931</v>
      </c>
      <c r="Y28" s="19">
        <v>1.5132661101542468</v>
      </c>
      <c r="Z28" s="19">
        <v>0.13363993639049823</v>
      </c>
      <c r="AA28" s="19">
        <v>-0.3857078262571107</v>
      </c>
      <c r="AB28" s="19">
        <v>2.8546318422177417</v>
      </c>
      <c r="AC28" s="19">
        <v>-0.3857078262571107</v>
      </c>
      <c r="AD28" s="19">
        <v>2.8546318422177417</v>
      </c>
    </row>
    <row r="29" spans="1:30" ht="16" thickBot="1" x14ac:dyDescent="0.25">
      <c r="A29" s="19">
        <v>1</v>
      </c>
      <c r="B29" s="19" t="s">
        <v>9</v>
      </c>
      <c r="C29" s="19" t="s">
        <v>10</v>
      </c>
      <c r="D29" s="19">
        <v>517</v>
      </c>
      <c r="E29" s="28">
        <v>46886.455292158404</v>
      </c>
      <c r="F29" s="29">
        <v>43739</v>
      </c>
      <c r="G29" s="32" t="str">
        <f t="shared" si="2"/>
        <v>October</v>
      </c>
      <c r="H29" s="19" t="s">
        <v>24</v>
      </c>
      <c r="I29" s="38">
        <f t="shared" si="0"/>
        <v>1</v>
      </c>
      <c r="J29" s="34">
        <f t="shared" si="1"/>
        <v>10</v>
      </c>
      <c r="K29" s="33">
        <f t="shared" si="3"/>
        <v>0</v>
      </c>
      <c r="L29" s="33">
        <f t="shared" si="4"/>
        <v>1</v>
      </c>
      <c r="M29" s="33">
        <f t="shared" si="5"/>
        <v>0</v>
      </c>
      <c r="N29" s="33">
        <f t="shared" si="6"/>
        <v>1</v>
      </c>
      <c r="O29" s="33">
        <f t="shared" si="7"/>
        <v>0</v>
      </c>
      <c r="P29" s="33">
        <f t="shared" si="8"/>
        <v>0</v>
      </c>
      <c r="Q29" s="33">
        <f t="shared" si="9"/>
        <v>0</v>
      </c>
      <c r="R29" s="19">
        <v>1</v>
      </c>
      <c r="S29" s="30">
        <v>54.8094643964087</v>
      </c>
      <c r="T29" s="12">
        <f t="shared" si="10"/>
        <v>90.689468650209676</v>
      </c>
      <c r="V29" s="21" t="s">
        <v>36</v>
      </c>
      <c r="W29" s="21">
        <v>-1.8050196317514893</v>
      </c>
      <c r="X29" s="21">
        <v>0.31123402045119991</v>
      </c>
      <c r="Y29" s="21">
        <v>-5.7995576098484651</v>
      </c>
      <c r="Z29" s="21">
        <v>9.2972197902813859E-8</v>
      </c>
      <c r="AA29" s="21">
        <v>-2.4231572611393055</v>
      </c>
      <c r="AB29" s="21">
        <v>-1.186882002363673</v>
      </c>
      <c r="AC29" s="21">
        <v>-2.4231572611393055</v>
      </c>
      <c r="AD29" s="21">
        <v>-1.186882002363673</v>
      </c>
    </row>
    <row r="30" spans="1:30" ht="15" x14ac:dyDescent="0.2">
      <c r="A30" s="19">
        <v>4</v>
      </c>
      <c r="B30" s="19" t="s">
        <v>16</v>
      </c>
      <c r="C30" s="19" t="s">
        <v>17</v>
      </c>
      <c r="D30" s="19">
        <v>648</v>
      </c>
      <c r="E30" s="28">
        <v>54869.130213997698</v>
      </c>
      <c r="F30" s="29">
        <v>43739</v>
      </c>
      <c r="G30" s="32" t="str">
        <f t="shared" si="2"/>
        <v>October</v>
      </c>
      <c r="H30" s="19" t="s">
        <v>24</v>
      </c>
      <c r="I30" s="38">
        <f t="shared" si="0"/>
        <v>1</v>
      </c>
      <c r="J30" s="34">
        <f t="shared" si="1"/>
        <v>10</v>
      </c>
      <c r="K30" s="33">
        <f t="shared" si="3"/>
        <v>0</v>
      </c>
      <c r="L30" s="33">
        <f t="shared" si="4"/>
        <v>0</v>
      </c>
      <c r="M30" s="33">
        <f t="shared" si="5"/>
        <v>1</v>
      </c>
      <c r="N30" s="33">
        <f t="shared" si="6"/>
        <v>1</v>
      </c>
      <c r="O30" s="33">
        <f t="shared" si="7"/>
        <v>0</v>
      </c>
      <c r="P30" s="33">
        <f t="shared" si="8"/>
        <v>0</v>
      </c>
      <c r="Q30" s="33">
        <f t="shared" si="9"/>
        <v>0</v>
      </c>
      <c r="R30" s="19">
        <v>0</v>
      </c>
      <c r="S30" s="30">
        <v>137.72005408131</v>
      </c>
      <c r="T30" s="12">
        <f t="shared" si="10"/>
        <v>84.674583663576698</v>
      </c>
    </row>
    <row r="31" spans="1:30" ht="15" x14ac:dyDescent="0.2">
      <c r="A31" s="19">
        <v>5</v>
      </c>
      <c r="B31" s="19" t="s">
        <v>18</v>
      </c>
      <c r="C31" s="19" t="s">
        <v>19</v>
      </c>
      <c r="D31" s="19">
        <v>1394</v>
      </c>
      <c r="E31" s="28">
        <v>123813.328808686</v>
      </c>
      <c r="F31" s="29">
        <v>43739</v>
      </c>
      <c r="G31" s="32" t="str">
        <f t="shared" si="2"/>
        <v>October</v>
      </c>
      <c r="H31" s="19" t="s">
        <v>24</v>
      </c>
      <c r="I31" s="38">
        <f t="shared" si="0"/>
        <v>1</v>
      </c>
      <c r="J31" s="34">
        <f t="shared" si="1"/>
        <v>10</v>
      </c>
      <c r="K31" s="33">
        <f t="shared" si="3"/>
        <v>1</v>
      </c>
      <c r="L31" s="33">
        <f t="shared" si="4"/>
        <v>0</v>
      </c>
      <c r="M31" s="33">
        <f t="shared" si="5"/>
        <v>0</v>
      </c>
      <c r="N31" s="33">
        <f t="shared" si="6"/>
        <v>1</v>
      </c>
      <c r="O31" s="33">
        <f t="shared" si="7"/>
        <v>0</v>
      </c>
      <c r="P31" s="33">
        <f t="shared" si="8"/>
        <v>0</v>
      </c>
      <c r="Q31" s="33">
        <f t="shared" si="9"/>
        <v>0</v>
      </c>
      <c r="R31" s="19">
        <v>0</v>
      </c>
      <c r="S31" s="30">
        <v>80.137787416414199</v>
      </c>
      <c r="T31" s="12">
        <f t="shared" si="10"/>
        <v>88.818743765197993</v>
      </c>
    </row>
    <row r="32" spans="1:30" ht="15" x14ac:dyDescent="0.2">
      <c r="A32" s="19">
        <v>1</v>
      </c>
      <c r="B32" s="19" t="s">
        <v>9</v>
      </c>
      <c r="C32" s="19" t="s">
        <v>10</v>
      </c>
      <c r="D32" s="19">
        <v>835</v>
      </c>
      <c r="E32" s="28">
        <v>63736.635810852902</v>
      </c>
      <c r="F32" s="29">
        <v>43770</v>
      </c>
      <c r="G32" s="32" t="str">
        <f t="shared" si="2"/>
        <v>November</v>
      </c>
      <c r="H32" s="19" t="s">
        <v>24</v>
      </c>
      <c r="I32" s="38">
        <f t="shared" si="0"/>
        <v>1</v>
      </c>
      <c r="J32" s="34">
        <f t="shared" si="1"/>
        <v>11</v>
      </c>
      <c r="K32" s="33">
        <f t="shared" si="3"/>
        <v>0</v>
      </c>
      <c r="L32" s="33">
        <f t="shared" si="4"/>
        <v>1</v>
      </c>
      <c r="M32" s="33">
        <f t="shared" si="5"/>
        <v>0</v>
      </c>
      <c r="N32" s="33">
        <f t="shared" si="6"/>
        <v>1</v>
      </c>
      <c r="O32" s="33">
        <f t="shared" si="7"/>
        <v>0</v>
      </c>
      <c r="P32" s="33">
        <f t="shared" si="8"/>
        <v>0</v>
      </c>
      <c r="Q32" s="33">
        <f t="shared" si="9"/>
        <v>0</v>
      </c>
      <c r="R32" s="19">
        <v>0</v>
      </c>
      <c r="S32" s="30">
        <v>140.64721109645399</v>
      </c>
      <c r="T32" s="12">
        <f t="shared" si="10"/>
        <v>76.331300372278918</v>
      </c>
    </row>
    <row r="33" spans="1:30" ht="15" x14ac:dyDescent="0.2">
      <c r="A33" s="19">
        <v>4</v>
      </c>
      <c r="B33" s="19" t="s">
        <v>16</v>
      </c>
      <c r="C33" s="19" t="s">
        <v>17</v>
      </c>
      <c r="D33" s="19">
        <v>718</v>
      </c>
      <c r="E33" s="28">
        <v>62655.6373221256</v>
      </c>
      <c r="F33" s="29">
        <v>43770</v>
      </c>
      <c r="G33" s="32" t="str">
        <f t="shared" si="2"/>
        <v>November</v>
      </c>
      <c r="H33" s="19" t="s">
        <v>24</v>
      </c>
      <c r="I33" s="38">
        <f t="shared" si="0"/>
        <v>1</v>
      </c>
      <c r="J33" s="34">
        <f t="shared" si="1"/>
        <v>11</v>
      </c>
      <c r="K33" s="33">
        <f t="shared" si="3"/>
        <v>0</v>
      </c>
      <c r="L33" s="33">
        <f t="shared" si="4"/>
        <v>0</v>
      </c>
      <c r="M33" s="33">
        <f t="shared" si="5"/>
        <v>1</v>
      </c>
      <c r="N33" s="33">
        <f t="shared" si="6"/>
        <v>1</v>
      </c>
      <c r="O33" s="33">
        <f t="shared" si="7"/>
        <v>0</v>
      </c>
      <c r="P33" s="33">
        <f t="shared" si="8"/>
        <v>0</v>
      </c>
      <c r="Q33" s="33">
        <f t="shared" si="9"/>
        <v>0</v>
      </c>
      <c r="R33" s="19">
        <v>0</v>
      </c>
      <c r="S33" s="30">
        <v>107.31508492573801</v>
      </c>
      <c r="T33" s="12">
        <f t="shared" si="10"/>
        <v>87.264118833044009</v>
      </c>
      <c r="V33"/>
      <c r="W33"/>
      <c r="X33"/>
      <c r="Y33"/>
      <c r="Z33"/>
      <c r="AA33"/>
      <c r="AB33"/>
      <c r="AC33"/>
      <c r="AD33"/>
    </row>
    <row r="34" spans="1:30" ht="15" x14ac:dyDescent="0.2">
      <c r="A34" s="19">
        <v>5</v>
      </c>
      <c r="B34" s="19" t="s">
        <v>18</v>
      </c>
      <c r="C34" s="19" t="s">
        <v>19</v>
      </c>
      <c r="D34" s="19">
        <v>1681</v>
      </c>
      <c r="E34" s="28">
        <v>129102.33333741099</v>
      </c>
      <c r="F34" s="29">
        <v>43770</v>
      </c>
      <c r="G34" s="32" t="str">
        <f t="shared" si="2"/>
        <v>November</v>
      </c>
      <c r="H34" s="19" t="s">
        <v>24</v>
      </c>
      <c r="I34" s="38">
        <f t="shared" ref="I34:I65" si="11">IF(H34="Spring",1,IF(H34="Summer",2,IF(H34="Autumn",3,4)))</f>
        <v>1</v>
      </c>
      <c r="J34" s="34">
        <f t="shared" ref="J34:J65" si="12">MONTH(F34)</f>
        <v>11</v>
      </c>
      <c r="K34" s="33">
        <f t="shared" si="3"/>
        <v>1</v>
      </c>
      <c r="L34" s="33">
        <f t="shared" si="4"/>
        <v>0</v>
      </c>
      <c r="M34" s="33">
        <f t="shared" si="5"/>
        <v>0</v>
      </c>
      <c r="N34" s="33">
        <f t="shared" si="6"/>
        <v>1</v>
      </c>
      <c r="O34" s="33">
        <f t="shared" si="7"/>
        <v>0</v>
      </c>
      <c r="P34" s="33">
        <f t="shared" si="8"/>
        <v>0</v>
      </c>
      <c r="Q34" s="33">
        <f t="shared" si="9"/>
        <v>0</v>
      </c>
      <c r="R34" s="19">
        <v>1</v>
      </c>
      <c r="S34" s="30">
        <v>70.454459316946298</v>
      </c>
      <c r="T34" s="12">
        <f t="shared" si="10"/>
        <v>76.800912157888746</v>
      </c>
      <c r="V34" s="40"/>
      <c r="W34" s="40"/>
      <c r="X34"/>
      <c r="Y34"/>
      <c r="Z34"/>
      <c r="AA34"/>
      <c r="AB34"/>
      <c r="AC34"/>
      <c r="AD34"/>
    </row>
    <row r="35" spans="1:30" ht="15" x14ac:dyDescent="0.2">
      <c r="A35" s="19">
        <v>1</v>
      </c>
      <c r="B35" s="19" t="s">
        <v>9</v>
      </c>
      <c r="C35" s="19" t="s">
        <v>10</v>
      </c>
      <c r="D35" s="19">
        <v>757</v>
      </c>
      <c r="E35" s="28">
        <v>41107.248835087099</v>
      </c>
      <c r="F35" s="29">
        <v>43800</v>
      </c>
      <c r="G35" s="32" t="str">
        <f t="shared" si="2"/>
        <v>December</v>
      </c>
      <c r="H35" s="19" t="s">
        <v>11</v>
      </c>
      <c r="I35" s="38">
        <f t="shared" si="11"/>
        <v>2</v>
      </c>
      <c r="J35" s="34">
        <f t="shared" si="12"/>
        <v>12</v>
      </c>
      <c r="K35" s="33">
        <f t="shared" si="3"/>
        <v>0</v>
      </c>
      <c r="L35" s="33">
        <f t="shared" si="4"/>
        <v>1</v>
      </c>
      <c r="M35" s="33">
        <f t="shared" si="5"/>
        <v>0</v>
      </c>
      <c r="N35" s="33">
        <f t="shared" si="6"/>
        <v>0</v>
      </c>
      <c r="O35" s="33">
        <f t="shared" si="7"/>
        <v>1</v>
      </c>
      <c r="P35" s="33">
        <f t="shared" si="8"/>
        <v>0</v>
      </c>
      <c r="Q35" s="33">
        <f t="shared" si="9"/>
        <v>0</v>
      </c>
      <c r="R35" s="19">
        <v>0</v>
      </c>
      <c r="S35" s="30">
        <v>98.635748199560695</v>
      </c>
      <c r="T35" s="12">
        <f t="shared" si="10"/>
        <v>54.30283861966592</v>
      </c>
      <c r="V35"/>
      <c r="W35"/>
      <c r="X35"/>
      <c r="Y35"/>
      <c r="Z35"/>
      <c r="AA35"/>
      <c r="AB35"/>
      <c r="AC35"/>
      <c r="AD35"/>
    </row>
    <row r="36" spans="1:30" ht="15" x14ac:dyDescent="0.2">
      <c r="A36" s="19">
        <v>4</v>
      </c>
      <c r="B36" s="19" t="s">
        <v>16</v>
      </c>
      <c r="C36" s="19" t="s">
        <v>17</v>
      </c>
      <c r="D36" s="19">
        <v>264</v>
      </c>
      <c r="E36" s="28">
        <v>36394.768256121803</v>
      </c>
      <c r="F36" s="29">
        <v>43800</v>
      </c>
      <c r="G36" s="32" t="str">
        <f t="shared" si="2"/>
        <v>December</v>
      </c>
      <c r="H36" s="19" t="s">
        <v>11</v>
      </c>
      <c r="I36" s="38">
        <f t="shared" si="11"/>
        <v>2</v>
      </c>
      <c r="J36" s="34">
        <f t="shared" si="12"/>
        <v>12</v>
      </c>
      <c r="K36" s="33">
        <f t="shared" si="3"/>
        <v>0</v>
      </c>
      <c r="L36" s="33">
        <f t="shared" si="4"/>
        <v>0</v>
      </c>
      <c r="M36" s="33">
        <f t="shared" si="5"/>
        <v>1</v>
      </c>
      <c r="N36" s="33">
        <f t="shared" si="6"/>
        <v>0</v>
      </c>
      <c r="O36" s="33">
        <f t="shared" si="7"/>
        <v>1</v>
      </c>
      <c r="P36" s="33">
        <f t="shared" si="8"/>
        <v>0</v>
      </c>
      <c r="Q36" s="33">
        <f t="shared" si="9"/>
        <v>0</v>
      </c>
      <c r="R36" s="19">
        <v>0</v>
      </c>
      <c r="S36" s="30">
        <v>96.200580364413199</v>
      </c>
      <c r="T36" s="12">
        <f t="shared" si="10"/>
        <v>137.85897066712803</v>
      </c>
      <c r="V36"/>
      <c r="W36"/>
      <c r="X36"/>
      <c r="Y36"/>
      <c r="Z36"/>
      <c r="AA36"/>
      <c r="AB36"/>
      <c r="AC36"/>
      <c r="AD36"/>
    </row>
    <row r="37" spans="1:30" ht="15" x14ac:dyDescent="0.2">
      <c r="A37" s="19">
        <v>5</v>
      </c>
      <c r="B37" s="19" t="s">
        <v>18</v>
      </c>
      <c r="C37" s="19" t="s">
        <v>19</v>
      </c>
      <c r="D37" s="19">
        <v>1054</v>
      </c>
      <c r="E37" s="28">
        <v>179307.147501956</v>
      </c>
      <c r="F37" s="29">
        <v>43800</v>
      </c>
      <c r="G37" s="32" t="str">
        <f t="shared" si="2"/>
        <v>December</v>
      </c>
      <c r="H37" s="19" t="s">
        <v>11</v>
      </c>
      <c r="I37" s="38">
        <f t="shared" si="11"/>
        <v>2</v>
      </c>
      <c r="J37" s="34">
        <f t="shared" si="12"/>
        <v>12</v>
      </c>
      <c r="K37" s="33">
        <f t="shared" si="3"/>
        <v>1</v>
      </c>
      <c r="L37" s="33">
        <f t="shared" si="4"/>
        <v>0</v>
      </c>
      <c r="M37" s="33">
        <f t="shared" si="5"/>
        <v>0</v>
      </c>
      <c r="N37" s="33">
        <f t="shared" si="6"/>
        <v>0</v>
      </c>
      <c r="O37" s="33">
        <f t="shared" si="7"/>
        <v>1</v>
      </c>
      <c r="P37" s="33">
        <f t="shared" si="8"/>
        <v>0</v>
      </c>
      <c r="Q37" s="33">
        <f t="shared" si="9"/>
        <v>0</v>
      </c>
      <c r="R37" s="19">
        <v>0</v>
      </c>
      <c r="S37" s="30">
        <v>75.6015531853662</v>
      </c>
      <c r="T37" s="12">
        <f t="shared" si="10"/>
        <v>170.12063330356358</v>
      </c>
      <c r="V37"/>
      <c r="W37"/>
      <c r="X37"/>
      <c r="Y37"/>
      <c r="Z37"/>
      <c r="AA37"/>
      <c r="AB37"/>
      <c r="AC37"/>
      <c r="AD37"/>
    </row>
    <row r="38" spans="1:30" ht="15" x14ac:dyDescent="0.2">
      <c r="A38" s="19">
        <v>1</v>
      </c>
      <c r="B38" s="19" t="s">
        <v>9</v>
      </c>
      <c r="C38" s="19" t="s">
        <v>10</v>
      </c>
      <c r="D38" s="19">
        <v>596</v>
      </c>
      <c r="E38" s="28">
        <v>54477.680485582598</v>
      </c>
      <c r="F38" s="29">
        <v>43831</v>
      </c>
      <c r="G38" s="32" t="str">
        <f t="shared" si="2"/>
        <v>January</v>
      </c>
      <c r="H38" s="19" t="s">
        <v>11</v>
      </c>
      <c r="I38" s="38">
        <f t="shared" si="11"/>
        <v>2</v>
      </c>
      <c r="J38" s="34">
        <f t="shared" si="12"/>
        <v>1</v>
      </c>
      <c r="K38" s="33">
        <f t="shared" si="3"/>
        <v>0</v>
      </c>
      <c r="L38" s="33">
        <f t="shared" si="4"/>
        <v>1</v>
      </c>
      <c r="M38" s="33">
        <f t="shared" si="5"/>
        <v>0</v>
      </c>
      <c r="N38" s="33">
        <f t="shared" si="6"/>
        <v>0</v>
      </c>
      <c r="O38" s="33">
        <f t="shared" si="7"/>
        <v>1</v>
      </c>
      <c r="P38" s="33">
        <f t="shared" si="8"/>
        <v>0</v>
      </c>
      <c r="Q38" s="33">
        <f t="shared" si="9"/>
        <v>0</v>
      </c>
      <c r="R38" s="19">
        <v>1</v>
      </c>
      <c r="S38" s="30">
        <v>115.136721098824</v>
      </c>
      <c r="T38" s="12">
        <f t="shared" si="10"/>
        <v>91.405504170440594</v>
      </c>
      <c r="V38"/>
      <c r="W38"/>
      <c r="X38"/>
      <c r="Y38"/>
      <c r="Z38"/>
      <c r="AA38"/>
      <c r="AB38"/>
      <c r="AC38"/>
      <c r="AD38"/>
    </row>
    <row r="39" spans="1:30" ht="15" x14ac:dyDescent="0.2">
      <c r="A39" s="19">
        <v>4</v>
      </c>
      <c r="B39" s="19" t="s">
        <v>16</v>
      </c>
      <c r="C39" s="19" t="s">
        <v>17</v>
      </c>
      <c r="D39" s="19">
        <v>434</v>
      </c>
      <c r="E39" s="28">
        <v>40594.371065411098</v>
      </c>
      <c r="F39" s="29">
        <v>43831</v>
      </c>
      <c r="G39" s="32" t="str">
        <f t="shared" si="2"/>
        <v>January</v>
      </c>
      <c r="H39" s="19" t="s">
        <v>11</v>
      </c>
      <c r="I39" s="38">
        <f t="shared" si="11"/>
        <v>2</v>
      </c>
      <c r="J39" s="34">
        <f t="shared" si="12"/>
        <v>1</v>
      </c>
      <c r="K39" s="33">
        <f t="shared" si="3"/>
        <v>0</v>
      </c>
      <c r="L39" s="33">
        <f t="shared" si="4"/>
        <v>0</v>
      </c>
      <c r="M39" s="33">
        <f t="shared" si="5"/>
        <v>1</v>
      </c>
      <c r="N39" s="33">
        <f t="shared" si="6"/>
        <v>0</v>
      </c>
      <c r="O39" s="33">
        <f t="shared" si="7"/>
        <v>1</v>
      </c>
      <c r="P39" s="33">
        <f t="shared" si="8"/>
        <v>0</v>
      </c>
      <c r="Q39" s="33">
        <f t="shared" si="9"/>
        <v>0</v>
      </c>
      <c r="R39" s="19">
        <v>1</v>
      </c>
      <c r="S39" s="30">
        <v>133.88980864459299</v>
      </c>
      <c r="T39" s="12">
        <f t="shared" si="10"/>
        <v>93.535417201408066</v>
      </c>
      <c r="V39"/>
      <c r="W39"/>
      <c r="X39"/>
      <c r="Y39"/>
      <c r="Z39"/>
      <c r="AA39"/>
      <c r="AB39"/>
      <c r="AC39"/>
      <c r="AD39"/>
    </row>
    <row r="40" spans="1:30" ht="15" x14ac:dyDescent="0.2">
      <c r="A40" s="19">
        <v>5</v>
      </c>
      <c r="B40" s="19" t="s">
        <v>18</v>
      </c>
      <c r="C40" s="19" t="s">
        <v>19</v>
      </c>
      <c r="D40" s="19">
        <v>1016</v>
      </c>
      <c r="E40" s="28">
        <v>132825.74555412799</v>
      </c>
      <c r="F40" s="29">
        <v>43831</v>
      </c>
      <c r="G40" s="32" t="str">
        <f t="shared" si="2"/>
        <v>January</v>
      </c>
      <c r="H40" s="19" t="s">
        <v>11</v>
      </c>
      <c r="I40" s="38">
        <f t="shared" si="11"/>
        <v>2</v>
      </c>
      <c r="J40" s="34">
        <f t="shared" si="12"/>
        <v>1</v>
      </c>
      <c r="K40" s="33">
        <f t="shared" si="3"/>
        <v>1</v>
      </c>
      <c r="L40" s="33">
        <f t="shared" si="4"/>
        <v>0</v>
      </c>
      <c r="M40" s="33">
        <f t="shared" si="5"/>
        <v>0</v>
      </c>
      <c r="N40" s="33">
        <f t="shared" si="6"/>
        <v>0</v>
      </c>
      <c r="O40" s="33">
        <f t="shared" si="7"/>
        <v>1</v>
      </c>
      <c r="P40" s="33">
        <f t="shared" si="8"/>
        <v>0</v>
      </c>
      <c r="Q40" s="33">
        <f t="shared" si="9"/>
        <v>0</v>
      </c>
      <c r="R40" s="19">
        <v>1</v>
      </c>
      <c r="S40" s="30">
        <v>110.789439379425</v>
      </c>
      <c r="T40" s="12">
        <f t="shared" si="10"/>
        <v>130.73400152965354</v>
      </c>
      <c r="V40"/>
      <c r="W40"/>
      <c r="X40"/>
      <c r="Y40"/>
      <c r="Z40"/>
      <c r="AA40"/>
      <c r="AB40"/>
      <c r="AC40"/>
      <c r="AD40"/>
    </row>
    <row r="41" spans="1:30" ht="15" x14ac:dyDescent="0.2">
      <c r="A41" s="19">
        <v>1</v>
      </c>
      <c r="B41" s="19" t="s">
        <v>9</v>
      </c>
      <c r="C41" s="19" t="s">
        <v>10</v>
      </c>
      <c r="D41" s="19">
        <v>670</v>
      </c>
      <c r="E41" s="28">
        <v>60365</v>
      </c>
      <c r="F41" s="29">
        <v>43862</v>
      </c>
      <c r="G41" s="32" t="str">
        <f t="shared" si="2"/>
        <v>February</v>
      </c>
      <c r="H41" s="19" t="s">
        <v>11</v>
      </c>
      <c r="I41" s="38">
        <f t="shared" si="11"/>
        <v>2</v>
      </c>
      <c r="J41" s="34">
        <f t="shared" si="12"/>
        <v>2</v>
      </c>
      <c r="K41" s="33">
        <f t="shared" si="3"/>
        <v>0</v>
      </c>
      <c r="L41" s="33">
        <f t="shared" si="4"/>
        <v>1</v>
      </c>
      <c r="M41" s="33">
        <f t="shared" si="5"/>
        <v>0</v>
      </c>
      <c r="N41" s="33">
        <f t="shared" si="6"/>
        <v>0</v>
      </c>
      <c r="O41" s="33">
        <f t="shared" si="7"/>
        <v>1</v>
      </c>
      <c r="P41" s="33">
        <f t="shared" si="8"/>
        <v>0</v>
      </c>
      <c r="Q41" s="33">
        <f t="shared" si="9"/>
        <v>0</v>
      </c>
      <c r="R41" s="19">
        <v>0</v>
      </c>
      <c r="S41" s="30">
        <v>142.29602317984799</v>
      </c>
      <c r="T41" s="12">
        <f t="shared" si="10"/>
        <v>90.097014925373131</v>
      </c>
      <c r="V41"/>
      <c r="W41"/>
      <c r="X41"/>
      <c r="Y41"/>
      <c r="Z41"/>
      <c r="AA41"/>
      <c r="AB41"/>
      <c r="AC41"/>
      <c r="AD41"/>
    </row>
    <row r="42" spans="1:30" ht="15" x14ac:dyDescent="0.2">
      <c r="A42" s="19">
        <v>4</v>
      </c>
      <c r="B42" s="19" t="s">
        <v>16</v>
      </c>
      <c r="C42" s="19" t="s">
        <v>17</v>
      </c>
      <c r="D42" s="19">
        <v>261</v>
      </c>
      <c r="E42" s="28">
        <v>55543.631587174903</v>
      </c>
      <c r="F42" s="29">
        <v>43862</v>
      </c>
      <c r="G42" s="32" t="str">
        <f t="shared" si="2"/>
        <v>February</v>
      </c>
      <c r="H42" s="19" t="s">
        <v>11</v>
      </c>
      <c r="I42" s="38">
        <f t="shared" si="11"/>
        <v>2</v>
      </c>
      <c r="J42" s="34">
        <f t="shared" si="12"/>
        <v>2</v>
      </c>
      <c r="K42" s="33">
        <f t="shared" si="3"/>
        <v>0</v>
      </c>
      <c r="L42" s="33">
        <f t="shared" si="4"/>
        <v>0</v>
      </c>
      <c r="M42" s="33">
        <f t="shared" si="5"/>
        <v>1</v>
      </c>
      <c r="N42" s="33">
        <f t="shared" si="6"/>
        <v>0</v>
      </c>
      <c r="O42" s="33">
        <f t="shared" si="7"/>
        <v>1</v>
      </c>
      <c r="P42" s="33">
        <f t="shared" si="8"/>
        <v>0</v>
      </c>
      <c r="Q42" s="33">
        <f t="shared" si="9"/>
        <v>0</v>
      </c>
      <c r="R42" s="19">
        <v>0</v>
      </c>
      <c r="S42" s="30">
        <v>141.48459010681</v>
      </c>
      <c r="T42" s="12">
        <f t="shared" si="10"/>
        <v>212.81084899300728</v>
      </c>
      <c r="V42" s="41"/>
      <c r="W42" s="41"/>
      <c r="X42" s="41"/>
      <c r="Y42" s="41"/>
      <c r="Z42" s="41"/>
      <c r="AA42" s="41"/>
      <c r="AB42"/>
      <c r="AC42"/>
      <c r="AD42"/>
    </row>
    <row r="43" spans="1:30" ht="15" x14ac:dyDescent="0.2">
      <c r="A43" s="19">
        <v>5</v>
      </c>
      <c r="B43" s="19" t="s">
        <v>18</v>
      </c>
      <c r="C43" s="19" t="s">
        <v>19</v>
      </c>
      <c r="D43" s="19">
        <v>1324</v>
      </c>
      <c r="E43" s="28">
        <v>44652.842791117102</v>
      </c>
      <c r="F43" s="29">
        <v>43862</v>
      </c>
      <c r="G43" s="32" t="str">
        <f t="shared" si="2"/>
        <v>February</v>
      </c>
      <c r="H43" s="19" t="s">
        <v>11</v>
      </c>
      <c r="I43" s="38">
        <f t="shared" si="11"/>
        <v>2</v>
      </c>
      <c r="J43" s="34">
        <f t="shared" si="12"/>
        <v>2</v>
      </c>
      <c r="K43" s="33">
        <f t="shared" si="3"/>
        <v>1</v>
      </c>
      <c r="L43" s="33">
        <f t="shared" si="4"/>
        <v>0</v>
      </c>
      <c r="M43" s="33">
        <f t="shared" si="5"/>
        <v>0</v>
      </c>
      <c r="N43" s="33">
        <f t="shared" si="6"/>
        <v>0</v>
      </c>
      <c r="O43" s="33">
        <f t="shared" si="7"/>
        <v>1</v>
      </c>
      <c r="P43" s="33">
        <f t="shared" si="8"/>
        <v>0</v>
      </c>
      <c r="Q43" s="33">
        <f t="shared" si="9"/>
        <v>0</v>
      </c>
      <c r="R43" s="19">
        <v>1</v>
      </c>
      <c r="S43" s="30">
        <v>72.009721408109698</v>
      </c>
      <c r="T43" s="12">
        <f t="shared" si="10"/>
        <v>33.72571207788301</v>
      </c>
      <c r="V43"/>
      <c r="W43"/>
      <c r="X43"/>
      <c r="Y43"/>
      <c r="Z43"/>
      <c r="AA43"/>
      <c r="AB43"/>
      <c r="AC43"/>
      <c r="AD43"/>
    </row>
    <row r="44" spans="1:30" ht="15" x14ac:dyDescent="0.2">
      <c r="A44" s="19">
        <v>1</v>
      </c>
      <c r="B44" s="19" t="s">
        <v>9</v>
      </c>
      <c r="C44" s="19" t="s">
        <v>10</v>
      </c>
      <c r="D44" s="19">
        <v>446</v>
      </c>
      <c r="E44" s="28">
        <v>27869.481825166498</v>
      </c>
      <c r="F44" s="29">
        <v>43891</v>
      </c>
      <c r="G44" s="32" t="str">
        <f t="shared" si="2"/>
        <v>March</v>
      </c>
      <c r="H44" s="19" t="s">
        <v>22</v>
      </c>
      <c r="I44" s="38">
        <f t="shared" si="11"/>
        <v>3</v>
      </c>
      <c r="J44" s="34">
        <f t="shared" si="12"/>
        <v>3</v>
      </c>
      <c r="K44" s="33">
        <f t="shared" si="3"/>
        <v>0</v>
      </c>
      <c r="L44" s="33">
        <f t="shared" si="4"/>
        <v>1</v>
      </c>
      <c r="M44" s="33">
        <f t="shared" si="5"/>
        <v>0</v>
      </c>
      <c r="N44" s="33">
        <f t="shared" si="6"/>
        <v>0</v>
      </c>
      <c r="O44" s="33">
        <f t="shared" si="7"/>
        <v>0</v>
      </c>
      <c r="P44" s="33">
        <f t="shared" si="8"/>
        <v>1</v>
      </c>
      <c r="Q44" s="33">
        <f t="shared" si="9"/>
        <v>0</v>
      </c>
      <c r="R44" s="19">
        <v>1</v>
      </c>
      <c r="S44" s="30">
        <v>103.50697189336501</v>
      </c>
      <c r="T44" s="12">
        <f t="shared" si="10"/>
        <v>62.487627410687217</v>
      </c>
      <c r="V44"/>
      <c r="W44"/>
      <c r="X44"/>
      <c r="Y44"/>
      <c r="Z44"/>
      <c r="AA44"/>
      <c r="AB44"/>
      <c r="AC44"/>
      <c r="AD44"/>
    </row>
    <row r="45" spans="1:30" ht="15" x14ac:dyDescent="0.2">
      <c r="A45" s="19">
        <v>4</v>
      </c>
      <c r="B45" s="19" t="s">
        <v>16</v>
      </c>
      <c r="C45" s="19" t="s">
        <v>17</v>
      </c>
      <c r="D45" s="19">
        <v>951</v>
      </c>
      <c r="E45" s="28">
        <v>38528.296833198103</v>
      </c>
      <c r="F45" s="29">
        <v>43891</v>
      </c>
      <c r="G45" s="32" t="str">
        <f t="shared" si="2"/>
        <v>March</v>
      </c>
      <c r="H45" s="19" t="s">
        <v>22</v>
      </c>
      <c r="I45" s="38">
        <f t="shared" si="11"/>
        <v>3</v>
      </c>
      <c r="J45" s="34">
        <f t="shared" si="12"/>
        <v>3</v>
      </c>
      <c r="K45" s="33">
        <f t="shared" si="3"/>
        <v>0</v>
      </c>
      <c r="L45" s="33">
        <f t="shared" si="4"/>
        <v>0</v>
      </c>
      <c r="M45" s="33">
        <f t="shared" si="5"/>
        <v>1</v>
      </c>
      <c r="N45" s="33">
        <f t="shared" si="6"/>
        <v>0</v>
      </c>
      <c r="O45" s="33">
        <f t="shared" si="7"/>
        <v>0</v>
      </c>
      <c r="P45" s="33">
        <f t="shared" si="8"/>
        <v>1</v>
      </c>
      <c r="Q45" s="33">
        <f t="shared" si="9"/>
        <v>0</v>
      </c>
      <c r="R45" s="19">
        <v>0</v>
      </c>
      <c r="S45" s="30">
        <v>97.206694510999895</v>
      </c>
      <c r="T45" s="12">
        <f t="shared" si="10"/>
        <v>40.513456186328185</v>
      </c>
      <c r="V45"/>
      <c r="W45"/>
      <c r="X45"/>
      <c r="Y45"/>
      <c r="Z45"/>
      <c r="AA45"/>
      <c r="AB45"/>
      <c r="AC45"/>
      <c r="AD45"/>
    </row>
    <row r="46" spans="1:30" ht="15" x14ac:dyDescent="0.2">
      <c r="A46" s="19">
        <v>5</v>
      </c>
      <c r="B46" s="19" t="s">
        <v>18</v>
      </c>
      <c r="C46" s="19" t="s">
        <v>19</v>
      </c>
      <c r="D46" s="19">
        <v>786</v>
      </c>
      <c r="E46" s="28">
        <v>103192.90683075599</v>
      </c>
      <c r="F46" s="29">
        <v>43891</v>
      </c>
      <c r="G46" s="32" t="str">
        <f t="shared" si="2"/>
        <v>March</v>
      </c>
      <c r="H46" s="19" t="s">
        <v>22</v>
      </c>
      <c r="I46" s="38">
        <f t="shared" si="11"/>
        <v>3</v>
      </c>
      <c r="J46" s="34">
        <f t="shared" si="12"/>
        <v>3</v>
      </c>
      <c r="K46" s="33">
        <f t="shared" si="3"/>
        <v>1</v>
      </c>
      <c r="L46" s="33">
        <f t="shared" si="4"/>
        <v>0</v>
      </c>
      <c r="M46" s="33">
        <f t="shared" si="5"/>
        <v>0</v>
      </c>
      <c r="N46" s="33">
        <f t="shared" si="6"/>
        <v>0</v>
      </c>
      <c r="O46" s="33">
        <f t="shared" si="7"/>
        <v>0</v>
      </c>
      <c r="P46" s="33">
        <f t="shared" si="8"/>
        <v>1</v>
      </c>
      <c r="Q46" s="33">
        <f t="shared" si="9"/>
        <v>0</v>
      </c>
      <c r="R46" s="19">
        <v>1</v>
      </c>
      <c r="S46" s="30">
        <v>121.405919978982</v>
      </c>
      <c r="T46" s="12">
        <f t="shared" si="10"/>
        <v>131.28868553531296</v>
      </c>
      <c r="V46"/>
      <c r="W46"/>
      <c r="X46"/>
      <c r="Y46"/>
      <c r="Z46"/>
      <c r="AA46"/>
      <c r="AB46"/>
      <c r="AC46"/>
      <c r="AD46"/>
    </row>
    <row r="47" spans="1:30" ht="15" x14ac:dyDescent="0.2">
      <c r="A47" s="19">
        <v>1</v>
      </c>
      <c r="B47" s="19" t="s">
        <v>9</v>
      </c>
      <c r="C47" s="19" t="s">
        <v>10</v>
      </c>
      <c r="D47" s="19">
        <v>264</v>
      </c>
      <c r="E47" s="28">
        <v>54074.035962776899</v>
      </c>
      <c r="F47" s="29">
        <v>43922</v>
      </c>
      <c r="G47" s="32" t="str">
        <f t="shared" si="2"/>
        <v>April</v>
      </c>
      <c r="H47" s="19" t="s">
        <v>22</v>
      </c>
      <c r="I47" s="38">
        <f t="shared" si="11"/>
        <v>3</v>
      </c>
      <c r="J47" s="34">
        <f t="shared" si="12"/>
        <v>4</v>
      </c>
      <c r="K47" s="33">
        <f t="shared" si="3"/>
        <v>0</v>
      </c>
      <c r="L47" s="33">
        <f t="shared" si="4"/>
        <v>1</v>
      </c>
      <c r="M47" s="33">
        <f t="shared" si="5"/>
        <v>0</v>
      </c>
      <c r="N47" s="33">
        <f t="shared" si="6"/>
        <v>0</v>
      </c>
      <c r="O47" s="33">
        <f t="shared" si="7"/>
        <v>0</v>
      </c>
      <c r="P47" s="33">
        <f t="shared" si="8"/>
        <v>1</v>
      </c>
      <c r="Q47" s="33">
        <f t="shared" si="9"/>
        <v>0</v>
      </c>
      <c r="R47" s="19">
        <v>0</v>
      </c>
      <c r="S47" s="30">
        <v>83.436281131048204</v>
      </c>
      <c r="T47" s="12">
        <f t="shared" si="10"/>
        <v>204.82589379839735</v>
      </c>
      <c r="V47"/>
      <c r="W47"/>
      <c r="X47"/>
      <c r="Y47"/>
      <c r="Z47"/>
      <c r="AA47"/>
      <c r="AB47"/>
      <c r="AC47"/>
      <c r="AD47"/>
    </row>
    <row r="48" spans="1:30" ht="15" x14ac:dyDescent="0.2">
      <c r="A48" s="19">
        <v>4</v>
      </c>
      <c r="B48" s="19" t="s">
        <v>16</v>
      </c>
      <c r="C48" s="19" t="s">
        <v>17</v>
      </c>
      <c r="D48" s="19">
        <v>744</v>
      </c>
      <c r="E48" s="28">
        <v>10000</v>
      </c>
      <c r="F48" s="29">
        <v>43922</v>
      </c>
      <c r="G48" s="32" t="str">
        <f t="shared" si="2"/>
        <v>April</v>
      </c>
      <c r="H48" s="19" t="s">
        <v>22</v>
      </c>
      <c r="I48" s="38">
        <f t="shared" si="11"/>
        <v>3</v>
      </c>
      <c r="J48" s="34">
        <f t="shared" si="12"/>
        <v>4</v>
      </c>
      <c r="K48" s="33">
        <f t="shared" si="3"/>
        <v>0</v>
      </c>
      <c r="L48" s="33">
        <f t="shared" si="4"/>
        <v>0</v>
      </c>
      <c r="M48" s="33">
        <f t="shared" si="5"/>
        <v>1</v>
      </c>
      <c r="N48" s="33">
        <f t="shared" si="6"/>
        <v>0</v>
      </c>
      <c r="O48" s="33">
        <f t="shared" si="7"/>
        <v>0</v>
      </c>
      <c r="P48" s="33">
        <f t="shared" si="8"/>
        <v>1</v>
      </c>
      <c r="Q48" s="33">
        <f t="shared" si="9"/>
        <v>0</v>
      </c>
      <c r="R48" s="19">
        <v>0</v>
      </c>
      <c r="S48" s="30">
        <v>73.107479658807094</v>
      </c>
      <c r="T48" s="12">
        <f t="shared" si="10"/>
        <v>13.440860215053764</v>
      </c>
      <c r="V48"/>
      <c r="W48"/>
      <c r="X48"/>
      <c r="Y48"/>
      <c r="Z48"/>
      <c r="AA48"/>
      <c r="AB48"/>
      <c r="AC48"/>
      <c r="AD48"/>
    </row>
    <row r="49" spans="1:30" ht="15" x14ac:dyDescent="0.2">
      <c r="A49" s="19">
        <v>5</v>
      </c>
      <c r="B49" s="19" t="s">
        <v>18</v>
      </c>
      <c r="C49" s="19" t="s">
        <v>19</v>
      </c>
      <c r="D49" s="19">
        <v>1029</v>
      </c>
      <c r="E49" s="28">
        <v>96089.645620383701</v>
      </c>
      <c r="F49" s="29">
        <v>43922</v>
      </c>
      <c r="G49" s="32" t="str">
        <f t="shared" si="2"/>
        <v>April</v>
      </c>
      <c r="H49" s="19" t="s">
        <v>22</v>
      </c>
      <c r="I49" s="38">
        <f t="shared" si="11"/>
        <v>3</v>
      </c>
      <c r="J49" s="34">
        <f t="shared" si="12"/>
        <v>4</v>
      </c>
      <c r="K49" s="33">
        <f t="shared" si="3"/>
        <v>1</v>
      </c>
      <c r="L49" s="33">
        <f t="shared" si="4"/>
        <v>0</v>
      </c>
      <c r="M49" s="33">
        <f t="shared" si="5"/>
        <v>0</v>
      </c>
      <c r="N49" s="33">
        <f t="shared" si="6"/>
        <v>0</v>
      </c>
      <c r="O49" s="33">
        <f t="shared" si="7"/>
        <v>0</v>
      </c>
      <c r="P49" s="33">
        <f t="shared" si="8"/>
        <v>1</v>
      </c>
      <c r="Q49" s="33">
        <f t="shared" si="9"/>
        <v>0</v>
      </c>
      <c r="R49" s="19">
        <v>0</v>
      </c>
      <c r="S49" s="30">
        <v>138.74604825135</v>
      </c>
      <c r="T49" s="12">
        <f t="shared" si="10"/>
        <v>93.381579806009427</v>
      </c>
      <c r="V49"/>
      <c r="W49"/>
      <c r="X49"/>
      <c r="Y49"/>
      <c r="Z49"/>
      <c r="AA49"/>
      <c r="AB49"/>
      <c r="AC49"/>
      <c r="AD49"/>
    </row>
    <row r="50" spans="1:30" ht="15" x14ac:dyDescent="0.2">
      <c r="A50" s="19">
        <v>1</v>
      </c>
      <c r="B50" s="19" t="s">
        <v>9</v>
      </c>
      <c r="C50" s="19" t="s">
        <v>10</v>
      </c>
      <c r="D50" s="19">
        <v>642</v>
      </c>
      <c r="E50" s="28">
        <v>58885.266229720699</v>
      </c>
      <c r="F50" s="29">
        <v>43952</v>
      </c>
      <c r="G50" s="32" t="str">
        <f t="shared" si="2"/>
        <v>May</v>
      </c>
      <c r="H50" s="19" t="s">
        <v>22</v>
      </c>
      <c r="I50" s="38">
        <f t="shared" si="11"/>
        <v>3</v>
      </c>
      <c r="J50" s="34">
        <f t="shared" si="12"/>
        <v>5</v>
      </c>
      <c r="K50" s="33">
        <f t="shared" si="3"/>
        <v>0</v>
      </c>
      <c r="L50" s="33">
        <f t="shared" si="4"/>
        <v>1</v>
      </c>
      <c r="M50" s="33">
        <f t="shared" si="5"/>
        <v>0</v>
      </c>
      <c r="N50" s="33">
        <f t="shared" si="6"/>
        <v>0</v>
      </c>
      <c r="O50" s="33">
        <f t="shared" si="7"/>
        <v>0</v>
      </c>
      <c r="P50" s="33">
        <f t="shared" si="8"/>
        <v>1</v>
      </c>
      <c r="Q50" s="33">
        <f t="shared" si="9"/>
        <v>0</v>
      </c>
      <c r="R50" s="19">
        <v>0</v>
      </c>
      <c r="S50" s="30">
        <v>146.26493185548699</v>
      </c>
      <c r="T50" s="12">
        <f t="shared" si="10"/>
        <v>91.721598488661527</v>
      </c>
      <c r="V50"/>
      <c r="W50"/>
      <c r="X50"/>
      <c r="Y50"/>
      <c r="Z50"/>
      <c r="AA50"/>
      <c r="AB50"/>
      <c r="AC50"/>
      <c r="AD50"/>
    </row>
    <row r="51" spans="1:30" ht="15" x14ac:dyDescent="0.2">
      <c r="A51" s="19">
        <v>4</v>
      </c>
      <c r="B51" s="19" t="s">
        <v>16</v>
      </c>
      <c r="C51" s="19" t="s">
        <v>17</v>
      </c>
      <c r="D51" s="19">
        <v>200</v>
      </c>
      <c r="E51" s="28">
        <v>72783.1514572335</v>
      </c>
      <c r="F51" s="29">
        <v>43952</v>
      </c>
      <c r="G51" s="32" t="str">
        <f t="shared" si="2"/>
        <v>May</v>
      </c>
      <c r="H51" s="19" t="s">
        <v>22</v>
      </c>
      <c r="I51" s="38">
        <f t="shared" si="11"/>
        <v>3</v>
      </c>
      <c r="J51" s="34">
        <f t="shared" si="12"/>
        <v>5</v>
      </c>
      <c r="K51" s="33">
        <f t="shared" si="3"/>
        <v>0</v>
      </c>
      <c r="L51" s="33">
        <f t="shared" si="4"/>
        <v>0</v>
      </c>
      <c r="M51" s="33">
        <f t="shared" si="5"/>
        <v>1</v>
      </c>
      <c r="N51" s="33">
        <f t="shared" si="6"/>
        <v>0</v>
      </c>
      <c r="O51" s="33">
        <f t="shared" si="7"/>
        <v>0</v>
      </c>
      <c r="P51" s="33">
        <f t="shared" si="8"/>
        <v>1</v>
      </c>
      <c r="Q51" s="33">
        <f t="shared" si="9"/>
        <v>0</v>
      </c>
      <c r="R51" s="19">
        <v>0</v>
      </c>
      <c r="S51" s="30">
        <v>87.969240816726597</v>
      </c>
      <c r="T51" s="12">
        <f t="shared" si="10"/>
        <v>363.91575728616749</v>
      </c>
      <c r="V51"/>
      <c r="W51"/>
      <c r="X51"/>
      <c r="Y51"/>
      <c r="Z51"/>
      <c r="AA51"/>
      <c r="AB51"/>
      <c r="AC51"/>
      <c r="AD51"/>
    </row>
    <row r="52" spans="1:30" ht="15" x14ac:dyDescent="0.2">
      <c r="A52" s="19">
        <v>5</v>
      </c>
      <c r="B52" s="19" t="s">
        <v>18</v>
      </c>
      <c r="C52" s="19" t="s">
        <v>19</v>
      </c>
      <c r="D52" s="19">
        <v>533</v>
      </c>
      <c r="E52" s="28">
        <v>118180.298540369</v>
      </c>
      <c r="F52" s="29">
        <v>43952</v>
      </c>
      <c r="G52" s="32" t="str">
        <f t="shared" si="2"/>
        <v>May</v>
      </c>
      <c r="H52" s="19" t="s">
        <v>22</v>
      </c>
      <c r="I52" s="38">
        <f t="shared" si="11"/>
        <v>3</v>
      </c>
      <c r="J52" s="34">
        <f t="shared" si="12"/>
        <v>5</v>
      </c>
      <c r="K52" s="33">
        <f t="shared" si="3"/>
        <v>1</v>
      </c>
      <c r="L52" s="33">
        <f t="shared" si="4"/>
        <v>0</v>
      </c>
      <c r="M52" s="33">
        <f t="shared" si="5"/>
        <v>0</v>
      </c>
      <c r="N52" s="33">
        <f t="shared" si="6"/>
        <v>0</v>
      </c>
      <c r="O52" s="33">
        <f t="shared" si="7"/>
        <v>0</v>
      </c>
      <c r="P52" s="33">
        <f t="shared" si="8"/>
        <v>1</v>
      </c>
      <c r="Q52" s="33">
        <f t="shared" si="9"/>
        <v>0</v>
      </c>
      <c r="R52" s="19">
        <v>0</v>
      </c>
      <c r="S52" s="30">
        <v>84.519214488127503</v>
      </c>
      <c r="T52" s="12">
        <f t="shared" si="10"/>
        <v>221.72663891251219</v>
      </c>
      <c r="V52"/>
      <c r="W52"/>
      <c r="X52"/>
      <c r="Y52"/>
      <c r="Z52"/>
      <c r="AA52"/>
      <c r="AB52"/>
      <c r="AC52"/>
      <c r="AD52"/>
    </row>
    <row r="53" spans="1:30" ht="15" x14ac:dyDescent="0.2">
      <c r="A53" s="19">
        <v>1</v>
      </c>
      <c r="B53" s="19" t="s">
        <v>9</v>
      </c>
      <c r="C53" s="19" t="s">
        <v>10</v>
      </c>
      <c r="D53" s="19">
        <v>694</v>
      </c>
      <c r="E53" s="28">
        <v>49380.834987268499</v>
      </c>
      <c r="F53" s="29">
        <v>43983</v>
      </c>
      <c r="G53" s="32" t="str">
        <f t="shared" si="2"/>
        <v>June</v>
      </c>
      <c r="H53" s="19" t="s">
        <v>23</v>
      </c>
      <c r="I53" s="38">
        <f t="shared" si="11"/>
        <v>4</v>
      </c>
      <c r="J53" s="34">
        <f t="shared" si="12"/>
        <v>6</v>
      </c>
      <c r="K53" s="33">
        <f t="shared" si="3"/>
        <v>0</v>
      </c>
      <c r="L53" s="33">
        <f t="shared" si="4"/>
        <v>1</v>
      </c>
      <c r="M53" s="33">
        <f t="shared" si="5"/>
        <v>0</v>
      </c>
      <c r="N53" s="33">
        <f t="shared" si="6"/>
        <v>0</v>
      </c>
      <c r="O53" s="33">
        <f t="shared" si="7"/>
        <v>0</v>
      </c>
      <c r="P53" s="33">
        <f t="shared" si="8"/>
        <v>0</v>
      </c>
      <c r="Q53" s="33">
        <f t="shared" si="9"/>
        <v>1</v>
      </c>
      <c r="R53" s="19">
        <v>1</v>
      </c>
      <c r="S53" s="30">
        <v>68.210713882158302</v>
      </c>
      <c r="T53" s="12">
        <f t="shared" si="10"/>
        <v>71.153940903845097</v>
      </c>
      <c r="V53"/>
      <c r="W53"/>
      <c r="X53"/>
      <c r="Y53"/>
      <c r="Z53"/>
      <c r="AA53"/>
      <c r="AB53"/>
      <c r="AC53"/>
      <c r="AD53"/>
    </row>
    <row r="54" spans="1:30" ht="15" x14ac:dyDescent="0.2">
      <c r="A54" s="19">
        <v>4</v>
      </c>
      <c r="B54" s="19" t="s">
        <v>16</v>
      </c>
      <c r="C54" s="19" t="s">
        <v>17</v>
      </c>
      <c r="D54" s="19">
        <v>291</v>
      </c>
      <c r="E54" s="28">
        <v>45552.1056022431</v>
      </c>
      <c r="F54" s="29">
        <v>43983</v>
      </c>
      <c r="G54" s="32" t="str">
        <f t="shared" si="2"/>
        <v>June</v>
      </c>
      <c r="H54" s="19" t="s">
        <v>23</v>
      </c>
      <c r="I54" s="38">
        <f t="shared" si="11"/>
        <v>4</v>
      </c>
      <c r="J54" s="34">
        <f t="shared" si="12"/>
        <v>6</v>
      </c>
      <c r="K54" s="33">
        <f t="shared" si="3"/>
        <v>0</v>
      </c>
      <c r="L54" s="33">
        <f t="shared" si="4"/>
        <v>0</v>
      </c>
      <c r="M54" s="33">
        <f t="shared" si="5"/>
        <v>1</v>
      </c>
      <c r="N54" s="33">
        <f t="shared" si="6"/>
        <v>0</v>
      </c>
      <c r="O54" s="33">
        <f t="shared" si="7"/>
        <v>0</v>
      </c>
      <c r="P54" s="33">
        <f t="shared" si="8"/>
        <v>0</v>
      </c>
      <c r="Q54" s="33">
        <f t="shared" si="9"/>
        <v>1</v>
      </c>
      <c r="R54" s="19">
        <v>0</v>
      </c>
      <c r="S54" s="30">
        <v>67.167928584830307</v>
      </c>
      <c r="T54" s="12">
        <f t="shared" si="10"/>
        <v>156.53644536853298</v>
      </c>
      <c r="V54"/>
      <c r="W54"/>
      <c r="X54"/>
      <c r="Y54"/>
      <c r="Z54"/>
      <c r="AA54"/>
      <c r="AB54"/>
      <c r="AC54"/>
      <c r="AD54"/>
    </row>
    <row r="55" spans="1:30" ht="15" x14ac:dyDescent="0.2">
      <c r="A55" s="19">
        <v>5</v>
      </c>
      <c r="B55" s="19" t="s">
        <v>18</v>
      </c>
      <c r="C55" s="19" t="s">
        <v>19</v>
      </c>
      <c r="D55" s="19">
        <v>1216</v>
      </c>
      <c r="E55" s="28">
        <v>117930.58018962599</v>
      </c>
      <c r="F55" s="29">
        <v>43983</v>
      </c>
      <c r="G55" s="32" t="str">
        <f t="shared" si="2"/>
        <v>June</v>
      </c>
      <c r="H55" s="19" t="s">
        <v>23</v>
      </c>
      <c r="I55" s="38">
        <f t="shared" si="11"/>
        <v>4</v>
      </c>
      <c r="J55" s="34">
        <f t="shared" si="12"/>
        <v>6</v>
      </c>
      <c r="K55" s="33">
        <f t="shared" si="3"/>
        <v>1</v>
      </c>
      <c r="L55" s="33">
        <f t="shared" si="4"/>
        <v>0</v>
      </c>
      <c r="M55" s="33">
        <f t="shared" si="5"/>
        <v>0</v>
      </c>
      <c r="N55" s="33">
        <f t="shared" si="6"/>
        <v>0</v>
      </c>
      <c r="O55" s="33">
        <f t="shared" si="7"/>
        <v>0</v>
      </c>
      <c r="P55" s="33">
        <f t="shared" si="8"/>
        <v>0</v>
      </c>
      <c r="Q55" s="33">
        <f t="shared" si="9"/>
        <v>1</v>
      </c>
      <c r="R55" s="19">
        <v>1</v>
      </c>
      <c r="S55" s="30">
        <v>70.642127176060299</v>
      </c>
      <c r="T55" s="12">
        <f t="shared" si="10"/>
        <v>96.982385024363481</v>
      </c>
      <c r="V55"/>
      <c r="W55"/>
      <c r="X55"/>
      <c r="Y55"/>
      <c r="Z55"/>
      <c r="AA55"/>
      <c r="AB55"/>
      <c r="AC55"/>
      <c r="AD55"/>
    </row>
    <row r="56" spans="1:30" ht="15" x14ac:dyDescent="0.2">
      <c r="A56" s="19">
        <v>1</v>
      </c>
      <c r="B56" s="19" t="s">
        <v>9</v>
      </c>
      <c r="C56" s="19" t="s">
        <v>10</v>
      </c>
      <c r="D56" s="19">
        <v>814</v>
      </c>
      <c r="E56" s="28">
        <v>73723.563646482406</v>
      </c>
      <c r="F56" s="29">
        <v>44013</v>
      </c>
      <c r="G56" s="32" t="str">
        <f t="shared" si="2"/>
        <v>July</v>
      </c>
      <c r="H56" s="19" t="s">
        <v>23</v>
      </c>
      <c r="I56" s="38">
        <f t="shared" si="11"/>
        <v>4</v>
      </c>
      <c r="J56" s="34">
        <f t="shared" si="12"/>
        <v>7</v>
      </c>
      <c r="K56" s="33">
        <f t="shared" si="3"/>
        <v>0</v>
      </c>
      <c r="L56" s="33">
        <f t="shared" si="4"/>
        <v>1</v>
      </c>
      <c r="M56" s="33">
        <f t="shared" si="5"/>
        <v>0</v>
      </c>
      <c r="N56" s="33">
        <f t="shared" si="6"/>
        <v>0</v>
      </c>
      <c r="O56" s="33">
        <f t="shared" si="7"/>
        <v>0</v>
      </c>
      <c r="P56" s="33">
        <f t="shared" si="8"/>
        <v>0</v>
      </c>
      <c r="Q56" s="33">
        <f t="shared" si="9"/>
        <v>1</v>
      </c>
      <c r="R56" s="19">
        <v>0</v>
      </c>
      <c r="S56" s="30">
        <v>88.313852824949706</v>
      </c>
      <c r="T56" s="12">
        <f t="shared" si="10"/>
        <v>90.569488509192141</v>
      </c>
      <c r="V56"/>
      <c r="W56"/>
      <c r="X56"/>
      <c r="Y56"/>
      <c r="Z56"/>
      <c r="AA56"/>
      <c r="AB56"/>
      <c r="AC56"/>
      <c r="AD56"/>
    </row>
    <row r="57" spans="1:30" ht="15" x14ac:dyDescent="0.2">
      <c r="A57" s="19">
        <v>4</v>
      </c>
      <c r="B57" s="19" t="s">
        <v>16</v>
      </c>
      <c r="C57" s="19" t="s">
        <v>17</v>
      </c>
      <c r="D57" s="19">
        <v>741</v>
      </c>
      <c r="E57" s="28">
        <v>61479.339184033503</v>
      </c>
      <c r="F57" s="29">
        <v>44013</v>
      </c>
      <c r="G57" s="32" t="str">
        <f t="shared" si="2"/>
        <v>July</v>
      </c>
      <c r="H57" s="19" t="s">
        <v>23</v>
      </c>
      <c r="I57" s="38">
        <f t="shared" si="11"/>
        <v>4</v>
      </c>
      <c r="J57" s="34">
        <f t="shared" si="12"/>
        <v>7</v>
      </c>
      <c r="K57" s="33">
        <f t="shared" si="3"/>
        <v>0</v>
      </c>
      <c r="L57" s="33">
        <f t="shared" si="4"/>
        <v>0</v>
      </c>
      <c r="M57" s="33">
        <f t="shared" si="5"/>
        <v>1</v>
      </c>
      <c r="N57" s="33">
        <f t="shared" si="6"/>
        <v>0</v>
      </c>
      <c r="O57" s="33">
        <f t="shared" si="7"/>
        <v>0</v>
      </c>
      <c r="P57" s="33">
        <f t="shared" si="8"/>
        <v>0</v>
      </c>
      <c r="Q57" s="33">
        <f t="shared" si="9"/>
        <v>1</v>
      </c>
      <c r="R57" s="19">
        <v>1</v>
      </c>
      <c r="S57" s="30">
        <v>89.664937305205399</v>
      </c>
      <c r="T57" s="12">
        <f t="shared" si="10"/>
        <v>82.968069074269238</v>
      </c>
      <c r="V57"/>
      <c r="W57"/>
      <c r="X57"/>
      <c r="Y57"/>
      <c r="Z57"/>
      <c r="AA57"/>
      <c r="AB57"/>
      <c r="AC57"/>
      <c r="AD57"/>
    </row>
    <row r="58" spans="1:30" ht="15" x14ac:dyDescent="0.2">
      <c r="A58" s="19">
        <v>5</v>
      </c>
      <c r="B58" s="19" t="s">
        <v>18</v>
      </c>
      <c r="C58" s="19" t="s">
        <v>19</v>
      </c>
      <c r="D58" s="19">
        <v>1950</v>
      </c>
      <c r="E58" s="28">
        <v>116283.18063778301</v>
      </c>
      <c r="F58" s="29">
        <v>44013</v>
      </c>
      <c r="G58" s="32" t="str">
        <f t="shared" si="2"/>
        <v>July</v>
      </c>
      <c r="H58" s="19" t="s">
        <v>23</v>
      </c>
      <c r="I58" s="38">
        <f t="shared" si="11"/>
        <v>4</v>
      </c>
      <c r="J58" s="34">
        <f t="shared" si="12"/>
        <v>7</v>
      </c>
      <c r="K58" s="33">
        <f t="shared" si="3"/>
        <v>1</v>
      </c>
      <c r="L58" s="33">
        <f t="shared" si="4"/>
        <v>0</v>
      </c>
      <c r="M58" s="33">
        <f t="shared" si="5"/>
        <v>0</v>
      </c>
      <c r="N58" s="33">
        <f t="shared" si="6"/>
        <v>0</v>
      </c>
      <c r="O58" s="33">
        <f t="shared" si="7"/>
        <v>0</v>
      </c>
      <c r="P58" s="33">
        <f t="shared" si="8"/>
        <v>0</v>
      </c>
      <c r="Q58" s="33">
        <f t="shared" si="9"/>
        <v>1</v>
      </c>
      <c r="R58" s="19">
        <v>1</v>
      </c>
      <c r="S58" s="30">
        <v>66.201387789158403</v>
      </c>
      <c r="T58" s="12">
        <f t="shared" si="10"/>
        <v>59.632400327068211</v>
      </c>
      <c r="V58"/>
      <c r="W58"/>
      <c r="X58"/>
      <c r="Y58"/>
      <c r="Z58"/>
      <c r="AA58"/>
      <c r="AB58"/>
      <c r="AC58"/>
      <c r="AD58"/>
    </row>
    <row r="59" spans="1:30" ht="15" x14ac:dyDescent="0.2">
      <c r="A59" s="19">
        <v>1</v>
      </c>
      <c r="B59" s="19" t="s">
        <v>9</v>
      </c>
      <c r="C59" s="19" t="s">
        <v>10</v>
      </c>
      <c r="D59" s="19">
        <v>729</v>
      </c>
      <c r="E59" s="28">
        <v>35936.471497482198</v>
      </c>
      <c r="F59" s="29">
        <v>44044</v>
      </c>
      <c r="G59" s="32" t="str">
        <f t="shared" si="2"/>
        <v>August</v>
      </c>
      <c r="H59" s="19" t="s">
        <v>23</v>
      </c>
      <c r="I59" s="38">
        <f t="shared" si="11"/>
        <v>4</v>
      </c>
      <c r="J59" s="34">
        <f t="shared" si="12"/>
        <v>8</v>
      </c>
      <c r="K59" s="33">
        <f t="shared" si="3"/>
        <v>0</v>
      </c>
      <c r="L59" s="33">
        <f t="shared" si="4"/>
        <v>1</v>
      </c>
      <c r="M59" s="33">
        <f t="shared" si="5"/>
        <v>0</v>
      </c>
      <c r="N59" s="33">
        <f t="shared" si="6"/>
        <v>0</v>
      </c>
      <c r="O59" s="33">
        <f t="shared" si="7"/>
        <v>0</v>
      </c>
      <c r="P59" s="33">
        <f t="shared" si="8"/>
        <v>0</v>
      </c>
      <c r="Q59" s="33">
        <f t="shared" si="9"/>
        <v>1</v>
      </c>
      <c r="R59" s="19">
        <v>0</v>
      </c>
      <c r="S59" s="30">
        <v>84.4383732044233</v>
      </c>
      <c r="T59" s="12">
        <f t="shared" si="10"/>
        <v>49.295571327136074</v>
      </c>
      <c r="V59"/>
      <c r="W59"/>
      <c r="X59"/>
      <c r="Y59"/>
      <c r="Z59"/>
      <c r="AA59"/>
      <c r="AB59"/>
      <c r="AC59"/>
      <c r="AD59"/>
    </row>
    <row r="60" spans="1:30" ht="15" x14ac:dyDescent="0.2">
      <c r="A60" s="19">
        <v>4</v>
      </c>
      <c r="B60" s="19" t="s">
        <v>16</v>
      </c>
      <c r="C60" s="19" t="s">
        <v>17</v>
      </c>
      <c r="D60" s="19">
        <v>697</v>
      </c>
      <c r="E60" s="28">
        <v>38110.709037235501</v>
      </c>
      <c r="F60" s="29">
        <v>44044</v>
      </c>
      <c r="G60" s="32" t="str">
        <f t="shared" si="2"/>
        <v>August</v>
      </c>
      <c r="H60" s="19" t="s">
        <v>23</v>
      </c>
      <c r="I60" s="38">
        <f t="shared" si="11"/>
        <v>4</v>
      </c>
      <c r="J60" s="34">
        <f t="shared" si="12"/>
        <v>8</v>
      </c>
      <c r="K60" s="33">
        <f t="shared" si="3"/>
        <v>0</v>
      </c>
      <c r="L60" s="33">
        <f t="shared" si="4"/>
        <v>0</v>
      </c>
      <c r="M60" s="33">
        <f t="shared" si="5"/>
        <v>1</v>
      </c>
      <c r="N60" s="33">
        <f t="shared" si="6"/>
        <v>0</v>
      </c>
      <c r="O60" s="33">
        <f t="shared" si="7"/>
        <v>0</v>
      </c>
      <c r="P60" s="33">
        <f t="shared" si="8"/>
        <v>0</v>
      </c>
      <c r="Q60" s="33">
        <f t="shared" si="9"/>
        <v>1</v>
      </c>
      <c r="R60" s="19">
        <v>0</v>
      </c>
      <c r="S60" s="30">
        <v>63.681863091896098</v>
      </c>
      <c r="T60" s="12">
        <f t="shared" si="10"/>
        <v>54.678205218415357</v>
      </c>
      <c r="V60"/>
      <c r="W60"/>
      <c r="X60"/>
      <c r="Y60"/>
      <c r="Z60"/>
      <c r="AA60"/>
      <c r="AB60"/>
      <c r="AC60"/>
      <c r="AD60"/>
    </row>
    <row r="61" spans="1:30" ht="15" x14ac:dyDescent="0.2">
      <c r="A61" s="19">
        <v>5</v>
      </c>
      <c r="B61" s="19" t="s">
        <v>18</v>
      </c>
      <c r="C61" s="19" t="s">
        <v>19</v>
      </c>
      <c r="D61" s="19">
        <v>1211</v>
      </c>
      <c r="E61" s="28">
        <v>151937.06034080099</v>
      </c>
      <c r="F61" s="29">
        <v>44044</v>
      </c>
      <c r="G61" s="32" t="str">
        <f t="shared" si="2"/>
        <v>August</v>
      </c>
      <c r="H61" s="19" t="s">
        <v>23</v>
      </c>
      <c r="I61" s="38">
        <f t="shared" si="11"/>
        <v>4</v>
      </c>
      <c r="J61" s="34">
        <f t="shared" si="12"/>
        <v>8</v>
      </c>
      <c r="K61" s="33">
        <f t="shared" si="3"/>
        <v>1</v>
      </c>
      <c r="L61" s="33">
        <f t="shared" si="4"/>
        <v>0</v>
      </c>
      <c r="M61" s="33">
        <f t="shared" si="5"/>
        <v>0</v>
      </c>
      <c r="N61" s="33">
        <f t="shared" si="6"/>
        <v>0</v>
      </c>
      <c r="O61" s="33">
        <f t="shared" si="7"/>
        <v>0</v>
      </c>
      <c r="P61" s="33">
        <f t="shared" si="8"/>
        <v>0</v>
      </c>
      <c r="Q61" s="33">
        <f t="shared" si="9"/>
        <v>1</v>
      </c>
      <c r="R61" s="19">
        <v>1</v>
      </c>
      <c r="S61" s="30">
        <v>113.894938533426</v>
      </c>
      <c r="T61" s="12">
        <f t="shared" si="10"/>
        <v>125.46412910057886</v>
      </c>
      <c r="V61"/>
      <c r="W61"/>
      <c r="X61"/>
      <c r="Y61"/>
      <c r="Z61"/>
      <c r="AA61"/>
      <c r="AB61"/>
      <c r="AC61"/>
      <c r="AD61"/>
    </row>
    <row r="62" spans="1:30" ht="15" x14ac:dyDescent="0.2">
      <c r="A62" s="19">
        <v>1</v>
      </c>
      <c r="B62" s="19" t="s">
        <v>9</v>
      </c>
      <c r="C62" s="19" t="s">
        <v>10</v>
      </c>
      <c r="D62" s="19">
        <v>686</v>
      </c>
      <c r="E62" s="28">
        <v>48596.685770827004</v>
      </c>
      <c r="F62" s="29">
        <v>44075</v>
      </c>
      <c r="G62" s="32" t="str">
        <f t="shared" si="2"/>
        <v>September</v>
      </c>
      <c r="H62" s="19" t="s">
        <v>24</v>
      </c>
      <c r="I62" s="38">
        <f t="shared" si="11"/>
        <v>1</v>
      </c>
      <c r="J62" s="34">
        <f t="shared" si="12"/>
        <v>9</v>
      </c>
      <c r="K62" s="33">
        <f t="shared" si="3"/>
        <v>0</v>
      </c>
      <c r="L62" s="33">
        <f t="shared" si="4"/>
        <v>1</v>
      </c>
      <c r="M62" s="33">
        <f t="shared" si="5"/>
        <v>0</v>
      </c>
      <c r="N62" s="33">
        <f t="shared" si="6"/>
        <v>1</v>
      </c>
      <c r="O62" s="33">
        <f t="shared" si="7"/>
        <v>0</v>
      </c>
      <c r="P62" s="33">
        <f t="shared" si="8"/>
        <v>0</v>
      </c>
      <c r="Q62" s="33">
        <f t="shared" si="9"/>
        <v>0</v>
      </c>
      <c r="R62" s="19">
        <v>0</v>
      </c>
      <c r="S62" s="30">
        <v>119.317521145692</v>
      </c>
      <c r="T62" s="12">
        <f t="shared" si="10"/>
        <v>70.840649811701169</v>
      </c>
      <c r="V62"/>
      <c r="W62"/>
      <c r="X62"/>
      <c r="Y62"/>
      <c r="Z62"/>
      <c r="AA62"/>
      <c r="AB62"/>
      <c r="AC62"/>
      <c r="AD62"/>
    </row>
    <row r="63" spans="1:30" ht="15" x14ac:dyDescent="0.2">
      <c r="A63" s="19">
        <v>4</v>
      </c>
      <c r="B63" s="19" t="s">
        <v>16</v>
      </c>
      <c r="C63" s="19" t="s">
        <v>17</v>
      </c>
      <c r="D63" s="19">
        <v>526</v>
      </c>
      <c r="E63" s="28">
        <v>33614.712128903899</v>
      </c>
      <c r="F63" s="29">
        <v>44075</v>
      </c>
      <c r="G63" s="32" t="str">
        <f t="shared" si="2"/>
        <v>September</v>
      </c>
      <c r="H63" s="19" t="s">
        <v>24</v>
      </c>
      <c r="I63" s="38">
        <f t="shared" si="11"/>
        <v>1</v>
      </c>
      <c r="J63" s="34">
        <f t="shared" si="12"/>
        <v>9</v>
      </c>
      <c r="K63" s="33">
        <f t="shared" si="3"/>
        <v>0</v>
      </c>
      <c r="L63" s="33">
        <f t="shared" si="4"/>
        <v>0</v>
      </c>
      <c r="M63" s="33">
        <f t="shared" si="5"/>
        <v>1</v>
      </c>
      <c r="N63" s="33">
        <f t="shared" si="6"/>
        <v>1</v>
      </c>
      <c r="O63" s="33">
        <f t="shared" si="7"/>
        <v>0</v>
      </c>
      <c r="P63" s="33">
        <f t="shared" si="8"/>
        <v>0</v>
      </c>
      <c r="Q63" s="33">
        <f t="shared" si="9"/>
        <v>0</v>
      </c>
      <c r="R63" s="19">
        <v>1</v>
      </c>
      <c r="S63" s="30">
        <v>147.10582451653599</v>
      </c>
      <c r="T63" s="12">
        <f t="shared" si="10"/>
        <v>63.906296823011218</v>
      </c>
    </row>
    <row r="64" spans="1:30" ht="15" x14ac:dyDescent="0.2">
      <c r="A64" s="19">
        <v>5</v>
      </c>
      <c r="B64" s="19" t="s">
        <v>18</v>
      </c>
      <c r="C64" s="19" t="s">
        <v>19</v>
      </c>
      <c r="D64" s="19">
        <v>1471</v>
      </c>
      <c r="E64" s="28">
        <v>127037.517434315</v>
      </c>
      <c r="F64" s="29">
        <v>44075</v>
      </c>
      <c r="G64" s="32" t="str">
        <f t="shared" si="2"/>
        <v>September</v>
      </c>
      <c r="H64" s="19" t="s">
        <v>24</v>
      </c>
      <c r="I64" s="38">
        <f t="shared" si="11"/>
        <v>1</v>
      </c>
      <c r="J64" s="34">
        <f t="shared" si="12"/>
        <v>9</v>
      </c>
      <c r="K64" s="33">
        <f t="shared" si="3"/>
        <v>1</v>
      </c>
      <c r="L64" s="33">
        <f t="shared" si="4"/>
        <v>0</v>
      </c>
      <c r="M64" s="33">
        <f t="shared" si="5"/>
        <v>0</v>
      </c>
      <c r="N64" s="33">
        <f t="shared" si="6"/>
        <v>1</v>
      </c>
      <c r="O64" s="33">
        <f t="shared" si="7"/>
        <v>0</v>
      </c>
      <c r="P64" s="33">
        <f t="shared" si="8"/>
        <v>0</v>
      </c>
      <c r="Q64" s="33">
        <f t="shared" si="9"/>
        <v>0</v>
      </c>
      <c r="R64" s="19">
        <v>0</v>
      </c>
      <c r="S64" s="30">
        <v>95.5143685036156</v>
      </c>
      <c r="T64" s="12">
        <f t="shared" si="10"/>
        <v>86.361330682743031</v>
      </c>
    </row>
    <row r="65" spans="1:20" ht="15" x14ac:dyDescent="0.2">
      <c r="A65" s="19">
        <v>1</v>
      </c>
      <c r="B65" s="19" t="s">
        <v>9</v>
      </c>
      <c r="C65" s="19" t="s">
        <v>10</v>
      </c>
      <c r="D65" s="19">
        <v>413</v>
      </c>
      <c r="E65" s="28">
        <v>43816.5575306272</v>
      </c>
      <c r="F65" s="29">
        <v>44105</v>
      </c>
      <c r="G65" s="32" t="str">
        <f t="shared" si="2"/>
        <v>October</v>
      </c>
      <c r="H65" s="19" t="s">
        <v>24</v>
      </c>
      <c r="I65" s="38">
        <f t="shared" si="11"/>
        <v>1</v>
      </c>
      <c r="J65" s="34">
        <f t="shared" si="12"/>
        <v>10</v>
      </c>
      <c r="K65" s="33">
        <f t="shared" si="3"/>
        <v>0</v>
      </c>
      <c r="L65" s="33">
        <f t="shared" si="4"/>
        <v>1</v>
      </c>
      <c r="M65" s="33">
        <f t="shared" si="5"/>
        <v>0</v>
      </c>
      <c r="N65" s="33">
        <f t="shared" si="6"/>
        <v>1</v>
      </c>
      <c r="O65" s="33">
        <f t="shared" si="7"/>
        <v>0</v>
      </c>
      <c r="P65" s="33">
        <f t="shared" si="8"/>
        <v>0</v>
      </c>
      <c r="Q65" s="33">
        <f t="shared" si="9"/>
        <v>0</v>
      </c>
      <c r="R65" s="19">
        <v>1</v>
      </c>
      <c r="S65" s="30">
        <v>138.49983565232799</v>
      </c>
      <c r="T65" s="12">
        <f t="shared" si="10"/>
        <v>106.09335963832253</v>
      </c>
    </row>
    <row r="66" spans="1:20" ht="15" x14ac:dyDescent="0.2">
      <c r="A66" s="19">
        <v>4</v>
      </c>
      <c r="B66" s="19" t="s">
        <v>16</v>
      </c>
      <c r="C66" s="19" t="s">
        <v>17</v>
      </c>
      <c r="D66" s="19">
        <v>529</v>
      </c>
      <c r="E66" s="28">
        <v>84271.479816444102</v>
      </c>
      <c r="F66" s="29">
        <v>44105</v>
      </c>
      <c r="G66" s="32" t="str">
        <f t="shared" si="2"/>
        <v>October</v>
      </c>
      <c r="H66" s="19" t="s">
        <v>24</v>
      </c>
      <c r="I66" s="38">
        <f t="shared" ref="I66:I97" si="13">IF(H66="Spring",1,IF(H66="Summer",2,IF(H66="Autumn",3,4)))</f>
        <v>1</v>
      </c>
      <c r="J66" s="34">
        <f t="shared" ref="J66:J97" si="14">MONTH(F66)</f>
        <v>10</v>
      </c>
      <c r="K66" s="33">
        <f t="shared" si="3"/>
        <v>0</v>
      </c>
      <c r="L66" s="33">
        <f t="shared" si="4"/>
        <v>0</v>
      </c>
      <c r="M66" s="33">
        <f t="shared" si="5"/>
        <v>1</v>
      </c>
      <c r="N66" s="33">
        <f t="shared" si="6"/>
        <v>1</v>
      </c>
      <c r="O66" s="33">
        <f t="shared" si="7"/>
        <v>0</v>
      </c>
      <c r="P66" s="33">
        <f t="shared" si="8"/>
        <v>0</v>
      </c>
      <c r="Q66" s="33">
        <f t="shared" si="9"/>
        <v>0</v>
      </c>
      <c r="R66" s="19">
        <v>0</v>
      </c>
      <c r="S66" s="30">
        <v>111.58631881823</v>
      </c>
      <c r="T66" s="12">
        <f t="shared" si="10"/>
        <v>159.30336449233289</v>
      </c>
    </row>
    <row r="67" spans="1:20" ht="15" x14ac:dyDescent="0.2">
      <c r="A67" s="19">
        <v>5</v>
      </c>
      <c r="B67" s="19" t="s">
        <v>18</v>
      </c>
      <c r="C67" s="19" t="s">
        <v>19</v>
      </c>
      <c r="D67" s="19">
        <v>1515</v>
      </c>
      <c r="E67" s="28">
        <v>174942.61608085901</v>
      </c>
      <c r="F67" s="29">
        <v>44105</v>
      </c>
      <c r="G67" s="32" t="str">
        <f t="shared" ref="G67:G109" si="15">TEXT(F67, "mmmm")</f>
        <v>October</v>
      </c>
      <c r="H67" s="19" t="s">
        <v>24</v>
      </c>
      <c r="I67" s="38">
        <f t="shared" si="13"/>
        <v>1</v>
      </c>
      <c r="J67" s="34">
        <f t="shared" si="14"/>
        <v>10</v>
      </c>
      <c r="K67" s="33">
        <f t="shared" ref="K67:K109" si="16">IF(B67="Headphones",1,0)</f>
        <v>1</v>
      </c>
      <c r="L67" s="33">
        <f t="shared" ref="L67:L109" si="17">IF(B67="Smartphone",1,0)</f>
        <v>0</v>
      </c>
      <c r="M67" s="33">
        <f t="shared" ref="M67:M109" si="18">IF(B67="Smartwatch",1,0)</f>
        <v>0</v>
      </c>
      <c r="N67" s="33">
        <f t="shared" ref="N67:N109" si="19">IF(H67="Spring", 1, 0)</f>
        <v>1</v>
      </c>
      <c r="O67" s="33">
        <f t="shared" ref="O67:O109" si="20">IF(H67="Summer", 1, 0)</f>
        <v>0</v>
      </c>
      <c r="P67" s="33">
        <f t="shared" ref="P67:P109" si="21">IF(H67="Autumn", 1, 0)</f>
        <v>0</v>
      </c>
      <c r="Q67" s="33">
        <f t="shared" ref="Q67:Q109" si="22">IF(H67="Winter", 1, 0)</f>
        <v>0</v>
      </c>
      <c r="R67" s="19">
        <v>1</v>
      </c>
      <c r="S67" s="30">
        <v>148.40834691992899</v>
      </c>
      <c r="T67" s="12">
        <f t="shared" ref="T67:T109" si="23">E67/D67</f>
        <v>115.47367398076501</v>
      </c>
    </row>
    <row r="68" spans="1:20" ht="15" x14ac:dyDescent="0.2">
      <c r="A68" s="19">
        <v>1</v>
      </c>
      <c r="B68" s="19" t="s">
        <v>9</v>
      </c>
      <c r="C68" s="19" t="s">
        <v>10</v>
      </c>
      <c r="D68" s="19">
        <v>790</v>
      </c>
      <c r="E68" s="28">
        <v>12773.0219264635</v>
      </c>
      <c r="F68" s="29">
        <v>44136</v>
      </c>
      <c r="G68" s="32" t="str">
        <f t="shared" si="15"/>
        <v>November</v>
      </c>
      <c r="H68" s="19" t="s">
        <v>24</v>
      </c>
      <c r="I68" s="38">
        <f t="shared" si="13"/>
        <v>1</v>
      </c>
      <c r="J68" s="34">
        <f t="shared" si="14"/>
        <v>11</v>
      </c>
      <c r="K68" s="33">
        <f t="shared" si="16"/>
        <v>0</v>
      </c>
      <c r="L68" s="33">
        <f t="shared" si="17"/>
        <v>1</v>
      </c>
      <c r="M68" s="33">
        <f t="shared" si="18"/>
        <v>0</v>
      </c>
      <c r="N68" s="33">
        <f t="shared" si="19"/>
        <v>1</v>
      </c>
      <c r="O68" s="33">
        <f t="shared" si="20"/>
        <v>0</v>
      </c>
      <c r="P68" s="33">
        <f t="shared" si="21"/>
        <v>0</v>
      </c>
      <c r="Q68" s="33">
        <f t="shared" si="22"/>
        <v>0</v>
      </c>
      <c r="R68" s="19">
        <v>1</v>
      </c>
      <c r="S68" s="30">
        <v>79.630812045599001</v>
      </c>
      <c r="T68" s="12">
        <f t="shared" si="23"/>
        <v>16.168382185396837</v>
      </c>
    </row>
    <row r="69" spans="1:20" ht="15" x14ac:dyDescent="0.2">
      <c r="A69" s="19">
        <v>4</v>
      </c>
      <c r="B69" s="19" t="s">
        <v>16</v>
      </c>
      <c r="C69" s="19" t="s">
        <v>17</v>
      </c>
      <c r="D69" s="19">
        <v>193</v>
      </c>
      <c r="E69" s="28">
        <v>49010.725806951297</v>
      </c>
      <c r="F69" s="29">
        <v>44136</v>
      </c>
      <c r="G69" s="32" t="str">
        <f t="shared" si="15"/>
        <v>November</v>
      </c>
      <c r="H69" s="19" t="s">
        <v>24</v>
      </c>
      <c r="I69" s="38">
        <f t="shared" si="13"/>
        <v>1</v>
      </c>
      <c r="J69" s="34">
        <f t="shared" si="14"/>
        <v>11</v>
      </c>
      <c r="K69" s="33">
        <f t="shared" si="16"/>
        <v>0</v>
      </c>
      <c r="L69" s="33">
        <f t="shared" si="17"/>
        <v>0</v>
      </c>
      <c r="M69" s="33">
        <f t="shared" si="18"/>
        <v>1</v>
      </c>
      <c r="N69" s="33">
        <f t="shared" si="19"/>
        <v>1</v>
      </c>
      <c r="O69" s="33">
        <f t="shared" si="20"/>
        <v>0</v>
      </c>
      <c r="P69" s="33">
        <f t="shared" si="21"/>
        <v>0</v>
      </c>
      <c r="Q69" s="33">
        <f t="shared" si="22"/>
        <v>0</v>
      </c>
      <c r="R69" s="19">
        <v>0</v>
      </c>
      <c r="S69" s="30">
        <v>148.918490981335</v>
      </c>
      <c r="T69" s="12">
        <f t="shared" si="23"/>
        <v>253.94158449197565</v>
      </c>
    </row>
    <row r="70" spans="1:20" ht="15" x14ac:dyDescent="0.2">
      <c r="A70" s="19">
        <v>5</v>
      </c>
      <c r="B70" s="19" t="s">
        <v>18</v>
      </c>
      <c r="C70" s="19" t="s">
        <v>19</v>
      </c>
      <c r="D70" s="19">
        <v>1683</v>
      </c>
      <c r="E70" s="28">
        <v>111357.97216135501</v>
      </c>
      <c r="F70" s="29">
        <v>44136</v>
      </c>
      <c r="G70" s="32" t="str">
        <f t="shared" si="15"/>
        <v>November</v>
      </c>
      <c r="H70" s="19" t="s">
        <v>24</v>
      </c>
      <c r="I70" s="38">
        <f t="shared" si="13"/>
        <v>1</v>
      </c>
      <c r="J70" s="34">
        <f t="shared" si="14"/>
        <v>11</v>
      </c>
      <c r="K70" s="33">
        <f t="shared" si="16"/>
        <v>1</v>
      </c>
      <c r="L70" s="33">
        <f t="shared" si="17"/>
        <v>0</v>
      </c>
      <c r="M70" s="33">
        <f t="shared" si="18"/>
        <v>0</v>
      </c>
      <c r="N70" s="33">
        <f t="shared" si="19"/>
        <v>1</v>
      </c>
      <c r="O70" s="33">
        <f t="shared" si="20"/>
        <v>0</v>
      </c>
      <c r="P70" s="33">
        <f t="shared" si="21"/>
        <v>0</v>
      </c>
      <c r="Q70" s="33">
        <f t="shared" si="22"/>
        <v>0</v>
      </c>
      <c r="R70" s="19">
        <v>1</v>
      </c>
      <c r="S70" s="30">
        <v>133.78257352832401</v>
      </c>
      <c r="T70" s="12">
        <f t="shared" si="23"/>
        <v>66.166353037049916</v>
      </c>
    </row>
    <row r="71" spans="1:20" ht="15" x14ac:dyDescent="0.2">
      <c r="A71" s="19">
        <v>1</v>
      </c>
      <c r="B71" s="19" t="s">
        <v>9</v>
      </c>
      <c r="C71" s="19" t="s">
        <v>10</v>
      </c>
      <c r="D71" s="19">
        <v>396</v>
      </c>
      <c r="E71" s="28">
        <v>38021.512068813201</v>
      </c>
      <c r="F71" s="29">
        <v>44166</v>
      </c>
      <c r="G71" s="32" t="str">
        <f t="shared" si="15"/>
        <v>December</v>
      </c>
      <c r="H71" s="19" t="s">
        <v>11</v>
      </c>
      <c r="I71" s="38">
        <f t="shared" si="13"/>
        <v>2</v>
      </c>
      <c r="J71" s="34">
        <f t="shared" si="14"/>
        <v>12</v>
      </c>
      <c r="K71" s="33">
        <f t="shared" si="16"/>
        <v>0</v>
      </c>
      <c r="L71" s="33">
        <f t="shared" si="17"/>
        <v>1</v>
      </c>
      <c r="M71" s="33">
        <f t="shared" si="18"/>
        <v>0</v>
      </c>
      <c r="N71" s="33">
        <f t="shared" si="19"/>
        <v>0</v>
      </c>
      <c r="O71" s="33">
        <f t="shared" si="20"/>
        <v>1</v>
      </c>
      <c r="P71" s="33">
        <f t="shared" si="21"/>
        <v>0</v>
      </c>
      <c r="Q71" s="33">
        <f t="shared" si="22"/>
        <v>0</v>
      </c>
      <c r="R71" s="19">
        <v>0</v>
      </c>
      <c r="S71" s="30">
        <v>145.72702629833199</v>
      </c>
      <c r="T71" s="12">
        <f t="shared" si="23"/>
        <v>96.013919365689901</v>
      </c>
    </row>
    <row r="72" spans="1:20" ht="15" x14ac:dyDescent="0.2">
      <c r="A72" s="19">
        <v>4</v>
      </c>
      <c r="B72" s="19" t="s">
        <v>16</v>
      </c>
      <c r="C72" s="19" t="s">
        <v>17</v>
      </c>
      <c r="D72" s="19">
        <v>482</v>
      </c>
      <c r="E72" s="28">
        <v>68908.197999542594</v>
      </c>
      <c r="F72" s="29">
        <v>44166</v>
      </c>
      <c r="G72" s="32" t="str">
        <f t="shared" si="15"/>
        <v>December</v>
      </c>
      <c r="H72" s="19" t="s">
        <v>11</v>
      </c>
      <c r="I72" s="38">
        <f t="shared" si="13"/>
        <v>2</v>
      </c>
      <c r="J72" s="34">
        <f t="shared" si="14"/>
        <v>12</v>
      </c>
      <c r="K72" s="33">
        <f t="shared" si="16"/>
        <v>0</v>
      </c>
      <c r="L72" s="33">
        <f t="shared" si="17"/>
        <v>0</v>
      </c>
      <c r="M72" s="33">
        <f t="shared" si="18"/>
        <v>1</v>
      </c>
      <c r="N72" s="33">
        <f t="shared" si="19"/>
        <v>0</v>
      </c>
      <c r="O72" s="33">
        <f t="shared" si="20"/>
        <v>1</v>
      </c>
      <c r="P72" s="33">
        <f t="shared" si="21"/>
        <v>0</v>
      </c>
      <c r="Q72" s="33">
        <f t="shared" si="22"/>
        <v>0</v>
      </c>
      <c r="R72" s="19">
        <v>0</v>
      </c>
      <c r="S72" s="30">
        <v>72.381761482262306</v>
      </c>
      <c r="T72" s="12">
        <f t="shared" si="23"/>
        <v>142.96306638909252</v>
      </c>
    </row>
    <row r="73" spans="1:20" ht="15" x14ac:dyDescent="0.2">
      <c r="A73" s="19">
        <v>5</v>
      </c>
      <c r="B73" s="19" t="s">
        <v>18</v>
      </c>
      <c r="C73" s="19" t="s">
        <v>19</v>
      </c>
      <c r="D73" s="19">
        <v>1707</v>
      </c>
      <c r="E73" s="28">
        <v>128135.14904699899</v>
      </c>
      <c r="F73" s="29">
        <v>44166</v>
      </c>
      <c r="G73" s="32" t="str">
        <f t="shared" si="15"/>
        <v>December</v>
      </c>
      <c r="H73" s="19" t="s">
        <v>11</v>
      </c>
      <c r="I73" s="38">
        <f t="shared" si="13"/>
        <v>2</v>
      </c>
      <c r="J73" s="34">
        <f t="shared" si="14"/>
        <v>12</v>
      </c>
      <c r="K73" s="33">
        <f t="shared" si="16"/>
        <v>1</v>
      </c>
      <c r="L73" s="33">
        <f t="shared" si="17"/>
        <v>0</v>
      </c>
      <c r="M73" s="33">
        <f t="shared" si="18"/>
        <v>0</v>
      </c>
      <c r="N73" s="33">
        <f t="shared" si="19"/>
        <v>0</v>
      </c>
      <c r="O73" s="33">
        <f t="shared" si="20"/>
        <v>1</v>
      </c>
      <c r="P73" s="33">
        <f t="shared" si="21"/>
        <v>0</v>
      </c>
      <c r="Q73" s="33">
        <f t="shared" si="22"/>
        <v>0</v>
      </c>
      <c r="R73" s="19">
        <v>1</v>
      </c>
      <c r="S73" s="30">
        <v>136.012681641792</v>
      </c>
      <c r="T73" s="12">
        <f t="shared" si="23"/>
        <v>75.064527854129466</v>
      </c>
    </row>
    <row r="74" spans="1:20" ht="15" x14ac:dyDescent="0.2">
      <c r="A74" s="19">
        <v>1</v>
      </c>
      <c r="B74" s="19" t="s">
        <v>9</v>
      </c>
      <c r="C74" s="19" t="s">
        <v>10</v>
      </c>
      <c r="D74" s="19">
        <v>557</v>
      </c>
      <c r="E74" s="28">
        <v>56689.135799740499</v>
      </c>
      <c r="F74" s="29">
        <v>44197</v>
      </c>
      <c r="G74" s="32" t="str">
        <f t="shared" si="15"/>
        <v>January</v>
      </c>
      <c r="H74" s="19" t="s">
        <v>11</v>
      </c>
      <c r="I74" s="38">
        <f t="shared" si="13"/>
        <v>2</v>
      </c>
      <c r="J74" s="34">
        <f t="shared" si="14"/>
        <v>1</v>
      </c>
      <c r="K74" s="33">
        <f t="shared" si="16"/>
        <v>0</v>
      </c>
      <c r="L74" s="33">
        <f t="shared" si="17"/>
        <v>1</v>
      </c>
      <c r="M74" s="33">
        <f t="shared" si="18"/>
        <v>0</v>
      </c>
      <c r="N74" s="33">
        <f t="shared" si="19"/>
        <v>0</v>
      </c>
      <c r="O74" s="33">
        <f t="shared" si="20"/>
        <v>1</v>
      </c>
      <c r="P74" s="33">
        <f t="shared" si="21"/>
        <v>0</v>
      </c>
      <c r="Q74" s="33">
        <f t="shared" si="22"/>
        <v>0</v>
      </c>
      <c r="R74" s="19">
        <v>1</v>
      </c>
      <c r="S74" s="30">
        <v>143.15894883189901</v>
      </c>
      <c r="T74" s="12">
        <f t="shared" si="23"/>
        <v>101.77582728858259</v>
      </c>
    </row>
    <row r="75" spans="1:20" ht="15" x14ac:dyDescent="0.2">
      <c r="A75" s="19">
        <v>4</v>
      </c>
      <c r="B75" s="19" t="s">
        <v>16</v>
      </c>
      <c r="C75" s="19" t="s">
        <v>17</v>
      </c>
      <c r="D75" s="19">
        <v>681</v>
      </c>
      <c r="E75" s="28">
        <v>50717.890995353897</v>
      </c>
      <c r="F75" s="29">
        <v>44197</v>
      </c>
      <c r="G75" s="32" t="str">
        <f t="shared" si="15"/>
        <v>January</v>
      </c>
      <c r="H75" s="19" t="s">
        <v>11</v>
      </c>
      <c r="I75" s="38">
        <f t="shared" si="13"/>
        <v>2</v>
      </c>
      <c r="J75" s="34">
        <f t="shared" si="14"/>
        <v>1</v>
      </c>
      <c r="K75" s="33">
        <f t="shared" si="16"/>
        <v>0</v>
      </c>
      <c r="L75" s="33">
        <f t="shared" si="17"/>
        <v>0</v>
      </c>
      <c r="M75" s="33">
        <f t="shared" si="18"/>
        <v>1</v>
      </c>
      <c r="N75" s="33">
        <f t="shared" si="19"/>
        <v>0</v>
      </c>
      <c r="O75" s="33">
        <f t="shared" si="20"/>
        <v>1</v>
      </c>
      <c r="P75" s="33">
        <f t="shared" si="21"/>
        <v>0</v>
      </c>
      <c r="Q75" s="33">
        <f t="shared" si="22"/>
        <v>0</v>
      </c>
      <c r="R75" s="19">
        <v>0</v>
      </c>
      <c r="S75" s="30">
        <v>84.780920790219298</v>
      </c>
      <c r="T75" s="12">
        <f t="shared" si="23"/>
        <v>74.475610859550514</v>
      </c>
    </row>
    <row r="76" spans="1:20" ht="15" x14ac:dyDescent="0.2">
      <c r="A76" s="19">
        <v>5</v>
      </c>
      <c r="B76" s="19" t="s">
        <v>18</v>
      </c>
      <c r="C76" s="19" t="s">
        <v>19</v>
      </c>
      <c r="D76" s="19">
        <v>1204</v>
      </c>
      <c r="E76" s="28">
        <v>155401.21977208101</v>
      </c>
      <c r="F76" s="29">
        <v>44197</v>
      </c>
      <c r="G76" s="32" t="str">
        <f t="shared" si="15"/>
        <v>January</v>
      </c>
      <c r="H76" s="19" t="s">
        <v>11</v>
      </c>
      <c r="I76" s="38">
        <f t="shared" si="13"/>
        <v>2</v>
      </c>
      <c r="J76" s="34">
        <f t="shared" si="14"/>
        <v>1</v>
      </c>
      <c r="K76" s="33">
        <f t="shared" si="16"/>
        <v>1</v>
      </c>
      <c r="L76" s="33">
        <f t="shared" si="17"/>
        <v>0</v>
      </c>
      <c r="M76" s="33">
        <f t="shared" si="18"/>
        <v>0</v>
      </c>
      <c r="N76" s="33">
        <f t="shared" si="19"/>
        <v>0</v>
      </c>
      <c r="O76" s="33">
        <f t="shared" si="20"/>
        <v>1</v>
      </c>
      <c r="P76" s="33">
        <f t="shared" si="21"/>
        <v>0</v>
      </c>
      <c r="Q76" s="33">
        <f t="shared" si="22"/>
        <v>0</v>
      </c>
      <c r="R76" s="19">
        <v>0</v>
      </c>
      <c r="S76" s="30">
        <v>123.39099189536999</v>
      </c>
      <c r="T76" s="12">
        <f t="shared" si="23"/>
        <v>129.07078054159552</v>
      </c>
    </row>
    <row r="77" spans="1:20" ht="15" x14ac:dyDescent="0.2">
      <c r="A77" s="19">
        <v>1</v>
      </c>
      <c r="B77" s="19" t="s">
        <v>9</v>
      </c>
      <c r="C77" s="19" t="s">
        <v>10</v>
      </c>
      <c r="D77" s="19">
        <v>581</v>
      </c>
      <c r="E77" s="28">
        <v>64300.140276022801</v>
      </c>
      <c r="F77" s="29">
        <v>44228</v>
      </c>
      <c r="G77" s="32" t="str">
        <f t="shared" si="15"/>
        <v>February</v>
      </c>
      <c r="H77" s="19" t="s">
        <v>11</v>
      </c>
      <c r="I77" s="38">
        <f t="shared" si="13"/>
        <v>2</v>
      </c>
      <c r="J77" s="34">
        <f t="shared" si="14"/>
        <v>2</v>
      </c>
      <c r="K77" s="33">
        <f t="shared" si="16"/>
        <v>0</v>
      </c>
      <c r="L77" s="33">
        <f t="shared" si="17"/>
        <v>1</v>
      </c>
      <c r="M77" s="33">
        <f t="shared" si="18"/>
        <v>0</v>
      </c>
      <c r="N77" s="33">
        <f t="shared" si="19"/>
        <v>0</v>
      </c>
      <c r="O77" s="33">
        <f t="shared" si="20"/>
        <v>1</v>
      </c>
      <c r="P77" s="33">
        <f t="shared" si="21"/>
        <v>0</v>
      </c>
      <c r="Q77" s="33">
        <f t="shared" si="22"/>
        <v>0</v>
      </c>
      <c r="R77" s="19">
        <v>0</v>
      </c>
      <c r="S77" s="30">
        <v>73.869003130101703</v>
      </c>
      <c r="T77" s="12">
        <f t="shared" si="23"/>
        <v>110.67149789332667</v>
      </c>
    </row>
    <row r="78" spans="1:20" ht="15" x14ac:dyDescent="0.2">
      <c r="A78" s="19">
        <v>4</v>
      </c>
      <c r="B78" s="19" t="s">
        <v>16</v>
      </c>
      <c r="C78" s="19" t="s">
        <v>17</v>
      </c>
      <c r="D78" s="19">
        <v>813</v>
      </c>
      <c r="E78" s="28">
        <v>56862.181659035101</v>
      </c>
      <c r="F78" s="29">
        <v>44228</v>
      </c>
      <c r="G78" s="32" t="str">
        <f t="shared" si="15"/>
        <v>February</v>
      </c>
      <c r="H78" s="19" t="s">
        <v>11</v>
      </c>
      <c r="I78" s="38">
        <f t="shared" si="13"/>
        <v>2</v>
      </c>
      <c r="J78" s="34">
        <f t="shared" si="14"/>
        <v>2</v>
      </c>
      <c r="K78" s="33">
        <f t="shared" si="16"/>
        <v>0</v>
      </c>
      <c r="L78" s="33">
        <f t="shared" si="17"/>
        <v>0</v>
      </c>
      <c r="M78" s="33">
        <f t="shared" si="18"/>
        <v>1</v>
      </c>
      <c r="N78" s="33">
        <f t="shared" si="19"/>
        <v>0</v>
      </c>
      <c r="O78" s="33">
        <f t="shared" si="20"/>
        <v>1</v>
      </c>
      <c r="P78" s="33">
        <f t="shared" si="21"/>
        <v>0</v>
      </c>
      <c r="Q78" s="33">
        <f t="shared" si="22"/>
        <v>0</v>
      </c>
      <c r="R78" s="19">
        <v>1</v>
      </c>
      <c r="S78" s="30">
        <v>50.638587171683298</v>
      </c>
      <c r="T78" s="12">
        <f t="shared" si="23"/>
        <v>69.941182852441699</v>
      </c>
    </row>
    <row r="79" spans="1:20" ht="15" x14ac:dyDescent="0.2">
      <c r="A79" s="19">
        <v>5</v>
      </c>
      <c r="B79" s="19" t="s">
        <v>18</v>
      </c>
      <c r="C79" s="19" t="s">
        <v>19</v>
      </c>
      <c r="D79" s="19">
        <v>1245</v>
      </c>
      <c r="E79" s="28">
        <v>55318.208210520803</v>
      </c>
      <c r="F79" s="29">
        <v>44228</v>
      </c>
      <c r="G79" s="32" t="str">
        <f t="shared" si="15"/>
        <v>February</v>
      </c>
      <c r="H79" s="19" t="s">
        <v>11</v>
      </c>
      <c r="I79" s="38">
        <f t="shared" si="13"/>
        <v>2</v>
      </c>
      <c r="J79" s="34">
        <f t="shared" si="14"/>
        <v>2</v>
      </c>
      <c r="K79" s="33">
        <f t="shared" si="16"/>
        <v>1</v>
      </c>
      <c r="L79" s="33">
        <f t="shared" si="17"/>
        <v>0</v>
      </c>
      <c r="M79" s="33">
        <f t="shared" si="18"/>
        <v>0</v>
      </c>
      <c r="N79" s="33">
        <f t="shared" si="19"/>
        <v>0</v>
      </c>
      <c r="O79" s="33">
        <f t="shared" si="20"/>
        <v>1</v>
      </c>
      <c r="P79" s="33">
        <f t="shared" si="21"/>
        <v>0</v>
      </c>
      <c r="Q79" s="33">
        <f t="shared" si="22"/>
        <v>0</v>
      </c>
      <c r="R79" s="19">
        <v>0</v>
      </c>
      <c r="S79" s="30">
        <v>105.984431230882</v>
      </c>
      <c r="T79" s="12">
        <f t="shared" si="23"/>
        <v>44.43229575142233</v>
      </c>
    </row>
    <row r="80" spans="1:20" ht="15" x14ac:dyDescent="0.2">
      <c r="A80" s="19">
        <v>1</v>
      </c>
      <c r="B80" s="19" t="s">
        <v>9</v>
      </c>
      <c r="C80" s="19" t="s">
        <v>10</v>
      </c>
      <c r="D80" s="19">
        <v>438</v>
      </c>
      <c r="E80" s="28">
        <v>54383.006553278698</v>
      </c>
      <c r="F80" s="29">
        <v>44256</v>
      </c>
      <c r="G80" s="32" t="str">
        <f t="shared" si="15"/>
        <v>March</v>
      </c>
      <c r="H80" s="19" t="s">
        <v>22</v>
      </c>
      <c r="I80" s="38">
        <f t="shared" si="13"/>
        <v>3</v>
      </c>
      <c r="J80" s="34">
        <f t="shared" si="14"/>
        <v>3</v>
      </c>
      <c r="K80" s="33">
        <f t="shared" si="16"/>
        <v>0</v>
      </c>
      <c r="L80" s="33">
        <f t="shared" si="17"/>
        <v>1</v>
      </c>
      <c r="M80" s="33">
        <f t="shared" si="18"/>
        <v>0</v>
      </c>
      <c r="N80" s="33">
        <f t="shared" si="19"/>
        <v>0</v>
      </c>
      <c r="O80" s="33">
        <f t="shared" si="20"/>
        <v>0</v>
      </c>
      <c r="P80" s="33">
        <f t="shared" si="21"/>
        <v>1</v>
      </c>
      <c r="Q80" s="33">
        <f t="shared" si="22"/>
        <v>0</v>
      </c>
      <c r="R80" s="19">
        <v>1</v>
      </c>
      <c r="S80" s="30">
        <v>51.842771873821697</v>
      </c>
      <c r="T80" s="12">
        <f t="shared" si="23"/>
        <v>124.16211541844451</v>
      </c>
    </row>
    <row r="81" spans="1:22" ht="15" x14ac:dyDescent="0.2">
      <c r="A81" s="19">
        <v>4</v>
      </c>
      <c r="B81" s="19" t="s">
        <v>16</v>
      </c>
      <c r="C81" s="19" t="s">
        <v>17</v>
      </c>
      <c r="D81" s="19">
        <v>598</v>
      </c>
      <c r="E81" s="28">
        <v>37924.395218758596</v>
      </c>
      <c r="F81" s="29">
        <v>44256</v>
      </c>
      <c r="G81" s="32" t="str">
        <f t="shared" si="15"/>
        <v>March</v>
      </c>
      <c r="H81" s="19" t="s">
        <v>22</v>
      </c>
      <c r="I81" s="38">
        <f t="shared" si="13"/>
        <v>3</v>
      </c>
      <c r="J81" s="34">
        <f t="shared" si="14"/>
        <v>3</v>
      </c>
      <c r="K81" s="33">
        <f t="shared" si="16"/>
        <v>0</v>
      </c>
      <c r="L81" s="33">
        <f t="shared" si="17"/>
        <v>0</v>
      </c>
      <c r="M81" s="33">
        <f t="shared" si="18"/>
        <v>1</v>
      </c>
      <c r="N81" s="33">
        <f t="shared" si="19"/>
        <v>0</v>
      </c>
      <c r="O81" s="33">
        <f t="shared" si="20"/>
        <v>0</v>
      </c>
      <c r="P81" s="33">
        <f t="shared" si="21"/>
        <v>1</v>
      </c>
      <c r="Q81" s="33">
        <f t="shared" si="22"/>
        <v>0</v>
      </c>
      <c r="R81" s="19">
        <v>0</v>
      </c>
      <c r="S81" s="30">
        <v>108.217046017627</v>
      </c>
      <c r="T81" s="12">
        <f t="shared" si="23"/>
        <v>63.418721101603005</v>
      </c>
    </row>
    <row r="82" spans="1:22" ht="15" x14ac:dyDescent="0.2">
      <c r="A82" s="19">
        <v>5</v>
      </c>
      <c r="B82" s="19" t="s">
        <v>18</v>
      </c>
      <c r="C82" s="19" t="s">
        <v>19</v>
      </c>
      <c r="D82" s="19">
        <v>1358</v>
      </c>
      <c r="E82" s="28">
        <v>54304.392856486702</v>
      </c>
      <c r="F82" s="29">
        <v>44256</v>
      </c>
      <c r="G82" s="32" t="str">
        <f t="shared" si="15"/>
        <v>March</v>
      </c>
      <c r="H82" s="19" t="s">
        <v>22</v>
      </c>
      <c r="I82" s="38">
        <f t="shared" si="13"/>
        <v>3</v>
      </c>
      <c r="J82" s="34">
        <f t="shared" si="14"/>
        <v>3</v>
      </c>
      <c r="K82" s="33">
        <f t="shared" si="16"/>
        <v>1</v>
      </c>
      <c r="L82" s="33">
        <f t="shared" si="17"/>
        <v>0</v>
      </c>
      <c r="M82" s="33">
        <f t="shared" si="18"/>
        <v>0</v>
      </c>
      <c r="N82" s="33">
        <f t="shared" si="19"/>
        <v>0</v>
      </c>
      <c r="O82" s="33">
        <f t="shared" si="20"/>
        <v>0</v>
      </c>
      <c r="P82" s="33">
        <f t="shared" si="21"/>
        <v>1</v>
      </c>
      <c r="Q82" s="33">
        <f t="shared" si="22"/>
        <v>0</v>
      </c>
      <c r="R82" s="19">
        <v>0</v>
      </c>
      <c r="S82" s="30">
        <v>135.241465919864</v>
      </c>
      <c r="T82" s="12">
        <f t="shared" si="23"/>
        <v>39.988507258090358</v>
      </c>
    </row>
    <row r="83" spans="1:22" ht="15" x14ac:dyDescent="0.2">
      <c r="A83" s="19">
        <v>1</v>
      </c>
      <c r="B83" s="19" t="s">
        <v>9</v>
      </c>
      <c r="C83" s="19" t="s">
        <v>10</v>
      </c>
      <c r="D83" s="19">
        <v>473</v>
      </c>
      <c r="E83" s="28">
        <v>10000</v>
      </c>
      <c r="F83" s="29">
        <v>44287</v>
      </c>
      <c r="G83" s="32" t="str">
        <f t="shared" si="15"/>
        <v>April</v>
      </c>
      <c r="H83" s="19" t="s">
        <v>22</v>
      </c>
      <c r="I83" s="38">
        <f t="shared" si="13"/>
        <v>3</v>
      </c>
      <c r="J83" s="34">
        <f t="shared" si="14"/>
        <v>4</v>
      </c>
      <c r="K83" s="33">
        <f t="shared" si="16"/>
        <v>0</v>
      </c>
      <c r="L83" s="33">
        <f t="shared" si="17"/>
        <v>1</v>
      </c>
      <c r="M83" s="33">
        <f t="shared" si="18"/>
        <v>0</v>
      </c>
      <c r="N83" s="33">
        <f t="shared" si="19"/>
        <v>0</v>
      </c>
      <c r="O83" s="33">
        <f t="shared" si="20"/>
        <v>0</v>
      </c>
      <c r="P83" s="33">
        <f t="shared" si="21"/>
        <v>1</v>
      </c>
      <c r="Q83" s="33">
        <f t="shared" si="22"/>
        <v>0</v>
      </c>
      <c r="R83" s="19">
        <v>0</v>
      </c>
      <c r="S83" s="30">
        <v>75.250874968838204</v>
      </c>
      <c r="T83" s="12">
        <f t="shared" si="23"/>
        <v>21.141649048625794</v>
      </c>
    </row>
    <row r="84" spans="1:22" ht="15" x14ac:dyDescent="0.2">
      <c r="A84" s="19">
        <v>4</v>
      </c>
      <c r="B84" s="19" t="s">
        <v>16</v>
      </c>
      <c r="C84" s="19" t="s">
        <v>17</v>
      </c>
      <c r="D84" s="19">
        <v>592</v>
      </c>
      <c r="E84" s="28">
        <v>61556.337817622698</v>
      </c>
      <c r="F84" s="29">
        <v>44287</v>
      </c>
      <c r="G84" s="32" t="str">
        <f t="shared" si="15"/>
        <v>April</v>
      </c>
      <c r="H84" s="19" t="s">
        <v>22</v>
      </c>
      <c r="I84" s="38">
        <f t="shared" si="13"/>
        <v>3</v>
      </c>
      <c r="J84" s="34">
        <f t="shared" si="14"/>
        <v>4</v>
      </c>
      <c r="K84" s="33">
        <f t="shared" si="16"/>
        <v>0</v>
      </c>
      <c r="L84" s="33">
        <f t="shared" si="17"/>
        <v>0</v>
      </c>
      <c r="M84" s="33">
        <f t="shared" si="18"/>
        <v>1</v>
      </c>
      <c r="N84" s="33">
        <f t="shared" si="19"/>
        <v>0</v>
      </c>
      <c r="O84" s="33">
        <f t="shared" si="20"/>
        <v>0</v>
      </c>
      <c r="P84" s="33">
        <f t="shared" si="21"/>
        <v>1</v>
      </c>
      <c r="Q84" s="33">
        <f t="shared" si="22"/>
        <v>0</v>
      </c>
      <c r="R84" s="19">
        <v>1</v>
      </c>
      <c r="S84" s="30">
        <v>115.451121428113</v>
      </c>
      <c r="T84" s="12">
        <f t="shared" si="23"/>
        <v>103.98030036760591</v>
      </c>
    </row>
    <row r="85" spans="1:22" ht="15" x14ac:dyDescent="0.2">
      <c r="A85" s="19">
        <v>5</v>
      </c>
      <c r="B85" s="19" t="s">
        <v>18</v>
      </c>
      <c r="C85" s="19" t="s">
        <v>19</v>
      </c>
      <c r="D85" s="19">
        <v>933</v>
      </c>
      <c r="E85" s="28">
        <v>65591.241137996796</v>
      </c>
      <c r="F85" s="29">
        <v>44287</v>
      </c>
      <c r="G85" s="32" t="str">
        <f t="shared" si="15"/>
        <v>April</v>
      </c>
      <c r="H85" s="19" t="s">
        <v>22</v>
      </c>
      <c r="I85" s="38">
        <f t="shared" si="13"/>
        <v>3</v>
      </c>
      <c r="J85" s="34">
        <f t="shared" si="14"/>
        <v>4</v>
      </c>
      <c r="K85" s="33">
        <f t="shared" si="16"/>
        <v>1</v>
      </c>
      <c r="L85" s="33">
        <f t="shared" si="17"/>
        <v>0</v>
      </c>
      <c r="M85" s="33">
        <f t="shared" si="18"/>
        <v>0</v>
      </c>
      <c r="N85" s="33">
        <f t="shared" si="19"/>
        <v>0</v>
      </c>
      <c r="O85" s="33">
        <f t="shared" si="20"/>
        <v>0</v>
      </c>
      <c r="P85" s="33">
        <f t="shared" si="21"/>
        <v>1</v>
      </c>
      <c r="Q85" s="33">
        <f t="shared" si="22"/>
        <v>0</v>
      </c>
      <c r="R85" s="19">
        <v>0</v>
      </c>
      <c r="S85" s="30">
        <v>140.952451094781</v>
      </c>
      <c r="T85" s="12">
        <f t="shared" si="23"/>
        <v>70.301437446941904</v>
      </c>
    </row>
    <row r="86" spans="1:22" ht="15" x14ac:dyDescent="0.2">
      <c r="A86" s="19">
        <v>1</v>
      </c>
      <c r="B86" s="19" t="s">
        <v>9</v>
      </c>
      <c r="C86" s="19" t="s">
        <v>10</v>
      </c>
      <c r="D86" s="19">
        <v>451</v>
      </c>
      <c r="E86" s="28">
        <v>57041.1079302859</v>
      </c>
      <c r="F86" s="29">
        <v>44317</v>
      </c>
      <c r="G86" s="32" t="str">
        <f t="shared" si="15"/>
        <v>May</v>
      </c>
      <c r="H86" s="19" t="s">
        <v>22</v>
      </c>
      <c r="I86" s="38">
        <f t="shared" si="13"/>
        <v>3</v>
      </c>
      <c r="J86" s="34">
        <f t="shared" si="14"/>
        <v>5</v>
      </c>
      <c r="K86" s="33">
        <f t="shared" si="16"/>
        <v>0</v>
      </c>
      <c r="L86" s="33">
        <f t="shared" si="17"/>
        <v>1</v>
      </c>
      <c r="M86" s="33">
        <f t="shared" si="18"/>
        <v>0</v>
      </c>
      <c r="N86" s="33">
        <f t="shared" si="19"/>
        <v>0</v>
      </c>
      <c r="O86" s="33">
        <f t="shared" si="20"/>
        <v>0</v>
      </c>
      <c r="P86" s="33">
        <f t="shared" si="21"/>
        <v>1</v>
      </c>
      <c r="Q86" s="33">
        <f t="shared" si="22"/>
        <v>0</v>
      </c>
      <c r="R86" s="19">
        <v>0</v>
      </c>
      <c r="S86" s="30">
        <v>70.035914354871196</v>
      </c>
      <c r="T86" s="12">
        <f t="shared" si="23"/>
        <v>126.47695771682018</v>
      </c>
    </row>
    <row r="87" spans="1:22" ht="15" x14ac:dyDescent="0.2">
      <c r="A87" s="19">
        <v>4</v>
      </c>
      <c r="B87" s="19" t="s">
        <v>16</v>
      </c>
      <c r="C87" s="19" t="s">
        <v>17</v>
      </c>
      <c r="D87" s="19">
        <v>825</v>
      </c>
      <c r="E87" s="28">
        <v>10000</v>
      </c>
      <c r="F87" s="29">
        <v>44317</v>
      </c>
      <c r="G87" s="32" t="str">
        <f t="shared" si="15"/>
        <v>May</v>
      </c>
      <c r="H87" s="19" t="s">
        <v>22</v>
      </c>
      <c r="I87" s="38">
        <f t="shared" si="13"/>
        <v>3</v>
      </c>
      <c r="J87" s="34">
        <f t="shared" si="14"/>
        <v>5</v>
      </c>
      <c r="K87" s="33">
        <f t="shared" si="16"/>
        <v>0</v>
      </c>
      <c r="L87" s="33">
        <f t="shared" si="17"/>
        <v>0</v>
      </c>
      <c r="M87" s="33">
        <f t="shared" si="18"/>
        <v>1</v>
      </c>
      <c r="N87" s="33">
        <f t="shared" si="19"/>
        <v>0</v>
      </c>
      <c r="O87" s="33">
        <f t="shared" si="20"/>
        <v>0</v>
      </c>
      <c r="P87" s="33">
        <f t="shared" si="21"/>
        <v>1</v>
      </c>
      <c r="Q87" s="33">
        <f t="shared" si="22"/>
        <v>0</v>
      </c>
      <c r="R87" s="19">
        <v>0</v>
      </c>
      <c r="S87" s="30">
        <v>112.622032163141</v>
      </c>
      <c r="T87" s="12">
        <f t="shared" si="23"/>
        <v>12.121212121212121</v>
      </c>
    </row>
    <row r="88" spans="1:22" ht="15" x14ac:dyDescent="0.2">
      <c r="A88" s="19">
        <v>5</v>
      </c>
      <c r="B88" s="19" t="s">
        <v>18</v>
      </c>
      <c r="C88" s="19" t="s">
        <v>19</v>
      </c>
      <c r="D88" s="19">
        <v>1058</v>
      </c>
      <c r="E88" s="28">
        <v>121270.112727655</v>
      </c>
      <c r="F88" s="29">
        <v>44317</v>
      </c>
      <c r="G88" s="32" t="str">
        <f t="shared" si="15"/>
        <v>May</v>
      </c>
      <c r="H88" s="19" t="s">
        <v>22</v>
      </c>
      <c r="I88" s="38">
        <f t="shared" si="13"/>
        <v>3</v>
      </c>
      <c r="J88" s="34">
        <f t="shared" si="14"/>
        <v>5</v>
      </c>
      <c r="K88" s="33">
        <f t="shared" si="16"/>
        <v>1</v>
      </c>
      <c r="L88" s="33">
        <f t="shared" si="17"/>
        <v>0</v>
      </c>
      <c r="M88" s="33">
        <f t="shared" si="18"/>
        <v>0</v>
      </c>
      <c r="N88" s="33">
        <f t="shared" si="19"/>
        <v>0</v>
      </c>
      <c r="O88" s="33">
        <f t="shared" si="20"/>
        <v>0</v>
      </c>
      <c r="P88" s="33">
        <f t="shared" si="21"/>
        <v>1</v>
      </c>
      <c r="Q88" s="33">
        <f t="shared" si="22"/>
        <v>0</v>
      </c>
      <c r="R88" s="19">
        <v>1</v>
      </c>
      <c r="S88" s="30">
        <v>96.209729076566006</v>
      </c>
      <c r="T88" s="12">
        <f t="shared" si="23"/>
        <v>114.62203471422967</v>
      </c>
    </row>
    <row r="89" spans="1:22" ht="15" x14ac:dyDescent="0.2">
      <c r="A89" s="19">
        <v>1</v>
      </c>
      <c r="B89" s="19" t="s">
        <v>9</v>
      </c>
      <c r="C89" s="19" t="s">
        <v>10</v>
      </c>
      <c r="D89" s="19">
        <v>351</v>
      </c>
      <c r="E89" s="28">
        <v>49714.219372200598</v>
      </c>
      <c r="F89" s="29">
        <v>44348</v>
      </c>
      <c r="G89" s="32" t="str">
        <f t="shared" si="15"/>
        <v>June</v>
      </c>
      <c r="H89" s="19" t="s">
        <v>23</v>
      </c>
      <c r="I89" s="38">
        <f t="shared" si="13"/>
        <v>4</v>
      </c>
      <c r="J89" s="34">
        <f t="shared" si="14"/>
        <v>6</v>
      </c>
      <c r="K89" s="33">
        <f t="shared" si="16"/>
        <v>0</v>
      </c>
      <c r="L89" s="33">
        <f t="shared" si="17"/>
        <v>1</v>
      </c>
      <c r="M89" s="33">
        <f t="shared" si="18"/>
        <v>0</v>
      </c>
      <c r="N89" s="33">
        <f t="shared" si="19"/>
        <v>0</v>
      </c>
      <c r="O89" s="33">
        <f t="shared" si="20"/>
        <v>0</v>
      </c>
      <c r="P89" s="33">
        <f t="shared" si="21"/>
        <v>0</v>
      </c>
      <c r="Q89" s="33">
        <f t="shared" si="22"/>
        <v>1</v>
      </c>
      <c r="R89" s="19">
        <v>1</v>
      </c>
      <c r="S89" s="30">
        <v>82.592546395207407</v>
      </c>
      <c r="T89" s="12">
        <f t="shared" si="23"/>
        <v>141.63595262735214</v>
      </c>
    </row>
    <row r="90" spans="1:22" ht="15" x14ac:dyDescent="0.2">
      <c r="A90" s="19">
        <v>4</v>
      </c>
      <c r="B90" s="19" t="s">
        <v>16</v>
      </c>
      <c r="C90" s="19" t="s">
        <v>17</v>
      </c>
      <c r="D90" s="19">
        <v>743</v>
      </c>
      <c r="E90" s="28">
        <v>64841.691770475903</v>
      </c>
      <c r="F90" s="29">
        <v>44348</v>
      </c>
      <c r="G90" s="32" t="str">
        <f t="shared" si="15"/>
        <v>June</v>
      </c>
      <c r="H90" s="19" t="s">
        <v>23</v>
      </c>
      <c r="I90" s="38">
        <f t="shared" si="13"/>
        <v>4</v>
      </c>
      <c r="J90" s="34">
        <f t="shared" si="14"/>
        <v>6</v>
      </c>
      <c r="K90" s="33">
        <f t="shared" si="16"/>
        <v>0</v>
      </c>
      <c r="L90" s="33">
        <f t="shared" si="17"/>
        <v>0</v>
      </c>
      <c r="M90" s="33">
        <f t="shared" si="18"/>
        <v>1</v>
      </c>
      <c r="N90" s="33">
        <f t="shared" si="19"/>
        <v>0</v>
      </c>
      <c r="O90" s="33">
        <f t="shared" si="20"/>
        <v>0</v>
      </c>
      <c r="P90" s="33">
        <f t="shared" si="21"/>
        <v>0</v>
      </c>
      <c r="Q90" s="33">
        <f t="shared" si="22"/>
        <v>1</v>
      </c>
      <c r="R90" s="19">
        <v>1</v>
      </c>
      <c r="S90" s="30">
        <v>127.985098889334</v>
      </c>
      <c r="T90" s="12">
        <f t="shared" si="23"/>
        <v>87.270110054476319</v>
      </c>
    </row>
    <row r="91" spans="1:22" ht="15" x14ac:dyDescent="0.2">
      <c r="A91" s="19">
        <v>5</v>
      </c>
      <c r="B91" s="19" t="s">
        <v>18</v>
      </c>
      <c r="C91" s="19" t="s">
        <v>19</v>
      </c>
      <c r="D91" s="19">
        <v>1287</v>
      </c>
      <c r="E91" s="28">
        <v>110299.313631413</v>
      </c>
      <c r="F91" s="29">
        <v>44348</v>
      </c>
      <c r="G91" s="32" t="str">
        <f t="shared" si="15"/>
        <v>June</v>
      </c>
      <c r="H91" s="19" t="s">
        <v>23</v>
      </c>
      <c r="I91" s="38">
        <f t="shared" si="13"/>
        <v>4</v>
      </c>
      <c r="J91" s="34">
        <f t="shared" si="14"/>
        <v>6</v>
      </c>
      <c r="K91" s="33">
        <f t="shared" si="16"/>
        <v>1</v>
      </c>
      <c r="L91" s="33">
        <f t="shared" si="17"/>
        <v>0</v>
      </c>
      <c r="M91" s="33">
        <f t="shared" si="18"/>
        <v>0</v>
      </c>
      <c r="N91" s="33">
        <f t="shared" si="19"/>
        <v>0</v>
      </c>
      <c r="O91" s="33">
        <f t="shared" si="20"/>
        <v>0</v>
      </c>
      <c r="P91" s="33">
        <f t="shared" si="21"/>
        <v>0</v>
      </c>
      <c r="Q91" s="33">
        <f t="shared" si="22"/>
        <v>1</v>
      </c>
      <c r="R91" s="19">
        <v>1</v>
      </c>
      <c r="S91" s="30">
        <v>111.815573431811</v>
      </c>
      <c r="T91" s="12">
        <f t="shared" si="23"/>
        <v>85.702652394260298</v>
      </c>
    </row>
    <row r="92" spans="1:22" ht="15" x14ac:dyDescent="0.2">
      <c r="A92" s="19">
        <v>1</v>
      </c>
      <c r="B92" s="19" t="s">
        <v>9</v>
      </c>
      <c r="C92" s="19" t="s">
        <v>10</v>
      </c>
      <c r="D92" s="19">
        <v>856</v>
      </c>
      <c r="E92" s="28">
        <v>51250.054664989497</v>
      </c>
      <c r="F92" s="29">
        <v>44378</v>
      </c>
      <c r="G92" s="32" t="str">
        <f t="shared" si="15"/>
        <v>July</v>
      </c>
      <c r="H92" s="19" t="s">
        <v>23</v>
      </c>
      <c r="I92" s="38">
        <f t="shared" si="13"/>
        <v>4</v>
      </c>
      <c r="J92" s="34">
        <f t="shared" si="14"/>
        <v>7</v>
      </c>
      <c r="K92" s="33">
        <f t="shared" si="16"/>
        <v>0</v>
      </c>
      <c r="L92" s="33">
        <f t="shared" si="17"/>
        <v>1</v>
      </c>
      <c r="M92" s="33">
        <f t="shared" si="18"/>
        <v>0</v>
      </c>
      <c r="N92" s="33">
        <f t="shared" si="19"/>
        <v>0</v>
      </c>
      <c r="O92" s="33">
        <f t="shared" si="20"/>
        <v>0</v>
      </c>
      <c r="P92" s="33">
        <f t="shared" si="21"/>
        <v>0</v>
      </c>
      <c r="Q92" s="33">
        <f t="shared" si="22"/>
        <v>1</v>
      </c>
      <c r="R92" s="19">
        <v>0</v>
      </c>
      <c r="S92" s="30">
        <v>85.062693120917999</v>
      </c>
      <c r="T92" s="12">
        <f t="shared" si="23"/>
        <v>59.871559188071842</v>
      </c>
      <c r="V92" s="42"/>
    </row>
    <row r="93" spans="1:22" ht="15" x14ac:dyDescent="0.2">
      <c r="A93" s="19">
        <v>4</v>
      </c>
      <c r="B93" s="19" t="s">
        <v>16</v>
      </c>
      <c r="C93" s="19" t="s">
        <v>17</v>
      </c>
      <c r="D93" s="19">
        <v>610</v>
      </c>
      <c r="E93" s="28">
        <v>55510.211246965002</v>
      </c>
      <c r="F93" s="29">
        <v>44378</v>
      </c>
      <c r="G93" s="32" t="str">
        <f t="shared" si="15"/>
        <v>July</v>
      </c>
      <c r="H93" s="19" t="s">
        <v>23</v>
      </c>
      <c r="I93" s="38">
        <f t="shared" si="13"/>
        <v>4</v>
      </c>
      <c r="J93" s="34">
        <f t="shared" si="14"/>
        <v>7</v>
      </c>
      <c r="K93" s="33">
        <f t="shared" si="16"/>
        <v>0</v>
      </c>
      <c r="L93" s="33">
        <f t="shared" si="17"/>
        <v>0</v>
      </c>
      <c r="M93" s="33">
        <f t="shared" si="18"/>
        <v>1</v>
      </c>
      <c r="N93" s="33">
        <f t="shared" si="19"/>
        <v>0</v>
      </c>
      <c r="O93" s="33">
        <f t="shared" si="20"/>
        <v>0</v>
      </c>
      <c r="P93" s="33">
        <f t="shared" si="21"/>
        <v>0</v>
      </c>
      <c r="Q93" s="33">
        <f t="shared" si="22"/>
        <v>1</v>
      </c>
      <c r="R93" s="19">
        <v>0</v>
      </c>
      <c r="S93" s="30">
        <v>139.62213026850301</v>
      </c>
      <c r="T93" s="12">
        <f t="shared" si="23"/>
        <v>91.000346306500006</v>
      </c>
      <c r="V93" s="42"/>
    </row>
    <row r="94" spans="1:22" ht="15" x14ac:dyDescent="0.2">
      <c r="A94" s="19">
        <v>5</v>
      </c>
      <c r="B94" s="19" t="s">
        <v>18</v>
      </c>
      <c r="C94" s="19" t="s">
        <v>19</v>
      </c>
      <c r="D94" s="19">
        <v>1422</v>
      </c>
      <c r="E94" s="28">
        <v>161494.35002616799</v>
      </c>
      <c r="F94" s="29">
        <v>44378</v>
      </c>
      <c r="G94" s="32" t="str">
        <f t="shared" si="15"/>
        <v>July</v>
      </c>
      <c r="H94" s="19" t="s">
        <v>23</v>
      </c>
      <c r="I94" s="38">
        <f t="shared" si="13"/>
        <v>4</v>
      </c>
      <c r="J94" s="34">
        <f t="shared" si="14"/>
        <v>7</v>
      </c>
      <c r="K94" s="33">
        <f t="shared" si="16"/>
        <v>1</v>
      </c>
      <c r="L94" s="33">
        <f t="shared" si="17"/>
        <v>0</v>
      </c>
      <c r="M94" s="33">
        <f t="shared" si="18"/>
        <v>0</v>
      </c>
      <c r="N94" s="33">
        <f t="shared" si="19"/>
        <v>0</v>
      </c>
      <c r="O94" s="33">
        <f t="shared" si="20"/>
        <v>0</v>
      </c>
      <c r="P94" s="33">
        <f t="shared" si="21"/>
        <v>0</v>
      </c>
      <c r="Q94" s="33">
        <f t="shared" si="22"/>
        <v>1</v>
      </c>
      <c r="R94" s="19">
        <v>1</v>
      </c>
      <c r="S94" s="30">
        <v>79.883588633731307</v>
      </c>
      <c r="T94" s="12">
        <f t="shared" si="23"/>
        <v>113.56845993401406</v>
      </c>
      <c r="V94" s="42"/>
    </row>
    <row r="95" spans="1:22" ht="15" x14ac:dyDescent="0.2">
      <c r="A95" s="19">
        <v>1</v>
      </c>
      <c r="B95" s="19" t="s">
        <v>9</v>
      </c>
      <c r="C95" s="19" t="s">
        <v>10</v>
      </c>
      <c r="D95" s="19">
        <v>763</v>
      </c>
      <c r="E95" s="28">
        <v>53951.992093847897</v>
      </c>
      <c r="F95" s="29">
        <v>44409</v>
      </c>
      <c r="G95" s="32" t="str">
        <f t="shared" si="15"/>
        <v>August</v>
      </c>
      <c r="H95" s="19" t="s">
        <v>23</v>
      </c>
      <c r="I95" s="38">
        <f t="shared" si="13"/>
        <v>4</v>
      </c>
      <c r="J95" s="34">
        <f t="shared" si="14"/>
        <v>8</v>
      </c>
      <c r="K95" s="33">
        <f t="shared" si="16"/>
        <v>0</v>
      </c>
      <c r="L95" s="33">
        <f t="shared" si="17"/>
        <v>1</v>
      </c>
      <c r="M95" s="33">
        <f t="shared" si="18"/>
        <v>0</v>
      </c>
      <c r="N95" s="33">
        <f t="shared" si="19"/>
        <v>0</v>
      </c>
      <c r="O95" s="33">
        <f t="shared" si="20"/>
        <v>0</v>
      </c>
      <c r="P95" s="33">
        <f t="shared" si="21"/>
        <v>0</v>
      </c>
      <c r="Q95" s="33">
        <f t="shared" si="22"/>
        <v>1</v>
      </c>
      <c r="R95" s="19">
        <v>1</v>
      </c>
      <c r="S95" s="30">
        <v>98.090383144898396</v>
      </c>
      <c r="T95" s="12">
        <f t="shared" si="23"/>
        <v>70.710343504387808</v>
      </c>
      <c r="V95" s="42"/>
    </row>
    <row r="96" spans="1:22" ht="15" x14ac:dyDescent="0.2">
      <c r="A96" s="19">
        <v>4</v>
      </c>
      <c r="B96" s="19" t="s">
        <v>16</v>
      </c>
      <c r="C96" s="19" t="s">
        <v>17</v>
      </c>
      <c r="D96" s="19">
        <v>601</v>
      </c>
      <c r="E96" s="28">
        <v>10051.773130809799</v>
      </c>
      <c r="F96" s="29">
        <v>44409</v>
      </c>
      <c r="G96" s="32" t="str">
        <f t="shared" si="15"/>
        <v>August</v>
      </c>
      <c r="H96" s="19" t="s">
        <v>23</v>
      </c>
      <c r="I96" s="38">
        <f t="shared" si="13"/>
        <v>4</v>
      </c>
      <c r="J96" s="34">
        <f t="shared" si="14"/>
        <v>8</v>
      </c>
      <c r="K96" s="33">
        <f t="shared" si="16"/>
        <v>0</v>
      </c>
      <c r="L96" s="33">
        <f t="shared" si="17"/>
        <v>0</v>
      </c>
      <c r="M96" s="33">
        <f t="shared" si="18"/>
        <v>1</v>
      </c>
      <c r="N96" s="33">
        <f t="shared" si="19"/>
        <v>0</v>
      </c>
      <c r="O96" s="33">
        <f t="shared" si="20"/>
        <v>0</v>
      </c>
      <c r="P96" s="33">
        <f t="shared" si="21"/>
        <v>0</v>
      </c>
      <c r="Q96" s="33">
        <f t="shared" si="22"/>
        <v>1</v>
      </c>
      <c r="R96" s="19">
        <v>0</v>
      </c>
      <c r="S96" s="30">
        <v>115.03256863469301</v>
      </c>
      <c r="T96" s="12">
        <f t="shared" si="23"/>
        <v>16.725080084542096</v>
      </c>
      <c r="V96" s="42"/>
    </row>
    <row r="97" spans="1:24" ht="15" x14ac:dyDescent="0.2">
      <c r="A97" s="19">
        <v>5</v>
      </c>
      <c r="B97" s="19" t="s">
        <v>18</v>
      </c>
      <c r="C97" s="19" t="s">
        <v>19</v>
      </c>
      <c r="D97" s="19">
        <v>1292</v>
      </c>
      <c r="E97" s="28">
        <v>79659.437242681903</v>
      </c>
      <c r="F97" s="29">
        <v>44409</v>
      </c>
      <c r="G97" s="32" t="str">
        <f t="shared" si="15"/>
        <v>August</v>
      </c>
      <c r="H97" s="19" t="s">
        <v>23</v>
      </c>
      <c r="I97" s="38">
        <f t="shared" si="13"/>
        <v>4</v>
      </c>
      <c r="J97" s="34">
        <f t="shared" si="14"/>
        <v>8</v>
      </c>
      <c r="K97" s="33">
        <f t="shared" si="16"/>
        <v>1</v>
      </c>
      <c r="L97" s="33">
        <f t="shared" si="17"/>
        <v>0</v>
      </c>
      <c r="M97" s="33">
        <f t="shared" si="18"/>
        <v>0</v>
      </c>
      <c r="N97" s="33">
        <f t="shared" si="19"/>
        <v>0</v>
      </c>
      <c r="O97" s="33">
        <f t="shared" si="20"/>
        <v>0</v>
      </c>
      <c r="P97" s="33">
        <f t="shared" si="21"/>
        <v>0</v>
      </c>
      <c r="Q97" s="33">
        <f t="shared" si="22"/>
        <v>1</v>
      </c>
      <c r="R97" s="19">
        <v>0</v>
      </c>
      <c r="S97" s="30">
        <v>96.262295673931604</v>
      </c>
      <c r="T97" s="12">
        <f t="shared" si="23"/>
        <v>61.655911178546361</v>
      </c>
      <c r="V97" s="42"/>
    </row>
    <row r="98" spans="1:24" ht="15" x14ac:dyDescent="0.2">
      <c r="A98" s="19">
        <v>1</v>
      </c>
      <c r="B98" s="19" t="s">
        <v>9</v>
      </c>
      <c r="C98" s="19" t="s">
        <v>10</v>
      </c>
      <c r="D98" s="19">
        <v>629</v>
      </c>
      <c r="E98" s="28">
        <v>77688.842233712901</v>
      </c>
      <c r="F98" s="29">
        <v>44440</v>
      </c>
      <c r="G98" s="32" t="str">
        <f t="shared" si="15"/>
        <v>September</v>
      </c>
      <c r="H98" s="19" t="s">
        <v>24</v>
      </c>
      <c r="I98" s="38">
        <f t="shared" ref="I98:I129" si="24">IF(H98="Spring",1,IF(H98="Summer",2,IF(H98="Autumn",3,4)))</f>
        <v>1</v>
      </c>
      <c r="J98" s="34">
        <f t="shared" ref="J98:J109" si="25">MONTH(F98)</f>
        <v>9</v>
      </c>
      <c r="K98" s="33">
        <f t="shared" si="16"/>
        <v>0</v>
      </c>
      <c r="L98" s="33">
        <f t="shared" si="17"/>
        <v>1</v>
      </c>
      <c r="M98" s="33">
        <f t="shared" si="18"/>
        <v>0</v>
      </c>
      <c r="N98" s="33">
        <f t="shared" si="19"/>
        <v>1</v>
      </c>
      <c r="O98" s="33">
        <f t="shared" si="20"/>
        <v>0</v>
      </c>
      <c r="P98" s="33">
        <f t="shared" si="21"/>
        <v>0</v>
      </c>
      <c r="Q98" s="33">
        <f t="shared" si="22"/>
        <v>0</v>
      </c>
      <c r="R98" s="19">
        <v>1</v>
      </c>
      <c r="S98" s="30">
        <v>148.764956373605</v>
      </c>
      <c r="T98" s="12">
        <f t="shared" si="23"/>
        <v>123.51167286758808</v>
      </c>
      <c r="V98" s="42"/>
    </row>
    <row r="99" spans="1:24" ht="15" x14ac:dyDescent="0.2">
      <c r="A99" s="19">
        <v>4</v>
      </c>
      <c r="B99" s="19" t="s">
        <v>16</v>
      </c>
      <c r="C99" s="19" t="s">
        <v>17</v>
      </c>
      <c r="D99" s="19">
        <v>828</v>
      </c>
      <c r="E99" s="28">
        <v>63046.457568268299</v>
      </c>
      <c r="F99" s="29">
        <v>44440</v>
      </c>
      <c r="G99" s="32" t="str">
        <f t="shared" si="15"/>
        <v>September</v>
      </c>
      <c r="H99" s="19" t="s">
        <v>24</v>
      </c>
      <c r="I99" s="38">
        <f t="shared" si="24"/>
        <v>1</v>
      </c>
      <c r="J99" s="34">
        <f t="shared" si="25"/>
        <v>9</v>
      </c>
      <c r="K99" s="33">
        <f t="shared" si="16"/>
        <v>0</v>
      </c>
      <c r="L99" s="33">
        <f t="shared" si="17"/>
        <v>0</v>
      </c>
      <c r="M99" s="33">
        <f t="shared" si="18"/>
        <v>1</v>
      </c>
      <c r="N99" s="33">
        <f t="shared" si="19"/>
        <v>1</v>
      </c>
      <c r="O99" s="33">
        <f t="shared" si="20"/>
        <v>0</v>
      </c>
      <c r="P99" s="33">
        <f t="shared" si="21"/>
        <v>0</v>
      </c>
      <c r="Q99" s="33">
        <f t="shared" si="22"/>
        <v>0</v>
      </c>
      <c r="R99" s="19">
        <v>1</v>
      </c>
      <c r="S99" s="30">
        <v>85.915102966623095</v>
      </c>
      <c r="T99" s="12">
        <f t="shared" si="23"/>
        <v>76.143064695976207</v>
      </c>
      <c r="V99" s="42"/>
    </row>
    <row r="100" spans="1:24" ht="15" x14ac:dyDescent="0.2">
      <c r="A100" s="19">
        <v>5</v>
      </c>
      <c r="B100" s="19" t="s">
        <v>18</v>
      </c>
      <c r="C100" s="19" t="s">
        <v>19</v>
      </c>
      <c r="D100" s="19">
        <v>1120</v>
      </c>
      <c r="E100" s="28">
        <v>79825.315806091399</v>
      </c>
      <c r="F100" s="29">
        <v>44440</v>
      </c>
      <c r="G100" s="32" t="str">
        <f t="shared" si="15"/>
        <v>September</v>
      </c>
      <c r="H100" s="19" t="s">
        <v>24</v>
      </c>
      <c r="I100" s="38">
        <f t="shared" si="24"/>
        <v>1</v>
      </c>
      <c r="J100" s="34">
        <f t="shared" si="25"/>
        <v>9</v>
      </c>
      <c r="K100" s="33">
        <f t="shared" si="16"/>
        <v>1</v>
      </c>
      <c r="L100" s="33">
        <f t="shared" si="17"/>
        <v>0</v>
      </c>
      <c r="M100" s="33">
        <f t="shared" si="18"/>
        <v>0</v>
      </c>
      <c r="N100" s="33">
        <f t="shared" si="19"/>
        <v>1</v>
      </c>
      <c r="O100" s="33">
        <f t="shared" si="20"/>
        <v>0</v>
      </c>
      <c r="P100" s="33">
        <f t="shared" si="21"/>
        <v>0</v>
      </c>
      <c r="Q100" s="33">
        <f t="shared" si="22"/>
        <v>0</v>
      </c>
      <c r="R100" s="19">
        <v>0</v>
      </c>
      <c r="S100" s="30">
        <v>73.579209395920898</v>
      </c>
      <c r="T100" s="12">
        <f t="shared" si="23"/>
        <v>71.272603398295885</v>
      </c>
      <c r="V100" s="42"/>
    </row>
    <row r="101" spans="1:24" ht="15" x14ac:dyDescent="0.2">
      <c r="A101" s="19">
        <v>1</v>
      </c>
      <c r="B101" s="19" t="s">
        <v>9</v>
      </c>
      <c r="C101" s="19" t="s">
        <v>10</v>
      </c>
      <c r="D101" s="19">
        <v>564</v>
      </c>
      <c r="E101" s="28">
        <v>44170.200420130197</v>
      </c>
      <c r="F101" s="29">
        <v>44470</v>
      </c>
      <c r="G101" s="32" t="str">
        <f t="shared" si="15"/>
        <v>October</v>
      </c>
      <c r="H101" s="19" t="s">
        <v>24</v>
      </c>
      <c r="I101" s="38">
        <f t="shared" si="24"/>
        <v>1</v>
      </c>
      <c r="J101" s="34">
        <f t="shared" si="25"/>
        <v>10</v>
      </c>
      <c r="K101" s="33">
        <f t="shared" si="16"/>
        <v>0</v>
      </c>
      <c r="L101" s="33">
        <f t="shared" si="17"/>
        <v>1</v>
      </c>
      <c r="M101" s="33">
        <f t="shared" si="18"/>
        <v>0</v>
      </c>
      <c r="N101" s="33">
        <f t="shared" si="19"/>
        <v>1</v>
      </c>
      <c r="O101" s="33">
        <f t="shared" si="20"/>
        <v>0</v>
      </c>
      <c r="P101" s="33">
        <f t="shared" si="21"/>
        <v>0</v>
      </c>
      <c r="Q101" s="33">
        <f t="shared" si="22"/>
        <v>0</v>
      </c>
      <c r="R101" s="19">
        <v>0</v>
      </c>
      <c r="S101" s="30">
        <v>93.716538881682595</v>
      </c>
      <c r="T101" s="12">
        <f t="shared" si="23"/>
        <v>78.315958191720213</v>
      </c>
      <c r="V101" s="42"/>
    </row>
    <row r="102" spans="1:24" ht="16" thickBot="1" x14ac:dyDescent="0.25">
      <c r="A102" s="19">
        <v>4</v>
      </c>
      <c r="B102" s="19" t="s">
        <v>16</v>
      </c>
      <c r="C102" s="19" t="s">
        <v>17</v>
      </c>
      <c r="D102" s="19">
        <v>325</v>
      </c>
      <c r="E102" s="28">
        <v>17475.645708225202</v>
      </c>
      <c r="F102" s="29">
        <v>44470</v>
      </c>
      <c r="G102" s="32" t="str">
        <f t="shared" si="15"/>
        <v>October</v>
      </c>
      <c r="H102" s="19" t="s">
        <v>24</v>
      </c>
      <c r="I102" s="38">
        <f t="shared" si="24"/>
        <v>1</v>
      </c>
      <c r="J102" s="34">
        <f t="shared" si="25"/>
        <v>10</v>
      </c>
      <c r="K102" s="33">
        <f t="shared" si="16"/>
        <v>0</v>
      </c>
      <c r="L102" s="33">
        <f t="shared" si="17"/>
        <v>0</v>
      </c>
      <c r="M102" s="33">
        <f t="shared" si="18"/>
        <v>1</v>
      </c>
      <c r="N102" s="33">
        <f t="shared" si="19"/>
        <v>1</v>
      </c>
      <c r="O102" s="33">
        <f t="shared" si="20"/>
        <v>0</v>
      </c>
      <c r="P102" s="33">
        <f t="shared" si="21"/>
        <v>0</v>
      </c>
      <c r="Q102" s="33">
        <f t="shared" si="22"/>
        <v>0</v>
      </c>
      <c r="R102" s="19">
        <v>0</v>
      </c>
      <c r="S102" s="30">
        <v>115.67366645412901</v>
      </c>
      <c r="T102" s="12">
        <f t="shared" si="23"/>
        <v>53.771217563769852</v>
      </c>
      <c r="V102" s="42"/>
    </row>
    <row r="103" spans="1:24" ht="15" x14ac:dyDescent="0.2">
      <c r="A103" s="19">
        <v>5</v>
      </c>
      <c r="B103" s="19" t="s">
        <v>18</v>
      </c>
      <c r="C103" s="19" t="s">
        <v>19</v>
      </c>
      <c r="D103" s="19">
        <v>1775</v>
      </c>
      <c r="E103" s="28">
        <v>108826.98552802</v>
      </c>
      <c r="F103" s="29">
        <v>44470</v>
      </c>
      <c r="G103" s="32" t="str">
        <f t="shared" si="15"/>
        <v>October</v>
      </c>
      <c r="H103" s="19" t="s">
        <v>24</v>
      </c>
      <c r="I103" s="38">
        <f t="shared" si="24"/>
        <v>1</v>
      </c>
      <c r="J103" s="34">
        <f t="shared" si="25"/>
        <v>10</v>
      </c>
      <c r="K103" s="33">
        <f t="shared" si="16"/>
        <v>1</v>
      </c>
      <c r="L103" s="33">
        <f t="shared" si="17"/>
        <v>0</v>
      </c>
      <c r="M103" s="33">
        <f t="shared" si="18"/>
        <v>0</v>
      </c>
      <c r="N103" s="33">
        <f t="shared" si="19"/>
        <v>1</v>
      </c>
      <c r="O103" s="33">
        <f t="shared" si="20"/>
        <v>0</v>
      </c>
      <c r="P103" s="33">
        <f t="shared" si="21"/>
        <v>0</v>
      </c>
      <c r="Q103" s="33">
        <f t="shared" si="22"/>
        <v>0</v>
      </c>
      <c r="R103" s="19">
        <v>0</v>
      </c>
      <c r="S103" s="30">
        <v>138.370966966075</v>
      </c>
      <c r="T103" s="12">
        <f t="shared" si="23"/>
        <v>61.310977762264791</v>
      </c>
      <c r="V103" s="61" t="s">
        <v>93</v>
      </c>
      <c r="W103" s="62" t="s">
        <v>94</v>
      </c>
      <c r="X103" s="63" t="s">
        <v>95</v>
      </c>
    </row>
    <row r="104" spans="1:24" ht="15" x14ac:dyDescent="0.2">
      <c r="A104" s="19">
        <v>1</v>
      </c>
      <c r="B104" s="19" t="s">
        <v>9</v>
      </c>
      <c r="C104" s="19" t="s">
        <v>10</v>
      </c>
      <c r="D104" s="67">
        <v>368</v>
      </c>
      <c r="E104" s="28">
        <v>44814.991148395398</v>
      </c>
      <c r="F104" s="29">
        <v>44501</v>
      </c>
      <c r="G104" s="32" t="str">
        <f t="shared" si="15"/>
        <v>November</v>
      </c>
      <c r="H104" s="19" t="s">
        <v>24</v>
      </c>
      <c r="I104" s="38">
        <f t="shared" si="24"/>
        <v>1</v>
      </c>
      <c r="J104" s="34">
        <f t="shared" si="25"/>
        <v>11</v>
      </c>
      <c r="K104" s="33">
        <f t="shared" si="16"/>
        <v>0</v>
      </c>
      <c r="L104" s="33">
        <f t="shared" si="17"/>
        <v>1</v>
      </c>
      <c r="M104" s="33">
        <f t="shared" si="18"/>
        <v>0</v>
      </c>
      <c r="N104" s="33">
        <f t="shared" si="19"/>
        <v>1</v>
      </c>
      <c r="O104" s="33">
        <f t="shared" si="20"/>
        <v>0</v>
      </c>
      <c r="P104" s="33">
        <f t="shared" si="21"/>
        <v>0</v>
      </c>
      <c r="Q104" s="33">
        <f t="shared" si="22"/>
        <v>0</v>
      </c>
      <c r="R104" s="19">
        <v>1</v>
      </c>
      <c r="S104" s="30">
        <v>108.78843711103799</v>
      </c>
      <c r="T104" s="12">
        <f t="shared" si="23"/>
        <v>121.77986725107445</v>
      </c>
      <c r="V104" s="68">
        <f>1256.43+9.04*$J104-683.09*$L104-683.97*$M104
-48.74*$O104-113.46*$P104+26.27*$Q104+54.55*$R104
+$S104-1.81*$T104</f>
        <v>615.69687738659331</v>
      </c>
      <c r="W104" s="42">
        <f>D104-V104</f>
        <v>-247.69687738659331</v>
      </c>
      <c r="X104" s="64">
        <f>(D104-V104)/D104</f>
        <v>-0.67308934072443838</v>
      </c>
    </row>
    <row r="105" spans="1:24" ht="15" x14ac:dyDescent="0.2">
      <c r="A105" s="19">
        <v>4</v>
      </c>
      <c r="B105" s="19" t="s">
        <v>16</v>
      </c>
      <c r="C105" s="19" t="s">
        <v>17</v>
      </c>
      <c r="D105" s="67">
        <v>915</v>
      </c>
      <c r="E105" s="28">
        <v>71895.674232798207</v>
      </c>
      <c r="F105" s="29">
        <v>44501</v>
      </c>
      <c r="G105" s="32" t="str">
        <f t="shared" si="15"/>
        <v>November</v>
      </c>
      <c r="H105" s="19" t="s">
        <v>24</v>
      </c>
      <c r="I105" s="38">
        <f t="shared" si="24"/>
        <v>1</v>
      </c>
      <c r="J105" s="34">
        <f t="shared" si="25"/>
        <v>11</v>
      </c>
      <c r="K105" s="33">
        <f t="shared" si="16"/>
        <v>0</v>
      </c>
      <c r="L105" s="33">
        <f t="shared" si="17"/>
        <v>0</v>
      </c>
      <c r="M105" s="33">
        <f t="shared" si="18"/>
        <v>1</v>
      </c>
      <c r="N105" s="33">
        <f t="shared" si="19"/>
        <v>1</v>
      </c>
      <c r="O105" s="33">
        <f t="shared" si="20"/>
        <v>0</v>
      </c>
      <c r="P105" s="33">
        <f t="shared" si="21"/>
        <v>0</v>
      </c>
      <c r="Q105" s="33">
        <f t="shared" si="22"/>
        <v>0</v>
      </c>
      <c r="R105" s="19">
        <v>1</v>
      </c>
      <c r="S105" s="30">
        <v>70.584121003676799</v>
      </c>
      <c r="T105" s="12">
        <f t="shared" si="23"/>
        <v>78.574507358249406</v>
      </c>
      <c r="V105" s="68">
        <f t="shared" ref="V105:V109" si="26">1256.43+9.04*$J105-683.09*$L105-683.97*$M105
-48.74*$O105-113.46*$P105+26.27*$Q105+54.55*$R105
+$S105-1.81*$T105</f>
        <v>654.81426268524547</v>
      </c>
      <c r="W105" s="42">
        <f t="shared" ref="W105:W109" si="27">D105-V105</f>
        <v>260.18573731475453</v>
      </c>
      <c r="X105" s="64">
        <f t="shared" ref="X105:X109" si="28">(D105-V105)/D105</f>
        <v>0.28435599706530551</v>
      </c>
    </row>
    <row r="106" spans="1:24" ht="15" x14ac:dyDescent="0.2">
      <c r="A106" s="19">
        <v>5</v>
      </c>
      <c r="B106" s="19" t="s">
        <v>18</v>
      </c>
      <c r="C106" s="19" t="s">
        <v>19</v>
      </c>
      <c r="D106" s="67">
        <v>1741</v>
      </c>
      <c r="E106" s="28">
        <v>96226.297138364302</v>
      </c>
      <c r="F106" s="29">
        <v>44501</v>
      </c>
      <c r="G106" s="32" t="str">
        <f t="shared" si="15"/>
        <v>November</v>
      </c>
      <c r="H106" s="19" t="s">
        <v>24</v>
      </c>
      <c r="I106" s="38">
        <f t="shared" si="24"/>
        <v>1</v>
      </c>
      <c r="J106" s="34">
        <f t="shared" si="25"/>
        <v>11</v>
      </c>
      <c r="K106" s="33">
        <f t="shared" si="16"/>
        <v>1</v>
      </c>
      <c r="L106" s="33">
        <f t="shared" si="17"/>
        <v>0</v>
      </c>
      <c r="M106" s="33">
        <f t="shared" si="18"/>
        <v>0</v>
      </c>
      <c r="N106" s="33">
        <f t="shared" si="19"/>
        <v>1</v>
      </c>
      <c r="O106" s="33">
        <f t="shared" si="20"/>
        <v>0</v>
      </c>
      <c r="P106" s="33">
        <f t="shared" si="21"/>
        <v>0</v>
      </c>
      <c r="Q106" s="33">
        <f t="shared" si="22"/>
        <v>0</v>
      </c>
      <c r="R106" s="19">
        <v>0</v>
      </c>
      <c r="S106" s="30">
        <v>103.11695280010299</v>
      </c>
      <c r="T106" s="12">
        <f t="shared" si="23"/>
        <v>55.270704846849114</v>
      </c>
      <c r="V106" s="68">
        <f t="shared" si="26"/>
        <v>1358.9469770273063</v>
      </c>
      <c r="W106" s="42">
        <f t="shared" si="27"/>
        <v>382.05302297269373</v>
      </c>
      <c r="X106" s="64">
        <f t="shared" si="28"/>
        <v>0.21944458528012276</v>
      </c>
    </row>
    <row r="107" spans="1:24" ht="15" x14ac:dyDescent="0.2">
      <c r="A107" s="19">
        <v>1</v>
      </c>
      <c r="B107" s="19" t="s">
        <v>9</v>
      </c>
      <c r="C107" s="19" t="s">
        <v>10</v>
      </c>
      <c r="D107" s="67">
        <v>538</v>
      </c>
      <c r="E107" s="28">
        <v>32108.735351724299</v>
      </c>
      <c r="F107" s="29">
        <v>44531</v>
      </c>
      <c r="G107" s="32" t="str">
        <f t="shared" si="15"/>
        <v>December</v>
      </c>
      <c r="H107" s="19" t="s">
        <v>11</v>
      </c>
      <c r="I107" s="38">
        <f t="shared" si="24"/>
        <v>2</v>
      </c>
      <c r="J107" s="34">
        <f t="shared" si="25"/>
        <v>12</v>
      </c>
      <c r="K107" s="33">
        <f t="shared" si="16"/>
        <v>0</v>
      </c>
      <c r="L107" s="33">
        <f t="shared" si="17"/>
        <v>1</v>
      </c>
      <c r="M107" s="33">
        <f t="shared" si="18"/>
        <v>0</v>
      </c>
      <c r="N107" s="33">
        <f t="shared" si="19"/>
        <v>0</v>
      </c>
      <c r="O107" s="33">
        <f t="shared" si="20"/>
        <v>1</v>
      </c>
      <c r="P107" s="33">
        <f t="shared" si="21"/>
        <v>0</v>
      </c>
      <c r="Q107" s="33">
        <f t="shared" si="22"/>
        <v>0</v>
      </c>
      <c r="R107" s="19">
        <v>1</v>
      </c>
      <c r="S107" s="30">
        <v>64.834320096208799</v>
      </c>
      <c r="T107" s="12">
        <f t="shared" si="23"/>
        <v>59.681664222535872</v>
      </c>
      <c r="V107" s="68">
        <f t="shared" si="26"/>
        <v>644.44050785341881</v>
      </c>
      <c r="W107" s="42">
        <f t="shared" si="27"/>
        <v>-106.44050785341881</v>
      </c>
      <c r="X107" s="64">
        <f t="shared" si="28"/>
        <v>-0.19784481013646618</v>
      </c>
    </row>
    <row r="108" spans="1:24" ht="15" x14ac:dyDescent="0.2">
      <c r="A108" s="19">
        <v>4</v>
      </c>
      <c r="B108" s="19" t="s">
        <v>16</v>
      </c>
      <c r="C108" s="19" t="s">
        <v>17</v>
      </c>
      <c r="D108" s="67">
        <v>312</v>
      </c>
      <c r="E108" s="28">
        <v>62885.363190185999</v>
      </c>
      <c r="F108" s="29">
        <v>44531</v>
      </c>
      <c r="G108" s="32" t="str">
        <f t="shared" si="15"/>
        <v>December</v>
      </c>
      <c r="H108" s="19" t="s">
        <v>11</v>
      </c>
      <c r="I108" s="38">
        <f t="shared" si="24"/>
        <v>2</v>
      </c>
      <c r="J108" s="34">
        <f t="shared" si="25"/>
        <v>12</v>
      </c>
      <c r="K108" s="33">
        <f t="shared" si="16"/>
        <v>0</v>
      </c>
      <c r="L108" s="33">
        <f t="shared" si="17"/>
        <v>0</v>
      </c>
      <c r="M108" s="33">
        <f t="shared" si="18"/>
        <v>1</v>
      </c>
      <c r="N108" s="33">
        <f t="shared" si="19"/>
        <v>0</v>
      </c>
      <c r="O108" s="33">
        <f t="shared" si="20"/>
        <v>1</v>
      </c>
      <c r="P108" s="33">
        <f t="shared" si="21"/>
        <v>0</v>
      </c>
      <c r="Q108" s="33">
        <f t="shared" si="22"/>
        <v>0</v>
      </c>
      <c r="R108" s="19">
        <v>0</v>
      </c>
      <c r="S108" s="30">
        <v>66.238189466232001</v>
      </c>
      <c r="T108" s="12">
        <f t="shared" si="23"/>
        <v>201.55565125059616</v>
      </c>
      <c r="V108" s="68">
        <f t="shared" si="26"/>
        <v>333.62246070265303</v>
      </c>
      <c r="W108" s="42">
        <f t="shared" si="27"/>
        <v>-21.622460702653029</v>
      </c>
      <c r="X108" s="64">
        <f t="shared" si="28"/>
        <v>-6.9302758662349459E-2</v>
      </c>
    </row>
    <row r="109" spans="1:24" ht="16" thickBot="1" x14ac:dyDescent="0.25">
      <c r="A109" s="19">
        <v>5</v>
      </c>
      <c r="B109" s="19" t="s">
        <v>18</v>
      </c>
      <c r="C109" s="19" t="s">
        <v>19</v>
      </c>
      <c r="D109" s="67">
        <v>1179</v>
      </c>
      <c r="E109" s="28">
        <v>75697.807473715293</v>
      </c>
      <c r="F109" s="29">
        <v>44531</v>
      </c>
      <c r="G109" s="32" t="str">
        <f t="shared" si="15"/>
        <v>December</v>
      </c>
      <c r="H109" s="19" t="s">
        <v>11</v>
      </c>
      <c r="I109" s="38">
        <f t="shared" si="24"/>
        <v>2</v>
      </c>
      <c r="J109" s="34">
        <f t="shared" si="25"/>
        <v>12</v>
      </c>
      <c r="K109" s="33">
        <f t="shared" si="16"/>
        <v>1</v>
      </c>
      <c r="L109" s="33">
        <f t="shared" si="17"/>
        <v>0</v>
      </c>
      <c r="M109" s="33">
        <f t="shared" si="18"/>
        <v>0</v>
      </c>
      <c r="N109" s="33">
        <f t="shared" si="19"/>
        <v>0</v>
      </c>
      <c r="O109" s="33">
        <f t="shared" si="20"/>
        <v>1</v>
      </c>
      <c r="P109" s="33">
        <f t="shared" si="21"/>
        <v>0</v>
      </c>
      <c r="Q109" s="33">
        <f t="shared" si="22"/>
        <v>0</v>
      </c>
      <c r="R109" s="19">
        <v>0</v>
      </c>
      <c r="S109" s="30">
        <v>94.375021930457095</v>
      </c>
      <c r="T109" s="12">
        <f t="shared" si="23"/>
        <v>64.205095397553265</v>
      </c>
      <c r="V109" s="69">
        <f t="shared" si="26"/>
        <v>1294.3337992608856</v>
      </c>
      <c r="W109" s="57">
        <f t="shared" si="27"/>
        <v>-115.3337992608856</v>
      </c>
      <c r="X109" s="65">
        <f t="shared" si="28"/>
        <v>-9.7823409042311793E-2</v>
      </c>
    </row>
    <row r="110" spans="1:24" ht="15" thickBot="1" x14ac:dyDescent="0.2"/>
    <row r="111" spans="1:24" x14ac:dyDescent="0.15">
      <c r="A111" s="43" t="s">
        <v>96</v>
      </c>
      <c r="B111" s="44"/>
      <c r="C111" s="44"/>
      <c r="D111" s="44"/>
      <c r="E111" s="45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6"/>
      <c r="T111" s="47"/>
    </row>
    <row r="112" spans="1:24" x14ac:dyDescent="0.15">
      <c r="A112" s="48">
        <v>1</v>
      </c>
      <c r="B112" s="19" t="s">
        <v>9</v>
      </c>
      <c r="D112" s="49">
        <f>1256.43+9.04*$J112-683.09*$L112-683.97*$M112
-48.74*$O112-113.46*$P112+26.27*$Q112+54.55*$R112
+$S112-1.81*$T112</f>
        <v>137.39210352815644</v>
      </c>
      <c r="E112" s="28">
        <f>D112*T112</f>
        <v>45279.786181994612</v>
      </c>
      <c r="F112" s="29">
        <v>44562</v>
      </c>
      <c r="G112" s="29" t="str">
        <f>TEXT(F112, "mmmm")</f>
        <v>January</v>
      </c>
      <c r="H112" s="19" t="s">
        <v>11</v>
      </c>
      <c r="J112" s="42">
        <f t="shared" ref="J112:J120" si="29">MONTH(F112)</f>
        <v>1</v>
      </c>
      <c r="K112" s="19">
        <f>IF(B112="Headphones",1,0)</f>
        <v>0</v>
      </c>
      <c r="L112" s="19">
        <f>IF(B112="Smartphone",1,0)</f>
        <v>1</v>
      </c>
      <c r="M112" s="19">
        <f>IF(B112="Smartwatch",1,0)</f>
        <v>0</v>
      </c>
      <c r="N112" s="19">
        <f>IF(H112="Spring", 1, 0)</f>
        <v>0</v>
      </c>
      <c r="O112" s="19">
        <f>IF(H112="Summer", 1, 0)</f>
        <v>1</v>
      </c>
      <c r="P112" s="19">
        <f>IF(H112="Autumn", 1, 0)</f>
        <v>0</v>
      </c>
      <c r="Q112" s="19">
        <f>IF(H112="Winter", 1, 0)</f>
        <v>0</v>
      </c>
      <c r="R112" s="50">
        <v>1</v>
      </c>
      <c r="S112" s="51">
        <f>AVERAGE($S$2:$S$10)*1.4</f>
        <v>145.71682951904666</v>
      </c>
      <c r="T112" s="52">
        <f>AVERAGE($T$2,$T$5,$T$8)*1.1</f>
        <v>329.56614695629287</v>
      </c>
    </row>
    <row r="113" spans="1:20" x14ac:dyDescent="0.15">
      <c r="A113" s="48">
        <v>4</v>
      </c>
      <c r="B113" s="19" t="s">
        <v>16</v>
      </c>
      <c r="D113" s="49">
        <f t="shared" ref="D113:D120" si="30">1256.43+9.04*$J113-683.09*$L113-683.97*$M113
-48.74*$O113-113.46*$P113+26.27*$Q113+54.55*$R113
+$S113-1.81*$T113</f>
        <v>349.8418819581691</v>
      </c>
      <c r="E113" s="28">
        <f t="shared" ref="E113:E120" si="31">D113*T113</f>
        <v>72051.30839883328</v>
      </c>
      <c r="F113" s="29">
        <v>44562</v>
      </c>
      <c r="G113" s="29" t="str">
        <f t="shared" ref="G113:G120" si="32">TEXT(F113, "mmmm")</f>
        <v>January</v>
      </c>
      <c r="H113" s="19" t="s">
        <v>11</v>
      </c>
      <c r="J113" s="42">
        <f t="shared" si="29"/>
        <v>1</v>
      </c>
      <c r="K113" s="19">
        <f t="shared" ref="K113:K120" si="33">IF(B113="Headphones",1,0)</f>
        <v>0</v>
      </c>
      <c r="L113" s="19">
        <f t="shared" ref="L113:L120" si="34">IF(B113="Smartphone",1,0)</f>
        <v>0</v>
      </c>
      <c r="M113" s="19">
        <f t="shared" ref="M113:M120" si="35">IF(B113="Smartwatch",1,0)</f>
        <v>1</v>
      </c>
      <c r="N113" s="19">
        <f t="shared" ref="N113:N120" si="36">IF(H113="Spring", 1, 0)</f>
        <v>0</v>
      </c>
      <c r="O113" s="19">
        <f t="shared" ref="O113:O120" si="37">IF(H113="Summer", 1, 0)</f>
        <v>1</v>
      </c>
      <c r="P113" s="19">
        <f t="shared" ref="P113:P120" si="38">IF(H113="Autumn", 1, 0)</f>
        <v>0</v>
      </c>
      <c r="Q113" s="19">
        <f t="shared" ref="Q113:Q120" si="39">IF(H113="Winter", 1, 0)</f>
        <v>0</v>
      </c>
      <c r="R113" s="50">
        <v>1</v>
      </c>
      <c r="S113" s="51">
        <f>AVERAGE($S$2:$S$10)*1.3</f>
        <v>135.30848455340049</v>
      </c>
      <c r="T113" s="52">
        <f>AVERAGE($T$3,$T$6,$T$9)*1.1</f>
        <v>205.95392408576316</v>
      </c>
    </row>
    <row r="114" spans="1:20" x14ac:dyDescent="0.15">
      <c r="A114" s="48">
        <v>5</v>
      </c>
      <c r="B114" s="19" t="s">
        <v>18</v>
      </c>
      <c r="D114" s="49">
        <f t="shared" si="30"/>
        <v>1117.515279619653</v>
      </c>
      <c r="E114" s="28">
        <f t="shared" si="31"/>
        <v>172050.96072233364</v>
      </c>
      <c r="F114" s="29">
        <v>44562</v>
      </c>
      <c r="G114" s="29" t="str">
        <f t="shared" si="32"/>
        <v>January</v>
      </c>
      <c r="H114" s="19" t="s">
        <v>11</v>
      </c>
      <c r="J114" s="42">
        <f t="shared" si="29"/>
        <v>1</v>
      </c>
      <c r="K114" s="19">
        <f t="shared" si="33"/>
        <v>1</v>
      </c>
      <c r="L114" s="19">
        <f t="shared" si="34"/>
        <v>0</v>
      </c>
      <c r="M114" s="19">
        <f t="shared" si="35"/>
        <v>0</v>
      </c>
      <c r="N114" s="19">
        <f t="shared" si="36"/>
        <v>0</v>
      </c>
      <c r="O114" s="19">
        <f t="shared" si="37"/>
        <v>1</v>
      </c>
      <c r="P114" s="19">
        <f t="shared" si="38"/>
        <v>0</v>
      </c>
      <c r="Q114" s="19">
        <f t="shared" si="39"/>
        <v>0</v>
      </c>
      <c r="R114" s="50">
        <v>1</v>
      </c>
      <c r="S114" s="51">
        <f>AVERAGE($S$2:$S$10)*1.2</f>
        <v>124.90013958775428</v>
      </c>
      <c r="T114" s="52">
        <f>AVERAGE($T$4,$T$7,$T$10)*1.1</f>
        <v>153.95848617022156</v>
      </c>
    </row>
    <row r="115" spans="1:20" x14ac:dyDescent="0.15">
      <c r="A115" s="48">
        <v>1</v>
      </c>
      <c r="B115" s="19" t="s">
        <v>9</v>
      </c>
      <c r="D115" s="49">
        <f t="shared" si="30"/>
        <v>114.8856800849353</v>
      </c>
      <c r="E115" s="28">
        <f t="shared" si="31"/>
        <v>34420.391750950395</v>
      </c>
      <c r="F115" s="29">
        <v>44593</v>
      </c>
      <c r="G115" s="29" t="str">
        <f t="shared" si="32"/>
        <v>February</v>
      </c>
      <c r="H115" s="19" t="s">
        <v>11</v>
      </c>
      <c r="J115" s="42">
        <f t="shared" si="29"/>
        <v>2</v>
      </c>
      <c r="K115" s="19">
        <f t="shared" si="33"/>
        <v>0</v>
      </c>
      <c r="L115" s="19">
        <f t="shared" si="34"/>
        <v>1</v>
      </c>
      <c r="M115" s="19">
        <f t="shared" si="35"/>
        <v>0</v>
      </c>
      <c r="N115" s="19">
        <f t="shared" si="36"/>
        <v>0</v>
      </c>
      <c r="O115" s="19">
        <f t="shared" si="37"/>
        <v>1</v>
      </c>
      <c r="P115" s="19">
        <f t="shared" si="38"/>
        <v>0</v>
      </c>
      <c r="Q115" s="19">
        <f t="shared" si="39"/>
        <v>0</v>
      </c>
      <c r="R115" s="50">
        <v>0</v>
      </c>
      <c r="S115" s="51">
        <f>AVERAGE($S$2:$S$10)*1.1</f>
        <v>114.4917946221081</v>
      </c>
      <c r="T115" s="52">
        <f>AVERAGE($T$2,$T$5,$T$8)</f>
        <v>299.6055881420844</v>
      </c>
    </row>
    <row r="116" spans="1:20" x14ac:dyDescent="0.15">
      <c r="A116" s="48">
        <v>4</v>
      </c>
      <c r="B116" s="19" t="s">
        <v>16</v>
      </c>
      <c r="D116" s="49">
        <f t="shared" si="30"/>
        <v>306.99562911534247</v>
      </c>
      <c r="E116" s="28">
        <f t="shared" si="31"/>
        <v>57479.049539529398</v>
      </c>
      <c r="F116" s="29">
        <v>44593</v>
      </c>
      <c r="G116" s="29" t="str">
        <f t="shared" si="32"/>
        <v>February</v>
      </c>
      <c r="H116" s="19" t="s">
        <v>11</v>
      </c>
      <c r="J116" s="42">
        <f t="shared" si="29"/>
        <v>2</v>
      </c>
      <c r="K116" s="19">
        <f t="shared" si="33"/>
        <v>0</v>
      </c>
      <c r="L116" s="19">
        <f t="shared" si="34"/>
        <v>0</v>
      </c>
      <c r="M116" s="19">
        <f t="shared" si="35"/>
        <v>1</v>
      </c>
      <c r="N116" s="19">
        <f t="shared" si="36"/>
        <v>0</v>
      </c>
      <c r="O116" s="19">
        <f t="shared" si="37"/>
        <v>1</v>
      </c>
      <c r="P116" s="19">
        <f t="shared" si="38"/>
        <v>0</v>
      </c>
      <c r="Q116" s="19">
        <f t="shared" si="39"/>
        <v>0</v>
      </c>
      <c r="R116" s="50">
        <v>0</v>
      </c>
      <c r="S116" s="51">
        <f>AVERAGE($S$2:$S$10)</f>
        <v>104.08344965646191</v>
      </c>
      <c r="T116" s="52">
        <f>AVERAGE($T$3,$T$6,$T$9)</f>
        <v>187.23084007796649</v>
      </c>
    </row>
    <row r="117" spans="1:20" x14ac:dyDescent="0.15">
      <c r="A117" s="48">
        <v>5</v>
      </c>
      <c r="B117" s="19" t="s">
        <v>18</v>
      </c>
      <c r="D117" s="49">
        <f t="shared" si="30"/>
        <v>1066.1134138107238</v>
      </c>
      <c r="E117" s="28">
        <f t="shared" si="31"/>
        <v>149215.64297824184</v>
      </c>
      <c r="F117" s="29">
        <v>44593</v>
      </c>
      <c r="G117" s="29" t="str">
        <f t="shared" si="32"/>
        <v>February</v>
      </c>
      <c r="H117" s="19" t="s">
        <v>11</v>
      </c>
      <c r="J117" s="42">
        <f t="shared" si="29"/>
        <v>2</v>
      </c>
      <c r="K117" s="19">
        <f t="shared" si="33"/>
        <v>1</v>
      </c>
      <c r="L117" s="19">
        <f t="shared" si="34"/>
        <v>0</v>
      </c>
      <c r="M117" s="19">
        <f t="shared" si="35"/>
        <v>0</v>
      </c>
      <c r="N117" s="19">
        <f t="shared" si="36"/>
        <v>0</v>
      </c>
      <c r="O117" s="19">
        <f t="shared" si="37"/>
        <v>1</v>
      </c>
      <c r="P117" s="19">
        <f t="shared" si="38"/>
        <v>0</v>
      </c>
      <c r="Q117" s="19">
        <f t="shared" si="39"/>
        <v>0</v>
      </c>
      <c r="R117" s="50">
        <v>0</v>
      </c>
      <c r="S117" s="51">
        <f>AVERAGE($S$2:$S$10)*0.9</f>
        <v>93.675104690815715</v>
      </c>
      <c r="T117" s="52">
        <f>AVERAGE($T$4,$T$7,$T$10)</f>
        <v>139.96226015474687</v>
      </c>
    </row>
    <row r="118" spans="1:20" x14ac:dyDescent="0.15">
      <c r="A118" s="48">
        <v>1</v>
      </c>
      <c r="B118" s="19" t="s">
        <v>9</v>
      </c>
      <c r="D118" s="49">
        <f t="shared" si="30"/>
        <v>82.209256641713864</v>
      </c>
      <c r="E118" s="28">
        <f t="shared" si="31"/>
        <v>22167.317418177819</v>
      </c>
      <c r="F118" s="29">
        <v>44621</v>
      </c>
      <c r="G118" s="29" t="str">
        <f t="shared" si="32"/>
        <v>March</v>
      </c>
      <c r="H118" s="19" t="s">
        <v>22</v>
      </c>
      <c r="J118" s="42">
        <f t="shared" si="29"/>
        <v>3</v>
      </c>
      <c r="K118" s="19">
        <f t="shared" si="33"/>
        <v>0</v>
      </c>
      <c r="L118" s="19">
        <f t="shared" si="34"/>
        <v>1</v>
      </c>
      <c r="M118" s="19">
        <f t="shared" si="35"/>
        <v>0</v>
      </c>
      <c r="N118" s="19">
        <f t="shared" si="36"/>
        <v>0</v>
      </c>
      <c r="O118" s="19">
        <f t="shared" si="37"/>
        <v>0</v>
      </c>
      <c r="P118" s="19">
        <f t="shared" si="38"/>
        <v>1</v>
      </c>
      <c r="Q118" s="19">
        <f t="shared" si="39"/>
        <v>0</v>
      </c>
      <c r="R118" s="50">
        <v>0</v>
      </c>
      <c r="S118" s="51">
        <f>AVERAGE($S$2:$S$10)*0.8</f>
        <v>83.266759725169535</v>
      </c>
      <c r="T118" s="52">
        <f>AVERAGE($T$2,$T$5,$T$8)*0.9</f>
        <v>269.64502932787599</v>
      </c>
    </row>
    <row r="119" spans="1:20" x14ac:dyDescent="0.15">
      <c r="A119" s="48">
        <v>4</v>
      </c>
      <c r="B119" s="19" t="s">
        <v>16</v>
      </c>
      <c r="D119" s="49">
        <f t="shared" si="30"/>
        <v>308.52937627251578</v>
      </c>
      <c r="E119" s="28">
        <f t="shared" si="31"/>
        <v>51989.592877410738</v>
      </c>
      <c r="F119" s="29">
        <v>44621</v>
      </c>
      <c r="G119" s="29" t="str">
        <f t="shared" si="32"/>
        <v>March</v>
      </c>
      <c r="H119" s="19" t="s">
        <v>22</v>
      </c>
      <c r="J119" s="42">
        <f t="shared" si="29"/>
        <v>3</v>
      </c>
      <c r="K119" s="19">
        <f t="shared" si="33"/>
        <v>0</v>
      </c>
      <c r="L119" s="19">
        <f t="shared" si="34"/>
        <v>0</v>
      </c>
      <c r="M119" s="19">
        <f t="shared" si="35"/>
        <v>1</v>
      </c>
      <c r="N119" s="19">
        <f t="shared" si="36"/>
        <v>0</v>
      </c>
      <c r="O119" s="19">
        <f t="shared" si="37"/>
        <v>0</v>
      </c>
      <c r="P119" s="19">
        <f t="shared" si="38"/>
        <v>1</v>
      </c>
      <c r="Q119" s="19">
        <f t="shared" si="39"/>
        <v>0</v>
      </c>
      <c r="R119" s="50">
        <v>1</v>
      </c>
      <c r="S119" s="51">
        <f>AVERAGE($S$2:$S$10)*0.7</f>
        <v>72.858414759523328</v>
      </c>
      <c r="T119" s="52">
        <f>AVERAGE($T$3,$T$6,$T$9)*0.9</f>
        <v>168.50775607016985</v>
      </c>
    </row>
    <row r="120" spans="1:20" ht="15" thickBot="1" x14ac:dyDescent="0.2">
      <c r="A120" s="53">
        <v>5</v>
      </c>
      <c r="B120" s="21" t="s">
        <v>18</v>
      </c>
      <c r="C120" s="21"/>
      <c r="D120" s="54">
        <f t="shared" si="30"/>
        <v>1059.0915480017943</v>
      </c>
      <c r="E120" s="55">
        <f t="shared" si="31"/>
        <v>133409.56209220865</v>
      </c>
      <c r="F120" s="56">
        <v>44621</v>
      </c>
      <c r="G120" s="56" t="str">
        <f t="shared" si="32"/>
        <v>March</v>
      </c>
      <c r="H120" s="21" t="s">
        <v>22</v>
      </c>
      <c r="I120" s="21"/>
      <c r="J120" s="57">
        <f t="shared" si="29"/>
        <v>3</v>
      </c>
      <c r="K120" s="21">
        <f t="shared" si="33"/>
        <v>1</v>
      </c>
      <c r="L120" s="21">
        <f t="shared" si="34"/>
        <v>0</v>
      </c>
      <c r="M120" s="21">
        <f t="shared" si="35"/>
        <v>0</v>
      </c>
      <c r="N120" s="21">
        <f t="shared" si="36"/>
        <v>0</v>
      </c>
      <c r="O120" s="21">
        <f t="shared" si="37"/>
        <v>0</v>
      </c>
      <c r="P120" s="21">
        <f t="shared" si="38"/>
        <v>1</v>
      </c>
      <c r="Q120" s="21">
        <f t="shared" si="39"/>
        <v>0</v>
      </c>
      <c r="R120" s="58">
        <v>1</v>
      </c>
      <c r="S120" s="59">
        <f>AVERAGE($S$2:$S$10)*0.6</f>
        <v>62.450069793877141</v>
      </c>
      <c r="T120" s="60">
        <f>AVERAGE($T$4,$T$7,$T$10)*0.9</f>
        <v>125.96603413927218</v>
      </c>
    </row>
  </sheetData>
  <autoFilter ref="A1:S109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"/>
  <sheetViews>
    <sheetView zoomScale="170" zoomScaleNormal="170" workbookViewId="0">
      <selection activeCell="K1" sqref="K1"/>
    </sheetView>
  </sheetViews>
  <sheetFormatPr baseColWidth="10" defaultColWidth="8.83203125" defaultRowHeight="15" x14ac:dyDescent="0.2"/>
  <cols>
    <col min="1" max="1" width="8.6640625" bestFit="1" customWidth="1"/>
    <col min="2" max="2" width="11.33203125" bestFit="1" customWidth="1"/>
    <col min="3" max="3" width="10.6640625" bestFit="1" customWidth="1"/>
    <col min="4" max="4" width="9.1640625" bestFit="1" customWidth="1"/>
    <col min="5" max="5" width="11" bestFit="1" customWidth="1"/>
    <col min="6" max="6" width="11.1640625" style="3" bestFit="1" customWidth="1"/>
    <col min="7" max="7" width="11.1640625" style="3" customWidth="1"/>
    <col min="8" max="8" width="15" bestFit="1" customWidth="1"/>
    <col min="9" max="9" width="15.33203125" style="2" bestFit="1" customWidth="1"/>
    <col min="10" max="10" width="7.5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s="8" t="s">
        <v>5</v>
      </c>
      <c r="G1" s="11" t="s">
        <v>36</v>
      </c>
      <c r="H1" s="4" t="s">
        <v>6</v>
      </c>
      <c r="I1" s="10" t="s">
        <v>7</v>
      </c>
      <c r="J1" s="4" t="s">
        <v>8</v>
      </c>
    </row>
    <row r="2" spans="1:10" x14ac:dyDescent="0.2">
      <c r="A2">
        <v>1</v>
      </c>
      <c r="B2" t="s">
        <v>9</v>
      </c>
      <c r="C2" t="s">
        <v>10</v>
      </c>
      <c r="D2" s="1">
        <v>43466</v>
      </c>
      <c r="E2">
        <v>258</v>
      </c>
      <c r="F2" s="3">
        <v>81782.882644051002</v>
      </c>
      <c r="G2" s="12">
        <f>F2/E2</f>
        <v>316.98791722500391</v>
      </c>
      <c r="H2">
        <v>1</v>
      </c>
      <c r="I2" s="2">
        <v>108.365611185087</v>
      </c>
      <c r="J2" t="s">
        <v>11</v>
      </c>
    </row>
    <row r="3" spans="1:10" x14ac:dyDescent="0.2">
      <c r="A3">
        <v>2</v>
      </c>
      <c r="B3" t="s">
        <v>12</v>
      </c>
      <c r="C3" t="s">
        <v>13</v>
      </c>
      <c r="D3" s="1">
        <v>43466</v>
      </c>
      <c r="E3">
        <v>117</v>
      </c>
      <c r="F3" s="3">
        <v>57249.529176106</v>
      </c>
      <c r="G3" s="12">
        <f t="shared" ref="G3:G66" si="0">F3/E3</f>
        <v>489.31221518039314</v>
      </c>
      <c r="H3">
        <v>1</v>
      </c>
      <c r="I3" s="2">
        <v>110.27818820232901</v>
      </c>
      <c r="J3" t="s">
        <v>11</v>
      </c>
    </row>
    <row r="4" spans="1:10" x14ac:dyDescent="0.2">
      <c r="A4">
        <v>3</v>
      </c>
      <c r="B4" t="s">
        <v>14</v>
      </c>
      <c r="C4" t="s">
        <v>15</v>
      </c>
      <c r="D4" s="1">
        <v>43466</v>
      </c>
      <c r="E4">
        <v>370</v>
      </c>
      <c r="F4" s="3">
        <v>41928.900863061703</v>
      </c>
      <c r="G4" s="12">
        <f t="shared" si="0"/>
        <v>113.32135368395055</v>
      </c>
      <c r="H4">
        <v>0</v>
      </c>
      <c r="I4" s="2">
        <v>132.25372429231601</v>
      </c>
      <c r="J4" t="s">
        <v>11</v>
      </c>
    </row>
    <row r="5" spans="1:10" x14ac:dyDescent="0.2">
      <c r="A5">
        <v>4</v>
      </c>
      <c r="B5" t="s">
        <v>16</v>
      </c>
      <c r="C5" t="s">
        <v>17</v>
      </c>
      <c r="D5" s="1">
        <v>43466</v>
      </c>
      <c r="E5">
        <v>235</v>
      </c>
      <c r="F5" s="3">
        <v>86629.175317087007</v>
      </c>
      <c r="G5" s="12">
        <f t="shared" si="0"/>
        <v>368.63478858334895</v>
      </c>
      <c r="H5">
        <v>1</v>
      </c>
      <c r="I5" s="2">
        <v>137.66614859257899</v>
      </c>
      <c r="J5" t="s">
        <v>11</v>
      </c>
    </row>
    <row r="6" spans="1:10" x14ac:dyDescent="0.2">
      <c r="A6">
        <v>5</v>
      </c>
      <c r="B6" t="s">
        <v>18</v>
      </c>
      <c r="C6" t="s">
        <v>19</v>
      </c>
      <c r="D6" s="1">
        <v>43466</v>
      </c>
      <c r="E6">
        <v>630</v>
      </c>
      <c r="F6" s="3">
        <v>105687.54760481699</v>
      </c>
      <c r="G6" s="12">
        <f t="shared" si="0"/>
        <v>167.7580120711381</v>
      </c>
      <c r="H6">
        <v>1</v>
      </c>
      <c r="I6" s="2">
        <v>87.646336687804904</v>
      </c>
      <c r="J6" t="s">
        <v>11</v>
      </c>
    </row>
    <row r="7" spans="1:10" x14ac:dyDescent="0.2">
      <c r="A7">
        <v>6</v>
      </c>
      <c r="B7" t="s">
        <v>20</v>
      </c>
      <c r="C7" t="s">
        <v>21</v>
      </c>
      <c r="D7" s="1">
        <v>43466</v>
      </c>
      <c r="E7">
        <v>559</v>
      </c>
      <c r="F7" s="3">
        <v>28053.082628666802</v>
      </c>
      <c r="G7" s="12">
        <f t="shared" si="0"/>
        <v>50.184405418008588</v>
      </c>
      <c r="H7">
        <v>0</v>
      </c>
      <c r="I7" s="2">
        <v>89.298944897885903</v>
      </c>
      <c r="J7" t="s">
        <v>11</v>
      </c>
    </row>
    <row r="8" spans="1:10" x14ac:dyDescent="0.2">
      <c r="A8">
        <v>1</v>
      </c>
      <c r="B8" t="s">
        <v>9</v>
      </c>
      <c r="C8" t="s">
        <v>10</v>
      </c>
      <c r="D8" s="1">
        <v>43497</v>
      </c>
      <c r="E8">
        <v>551</v>
      </c>
      <c r="F8" s="3">
        <v>74650.284234724997</v>
      </c>
      <c r="G8" s="12">
        <f t="shared" si="0"/>
        <v>135.48145959115246</v>
      </c>
      <c r="H8">
        <v>0</v>
      </c>
      <c r="I8" s="2">
        <v>96.869315979497003</v>
      </c>
      <c r="J8" t="s">
        <v>11</v>
      </c>
    </row>
    <row r="9" spans="1:10" x14ac:dyDescent="0.2">
      <c r="A9">
        <v>2</v>
      </c>
      <c r="B9" t="s">
        <v>12</v>
      </c>
      <c r="C9" t="s">
        <v>13</v>
      </c>
      <c r="D9" s="1">
        <v>43497</v>
      </c>
      <c r="E9">
        <v>181</v>
      </c>
      <c r="F9" s="3">
        <v>38012.499540924502</v>
      </c>
      <c r="G9" s="12">
        <f t="shared" si="0"/>
        <v>210.01380961836742</v>
      </c>
      <c r="H9">
        <v>1</v>
      </c>
      <c r="I9" s="2">
        <v>57.5359060352462</v>
      </c>
      <c r="J9" t="s">
        <v>11</v>
      </c>
    </row>
    <row r="10" spans="1:10" x14ac:dyDescent="0.2">
      <c r="A10">
        <v>3</v>
      </c>
      <c r="B10" t="s">
        <v>14</v>
      </c>
      <c r="C10" t="s">
        <v>15</v>
      </c>
      <c r="D10" s="1">
        <v>43497</v>
      </c>
      <c r="E10">
        <v>568</v>
      </c>
      <c r="F10" s="3">
        <v>88230.592130188496</v>
      </c>
      <c r="G10" s="12">
        <f t="shared" si="0"/>
        <v>155.33554952497974</v>
      </c>
      <c r="H10">
        <v>0</v>
      </c>
      <c r="I10" s="2">
        <v>149.66368370738999</v>
      </c>
      <c r="J10" t="s">
        <v>11</v>
      </c>
    </row>
    <row r="11" spans="1:10" x14ac:dyDescent="0.2">
      <c r="A11">
        <v>4</v>
      </c>
      <c r="B11" t="s">
        <v>16</v>
      </c>
      <c r="C11" t="s">
        <v>17</v>
      </c>
      <c r="D11" s="1">
        <v>43497</v>
      </c>
      <c r="E11">
        <v>803</v>
      </c>
      <c r="F11" s="3">
        <v>56249.169621958899</v>
      </c>
      <c r="G11" s="12">
        <f t="shared" si="0"/>
        <v>70.04877910580187</v>
      </c>
      <c r="H11">
        <v>0</v>
      </c>
      <c r="I11" s="2">
        <v>125.70812020424501</v>
      </c>
      <c r="J11" t="s">
        <v>11</v>
      </c>
    </row>
    <row r="12" spans="1:10" x14ac:dyDescent="0.2">
      <c r="A12">
        <v>5</v>
      </c>
      <c r="B12" t="s">
        <v>18</v>
      </c>
      <c r="C12" t="s">
        <v>19</v>
      </c>
      <c r="D12" s="1">
        <v>43497</v>
      </c>
      <c r="E12">
        <v>594</v>
      </c>
      <c r="F12" s="3">
        <v>80882.934037723593</v>
      </c>
      <c r="G12" s="12">
        <f t="shared" si="0"/>
        <v>136.16655561906327</v>
      </c>
      <c r="H12">
        <v>0</v>
      </c>
      <c r="I12" s="2">
        <v>62.915941515149498</v>
      </c>
      <c r="J12" t="s">
        <v>11</v>
      </c>
    </row>
    <row r="13" spans="1:10" x14ac:dyDescent="0.2">
      <c r="A13">
        <v>6</v>
      </c>
      <c r="B13" t="s">
        <v>20</v>
      </c>
      <c r="C13" t="s">
        <v>21</v>
      </c>
      <c r="D13" s="1">
        <v>43497</v>
      </c>
      <c r="E13">
        <v>524</v>
      </c>
      <c r="F13" s="3">
        <v>60288.776681174902</v>
      </c>
      <c r="G13" s="12">
        <f t="shared" si="0"/>
        <v>115.05491733048646</v>
      </c>
      <c r="H13">
        <v>1</v>
      </c>
      <c r="I13" s="2">
        <v>137.822066747919</v>
      </c>
      <c r="J13" t="s">
        <v>11</v>
      </c>
    </row>
    <row r="14" spans="1:10" x14ac:dyDescent="0.2">
      <c r="A14">
        <v>1</v>
      </c>
      <c r="B14" t="s">
        <v>9</v>
      </c>
      <c r="C14" t="s">
        <v>10</v>
      </c>
      <c r="D14" s="1">
        <v>43525</v>
      </c>
      <c r="E14">
        <v>100</v>
      </c>
      <c r="F14" s="3">
        <v>44634.738761009699</v>
      </c>
      <c r="G14" s="12">
        <f t="shared" si="0"/>
        <v>446.34738761009697</v>
      </c>
      <c r="H14">
        <v>0</v>
      </c>
      <c r="I14" s="2">
        <v>102.016350111199</v>
      </c>
      <c r="J14" t="s">
        <v>22</v>
      </c>
    </row>
    <row r="15" spans="1:10" x14ac:dyDescent="0.2">
      <c r="A15">
        <v>2</v>
      </c>
      <c r="B15" t="s">
        <v>12</v>
      </c>
      <c r="C15" t="s">
        <v>13</v>
      </c>
      <c r="D15" s="1">
        <v>43525</v>
      </c>
      <c r="E15">
        <v>533</v>
      </c>
      <c r="F15" s="3">
        <v>73064.903728569101</v>
      </c>
      <c r="G15" s="12">
        <f t="shared" si="0"/>
        <v>137.08237097292513</v>
      </c>
      <c r="H15">
        <v>0</v>
      </c>
      <c r="I15" s="2">
        <v>58.840822336564599</v>
      </c>
      <c r="J15" t="s">
        <v>22</v>
      </c>
    </row>
    <row r="16" spans="1:10" x14ac:dyDescent="0.2">
      <c r="A16">
        <v>3</v>
      </c>
      <c r="B16" t="s">
        <v>14</v>
      </c>
      <c r="C16" t="s">
        <v>15</v>
      </c>
      <c r="D16" s="1">
        <v>43525</v>
      </c>
      <c r="E16">
        <v>582</v>
      </c>
      <c r="F16" s="3">
        <v>76841.770086118297</v>
      </c>
      <c r="G16" s="12">
        <f t="shared" si="0"/>
        <v>132.03053279401769</v>
      </c>
      <c r="H16">
        <v>0</v>
      </c>
      <c r="I16" s="2">
        <v>52.878267631333898</v>
      </c>
      <c r="J16" t="s">
        <v>22</v>
      </c>
    </row>
    <row r="17" spans="1:10" x14ac:dyDescent="0.2">
      <c r="A17">
        <v>4</v>
      </c>
      <c r="B17" t="s">
        <v>16</v>
      </c>
      <c r="C17" t="s">
        <v>17</v>
      </c>
      <c r="D17" s="1">
        <v>43525</v>
      </c>
      <c r="E17">
        <v>629</v>
      </c>
      <c r="F17" s="3">
        <v>77372.631150646906</v>
      </c>
      <c r="G17" s="12">
        <f t="shared" si="0"/>
        <v>123.00895254474865</v>
      </c>
      <c r="H17">
        <v>1</v>
      </c>
      <c r="I17" s="2">
        <v>130.50446675193601</v>
      </c>
      <c r="J17" t="s">
        <v>22</v>
      </c>
    </row>
    <row r="18" spans="1:10" x14ac:dyDescent="0.2">
      <c r="A18">
        <v>5</v>
      </c>
      <c r="B18" t="s">
        <v>18</v>
      </c>
      <c r="C18" t="s">
        <v>19</v>
      </c>
      <c r="D18" s="1">
        <v>43525</v>
      </c>
      <c r="E18">
        <v>1070</v>
      </c>
      <c r="F18" s="3">
        <v>124079.56766822199</v>
      </c>
      <c r="G18" s="12">
        <f t="shared" si="0"/>
        <v>115.96221277403924</v>
      </c>
      <c r="H18">
        <v>1</v>
      </c>
      <c r="I18" s="2">
        <v>85.058755880659703</v>
      </c>
      <c r="J18" t="s">
        <v>22</v>
      </c>
    </row>
    <row r="19" spans="1:10" x14ac:dyDescent="0.2">
      <c r="A19">
        <v>6</v>
      </c>
      <c r="B19" t="s">
        <v>20</v>
      </c>
      <c r="C19" t="s">
        <v>21</v>
      </c>
      <c r="D19" s="1">
        <v>43525</v>
      </c>
      <c r="E19">
        <v>153</v>
      </c>
      <c r="F19" s="3">
        <v>78886.775839636204</v>
      </c>
      <c r="G19" s="12">
        <f t="shared" si="0"/>
        <v>515.59984208912556</v>
      </c>
      <c r="H19">
        <v>0</v>
      </c>
      <c r="I19" s="2">
        <v>59.100209105132997</v>
      </c>
      <c r="J19" t="s">
        <v>22</v>
      </c>
    </row>
    <row r="20" spans="1:10" x14ac:dyDescent="0.2">
      <c r="A20">
        <v>1</v>
      </c>
      <c r="B20" t="s">
        <v>9</v>
      </c>
      <c r="C20" t="s">
        <v>10</v>
      </c>
      <c r="D20" s="1">
        <v>43556</v>
      </c>
      <c r="E20">
        <v>572</v>
      </c>
      <c r="F20" s="3">
        <v>84371.987480273703</v>
      </c>
      <c r="G20" s="12">
        <f t="shared" si="0"/>
        <v>147.50347461586313</v>
      </c>
      <c r="H20">
        <v>0</v>
      </c>
      <c r="I20" s="2">
        <v>128.36530127411399</v>
      </c>
      <c r="J20" t="s">
        <v>22</v>
      </c>
    </row>
    <row r="21" spans="1:10" x14ac:dyDescent="0.2">
      <c r="A21">
        <v>2</v>
      </c>
      <c r="B21" t="s">
        <v>12</v>
      </c>
      <c r="C21" t="s">
        <v>13</v>
      </c>
      <c r="D21" s="1">
        <v>43556</v>
      </c>
      <c r="E21">
        <v>825</v>
      </c>
      <c r="F21" s="3">
        <v>22397.970835702101</v>
      </c>
      <c r="G21" s="12">
        <f t="shared" si="0"/>
        <v>27.149055558426788</v>
      </c>
      <c r="H21">
        <v>0</v>
      </c>
      <c r="I21" s="2">
        <v>119.764187149346</v>
      </c>
      <c r="J21" t="s">
        <v>22</v>
      </c>
    </row>
    <row r="22" spans="1:10" x14ac:dyDescent="0.2">
      <c r="A22">
        <v>3</v>
      </c>
      <c r="B22" t="s">
        <v>14</v>
      </c>
      <c r="C22" t="s">
        <v>15</v>
      </c>
      <c r="D22" s="1">
        <v>43556</v>
      </c>
      <c r="E22">
        <v>461</v>
      </c>
      <c r="F22" s="3">
        <v>78393.459550874803</v>
      </c>
      <c r="G22" s="12">
        <f t="shared" si="0"/>
        <v>170.05088839669153</v>
      </c>
      <c r="H22">
        <v>0</v>
      </c>
      <c r="I22" s="2">
        <v>99.2116293079538</v>
      </c>
      <c r="J22" t="s">
        <v>22</v>
      </c>
    </row>
    <row r="23" spans="1:10" x14ac:dyDescent="0.2">
      <c r="A23">
        <v>4</v>
      </c>
      <c r="B23" t="s">
        <v>16</v>
      </c>
      <c r="C23" t="s">
        <v>17</v>
      </c>
      <c r="D23" s="1">
        <v>43556</v>
      </c>
      <c r="E23">
        <v>443</v>
      </c>
      <c r="F23" s="3">
        <v>16706.1360760998</v>
      </c>
      <c r="G23" s="12">
        <f t="shared" si="0"/>
        <v>37.711368117606774</v>
      </c>
      <c r="H23">
        <v>1</v>
      </c>
      <c r="I23" s="2">
        <v>112.080568442209</v>
      </c>
      <c r="J23" t="s">
        <v>22</v>
      </c>
    </row>
    <row r="24" spans="1:10" x14ac:dyDescent="0.2">
      <c r="A24">
        <v>5</v>
      </c>
      <c r="B24" t="s">
        <v>18</v>
      </c>
      <c r="C24" t="s">
        <v>19</v>
      </c>
      <c r="D24" s="1">
        <v>43556</v>
      </c>
      <c r="E24">
        <v>655</v>
      </c>
      <c r="F24" s="3">
        <v>81932.313913534701</v>
      </c>
      <c r="G24" s="12">
        <f t="shared" si="0"/>
        <v>125.08750215806825</v>
      </c>
      <c r="H24">
        <v>0</v>
      </c>
      <c r="I24" s="2">
        <v>74.014561877819304</v>
      </c>
      <c r="J24" t="s">
        <v>22</v>
      </c>
    </row>
    <row r="25" spans="1:10" x14ac:dyDescent="0.2">
      <c r="A25">
        <v>6</v>
      </c>
      <c r="B25" t="s">
        <v>20</v>
      </c>
      <c r="C25" t="s">
        <v>21</v>
      </c>
      <c r="D25" s="1">
        <v>43556</v>
      </c>
      <c r="E25">
        <v>573</v>
      </c>
      <c r="F25" s="3">
        <v>31202.404273452801</v>
      </c>
      <c r="G25" s="12">
        <f t="shared" si="0"/>
        <v>54.454457719812915</v>
      </c>
      <c r="H25">
        <v>1</v>
      </c>
      <c r="I25" s="2">
        <v>119.650146622707</v>
      </c>
      <c r="J25" t="s">
        <v>22</v>
      </c>
    </row>
    <row r="26" spans="1:10" x14ac:dyDescent="0.2">
      <c r="A26">
        <v>1</v>
      </c>
      <c r="B26" t="s">
        <v>9</v>
      </c>
      <c r="C26" t="s">
        <v>10</v>
      </c>
      <c r="D26" s="1">
        <v>43586</v>
      </c>
      <c r="E26">
        <v>699</v>
      </c>
      <c r="F26" s="3">
        <v>45293.625161854899</v>
      </c>
      <c r="G26" s="12">
        <f t="shared" si="0"/>
        <v>64.797747012667955</v>
      </c>
      <c r="H26">
        <v>0</v>
      </c>
      <c r="I26" s="2">
        <v>116.755773852102</v>
      </c>
      <c r="J26" t="s">
        <v>22</v>
      </c>
    </row>
    <row r="27" spans="1:10" x14ac:dyDescent="0.2">
      <c r="A27">
        <v>2</v>
      </c>
      <c r="B27" t="s">
        <v>12</v>
      </c>
      <c r="C27" t="s">
        <v>13</v>
      </c>
      <c r="D27" s="1">
        <v>43586</v>
      </c>
      <c r="E27">
        <v>636</v>
      </c>
      <c r="F27" s="3">
        <v>40486.573040627904</v>
      </c>
      <c r="G27" s="12">
        <f t="shared" si="0"/>
        <v>63.658133711679092</v>
      </c>
      <c r="H27">
        <v>0</v>
      </c>
      <c r="I27" s="2">
        <v>132.179063684444</v>
      </c>
      <c r="J27" t="s">
        <v>22</v>
      </c>
    </row>
    <row r="28" spans="1:10" x14ac:dyDescent="0.2">
      <c r="A28">
        <v>3</v>
      </c>
      <c r="B28" t="s">
        <v>14</v>
      </c>
      <c r="C28" t="s">
        <v>15</v>
      </c>
      <c r="D28" s="1">
        <v>43586</v>
      </c>
      <c r="E28">
        <v>243</v>
      </c>
      <c r="F28" s="3">
        <v>23967.93348516</v>
      </c>
      <c r="G28" s="12">
        <f t="shared" si="0"/>
        <v>98.633471132345676</v>
      </c>
      <c r="H28">
        <v>1</v>
      </c>
      <c r="I28" s="2">
        <v>58.870253375705502</v>
      </c>
      <c r="J28" t="s">
        <v>22</v>
      </c>
    </row>
    <row r="29" spans="1:10" x14ac:dyDescent="0.2">
      <c r="A29">
        <v>4</v>
      </c>
      <c r="B29" t="s">
        <v>16</v>
      </c>
      <c r="C29" t="s">
        <v>17</v>
      </c>
      <c r="D29" s="1">
        <v>43586</v>
      </c>
      <c r="E29">
        <v>478</v>
      </c>
      <c r="F29" s="3">
        <v>29295.1535516125</v>
      </c>
      <c r="G29" s="12">
        <f t="shared" si="0"/>
        <v>61.28693211634414</v>
      </c>
      <c r="H29">
        <v>1</v>
      </c>
      <c r="I29" s="2">
        <v>139.42172628959199</v>
      </c>
      <c r="J29" t="s">
        <v>22</v>
      </c>
    </row>
    <row r="30" spans="1:10" x14ac:dyDescent="0.2">
      <c r="A30">
        <v>5</v>
      </c>
      <c r="B30" t="s">
        <v>18</v>
      </c>
      <c r="C30" t="s">
        <v>19</v>
      </c>
      <c r="D30" s="1">
        <v>43586</v>
      </c>
      <c r="E30">
        <v>887</v>
      </c>
      <c r="F30" s="3">
        <v>75439.690440442602</v>
      </c>
      <c r="G30" s="12">
        <f t="shared" si="0"/>
        <v>85.050383811096509</v>
      </c>
      <c r="H30">
        <v>0</v>
      </c>
      <c r="I30" s="2">
        <v>53.931213984109803</v>
      </c>
      <c r="J30" t="s">
        <v>22</v>
      </c>
    </row>
    <row r="31" spans="1:10" x14ac:dyDescent="0.2">
      <c r="A31">
        <v>6</v>
      </c>
      <c r="B31" t="s">
        <v>20</v>
      </c>
      <c r="C31" t="s">
        <v>21</v>
      </c>
      <c r="D31" s="1">
        <v>43586</v>
      </c>
      <c r="E31">
        <v>602</v>
      </c>
      <c r="F31" s="3">
        <v>74092.701451516506</v>
      </c>
      <c r="G31" s="12">
        <f t="shared" si="0"/>
        <v>123.07757716198755</v>
      </c>
      <c r="H31">
        <v>0</v>
      </c>
      <c r="I31" s="2">
        <v>101.165701354726</v>
      </c>
      <c r="J31" t="s">
        <v>22</v>
      </c>
    </row>
    <row r="32" spans="1:10" x14ac:dyDescent="0.2">
      <c r="A32">
        <v>1</v>
      </c>
      <c r="B32" t="s">
        <v>9</v>
      </c>
      <c r="C32" t="s">
        <v>10</v>
      </c>
      <c r="D32" s="1">
        <v>43617</v>
      </c>
      <c r="E32">
        <v>424</v>
      </c>
      <c r="F32" s="3">
        <v>28808.417075666999</v>
      </c>
      <c r="G32" s="12">
        <f t="shared" si="0"/>
        <v>67.944379895441031</v>
      </c>
      <c r="H32">
        <v>0</v>
      </c>
      <c r="I32" s="2">
        <v>77.687764814720296</v>
      </c>
      <c r="J32" t="s">
        <v>23</v>
      </c>
    </row>
    <row r="33" spans="1:10" x14ac:dyDescent="0.2">
      <c r="A33">
        <v>2</v>
      </c>
      <c r="B33" t="s">
        <v>12</v>
      </c>
      <c r="C33" t="s">
        <v>13</v>
      </c>
      <c r="D33" s="1">
        <v>43617</v>
      </c>
      <c r="E33">
        <v>622</v>
      </c>
      <c r="F33" s="3">
        <v>65150.154200946097</v>
      </c>
      <c r="G33" s="12">
        <f t="shared" si="0"/>
        <v>104.7430131848008</v>
      </c>
      <c r="H33">
        <v>0</v>
      </c>
      <c r="I33" s="2">
        <v>148.62569958668101</v>
      </c>
      <c r="J33" t="s">
        <v>23</v>
      </c>
    </row>
    <row r="34" spans="1:10" x14ac:dyDescent="0.2">
      <c r="A34">
        <v>3</v>
      </c>
      <c r="B34" t="s">
        <v>14</v>
      </c>
      <c r="C34" t="s">
        <v>15</v>
      </c>
      <c r="D34" s="1">
        <v>43617</v>
      </c>
      <c r="E34">
        <v>659</v>
      </c>
      <c r="F34" s="3">
        <v>51380.110227180601</v>
      </c>
      <c r="G34" s="12">
        <f t="shared" si="0"/>
        <v>77.966783349287709</v>
      </c>
      <c r="H34">
        <v>1</v>
      </c>
      <c r="I34" s="2">
        <v>111.825477153029</v>
      </c>
      <c r="J34" t="s">
        <v>23</v>
      </c>
    </row>
    <row r="35" spans="1:10" x14ac:dyDescent="0.2">
      <c r="A35">
        <v>4</v>
      </c>
      <c r="B35" t="s">
        <v>16</v>
      </c>
      <c r="C35" t="s">
        <v>17</v>
      </c>
      <c r="D35" s="1">
        <v>43617</v>
      </c>
      <c r="E35">
        <v>374</v>
      </c>
      <c r="F35" s="3">
        <v>10000</v>
      </c>
      <c r="G35" s="12">
        <f t="shared" si="0"/>
        <v>26.737967914438503</v>
      </c>
      <c r="H35">
        <v>0</v>
      </c>
      <c r="I35" s="2">
        <v>56.234136251124099</v>
      </c>
      <c r="J35" t="s">
        <v>23</v>
      </c>
    </row>
    <row r="36" spans="1:10" x14ac:dyDescent="0.2">
      <c r="A36">
        <v>5</v>
      </c>
      <c r="B36" t="s">
        <v>18</v>
      </c>
      <c r="C36" t="s">
        <v>19</v>
      </c>
      <c r="D36" s="1">
        <v>43617</v>
      </c>
      <c r="E36">
        <v>1562</v>
      </c>
      <c r="F36" s="3">
        <v>114131.10494254</v>
      </c>
      <c r="G36" s="12">
        <f t="shared" si="0"/>
        <v>73.067288695608198</v>
      </c>
      <c r="H36">
        <v>1</v>
      </c>
      <c r="I36" s="2">
        <v>85.414667079312494</v>
      </c>
      <c r="J36" t="s">
        <v>23</v>
      </c>
    </row>
    <row r="37" spans="1:10" x14ac:dyDescent="0.2">
      <c r="A37">
        <v>6</v>
      </c>
      <c r="B37" t="s">
        <v>20</v>
      </c>
      <c r="C37" t="s">
        <v>21</v>
      </c>
      <c r="D37" s="1">
        <v>43617</v>
      </c>
      <c r="E37">
        <v>515</v>
      </c>
      <c r="F37" s="3">
        <v>32575.062377701401</v>
      </c>
      <c r="G37" s="12">
        <f t="shared" si="0"/>
        <v>63.252548306216312</v>
      </c>
      <c r="H37">
        <v>0</v>
      </c>
      <c r="I37" s="2">
        <v>87.728416310462194</v>
      </c>
      <c r="J37" t="s">
        <v>23</v>
      </c>
    </row>
    <row r="38" spans="1:10" x14ac:dyDescent="0.2">
      <c r="A38">
        <v>1</v>
      </c>
      <c r="B38" t="s">
        <v>9</v>
      </c>
      <c r="C38" t="s">
        <v>10</v>
      </c>
      <c r="D38" s="1">
        <v>43647</v>
      </c>
      <c r="E38">
        <v>454</v>
      </c>
      <c r="F38" s="3">
        <v>37068.542315149403</v>
      </c>
      <c r="G38" s="12">
        <f t="shared" si="0"/>
        <v>81.648771619271812</v>
      </c>
      <c r="H38">
        <v>1</v>
      </c>
      <c r="I38" s="2">
        <v>73.321641154980099</v>
      </c>
      <c r="J38" t="s">
        <v>23</v>
      </c>
    </row>
    <row r="39" spans="1:10" x14ac:dyDescent="0.2">
      <c r="A39">
        <v>2</v>
      </c>
      <c r="B39" t="s">
        <v>12</v>
      </c>
      <c r="C39" t="s">
        <v>13</v>
      </c>
      <c r="D39" s="1">
        <v>43647</v>
      </c>
      <c r="E39">
        <v>283</v>
      </c>
      <c r="F39" s="3">
        <v>43004.324780862902</v>
      </c>
      <c r="G39" s="12">
        <f t="shared" si="0"/>
        <v>151.95874480870285</v>
      </c>
      <c r="H39">
        <v>1</v>
      </c>
      <c r="I39" s="2">
        <v>128.917123860733</v>
      </c>
      <c r="J39" t="s">
        <v>23</v>
      </c>
    </row>
    <row r="40" spans="1:10" x14ac:dyDescent="0.2">
      <c r="A40">
        <v>3</v>
      </c>
      <c r="B40" t="s">
        <v>14</v>
      </c>
      <c r="C40" t="s">
        <v>15</v>
      </c>
      <c r="D40" s="1">
        <v>43647</v>
      </c>
      <c r="E40">
        <v>100</v>
      </c>
      <c r="F40" s="3">
        <v>32520.517610298</v>
      </c>
      <c r="G40" s="12">
        <f t="shared" si="0"/>
        <v>325.20517610297998</v>
      </c>
      <c r="H40">
        <v>0</v>
      </c>
      <c r="I40" s="2">
        <v>123.682247539491</v>
      </c>
      <c r="J40" t="s">
        <v>23</v>
      </c>
    </row>
    <row r="41" spans="1:10" x14ac:dyDescent="0.2">
      <c r="A41">
        <v>4</v>
      </c>
      <c r="B41" t="s">
        <v>16</v>
      </c>
      <c r="C41" t="s">
        <v>17</v>
      </c>
      <c r="D41" s="1">
        <v>43647</v>
      </c>
      <c r="E41">
        <v>499</v>
      </c>
      <c r="F41" s="3">
        <v>91689.544610831203</v>
      </c>
      <c r="G41" s="12">
        <f t="shared" si="0"/>
        <v>183.74658238643528</v>
      </c>
      <c r="H41">
        <v>1</v>
      </c>
      <c r="I41" s="2">
        <v>62.758030279556301</v>
      </c>
      <c r="J41" t="s">
        <v>23</v>
      </c>
    </row>
    <row r="42" spans="1:10" x14ac:dyDescent="0.2">
      <c r="A42">
        <v>5</v>
      </c>
      <c r="B42" t="s">
        <v>18</v>
      </c>
      <c r="C42" t="s">
        <v>19</v>
      </c>
      <c r="D42" s="1">
        <v>43647</v>
      </c>
      <c r="E42">
        <v>1481</v>
      </c>
      <c r="F42" s="3">
        <v>78516.008071069897</v>
      </c>
      <c r="G42" s="12">
        <f t="shared" si="0"/>
        <v>53.015535497008706</v>
      </c>
      <c r="H42">
        <v>1</v>
      </c>
      <c r="I42" s="2">
        <v>107.077830466891</v>
      </c>
      <c r="J42" t="s">
        <v>23</v>
      </c>
    </row>
    <row r="43" spans="1:10" x14ac:dyDescent="0.2">
      <c r="A43">
        <v>6</v>
      </c>
      <c r="B43" t="s">
        <v>20</v>
      </c>
      <c r="C43" t="s">
        <v>21</v>
      </c>
      <c r="D43" s="1">
        <v>43647</v>
      </c>
      <c r="E43">
        <v>220</v>
      </c>
      <c r="F43" s="3">
        <v>61259.384733811399</v>
      </c>
      <c r="G43" s="12">
        <f t="shared" si="0"/>
        <v>278.45174879005179</v>
      </c>
      <c r="H43">
        <v>1</v>
      </c>
      <c r="I43" s="2">
        <v>72.533279771252793</v>
      </c>
      <c r="J43" t="s">
        <v>23</v>
      </c>
    </row>
    <row r="44" spans="1:10" x14ac:dyDescent="0.2">
      <c r="A44">
        <v>1</v>
      </c>
      <c r="B44" t="s">
        <v>9</v>
      </c>
      <c r="C44" t="s">
        <v>10</v>
      </c>
      <c r="D44" s="1">
        <v>43678</v>
      </c>
      <c r="E44">
        <v>458</v>
      </c>
      <c r="F44" s="3">
        <v>10000</v>
      </c>
      <c r="G44" s="12">
        <f t="shared" si="0"/>
        <v>21.834061135371179</v>
      </c>
      <c r="H44">
        <v>1</v>
      </c>
      <c r="I44" s="2">
        <v>68.656702405130503</v>
      </c>
      <c r="J44" t="s">
        <v>23</v>
      </c>
    </row>
    <row r="45" spans="1:10" x14ac:dyDescent="0.2">
      <c r="A45">
        <v>2</v>
      </c>
      <c r="B45" t="s">
        <v>12</v>
      </c>
      <c r="C45" t="s">
        <v>13</v>
      </c>
      <c r="D45" s="1">
        <v>43678</v>
      </c>
      <c r="E45">
        <v>334</v>
      </c>
      <c r="F45" s="3">
        <v>39096.616013363098</v>
      </c>
      <c r="G45" s="12">
        <f t="shared" si="0"/>
        <v>117.05573656695539</v>
      </c>
      <c r="H45">
        <v>0</v>
      </c>
      <c r="I45" s="2">
        <v>134.23140352981801</v>
      </c>
      <c r="J45" t="s">
        <v>23</v>
      </c>
    </row>
    <row r="46" spans="1:10" x14ac:dyDescent="0.2">
      <c r="A46">
        <v>3</v>
      </c>
      <c r="B46" t="s">
        <v>14</v>
      </c>
      <c r="C46" t="s">
        <v>15</v>
      </c>
      <c r="D46" s="1">
        <v>43678</v>
      </c>
      <c r="E46">
        <v>534</v>
      </c>
      <c r="F46" s="3">
        <v>68157.438944848502</v>
      </c>
      <c r="G46" s="12">
        <f t="shared" si="0"/>
        <v>127.63565345477248</v>
      </c>
      <c r="H46">
        <v>0</v>
      </c>
      <c r="I46" s="2">
        <v>136.55071258939799</v>
      </c>
      <c r="J46" t="s">
        <v>23</v>
      </c>
    </row>
    <row r="47" spans="1:10" x14ac:dyDescent="0.2">
      <c r="A47">
        <v>4</v>
      </c>
      <c r="B47" t="s">
        <v>16</v>
      </c>
      <c r="C47" t="s">
        <v>17</v>
      </c>
      <c r="D47" s="1">
        <v>43678</v>
      </c>
      <c r="E47">
        <v>384</v>
      </c>
      <c r="F47" s="3">
        <v>65107.824516515102</v>
      </c>
      <c r="G47" s="12">
        <f t="shared" si="0"/>
        <v>169.55162634509142</v>
      </c>
      <c r="H47">
        <v>1</v>
      </c>
      <c r="I47" s="2">
        <v>122.289609662177</v>
      </c>
      <c r="J47" t="s">
        <v>23</v>
      </c>
    </row>
    <row r="48" spans="1:10" x14ac:dyDescent="0.2">
      <c r="A48">
        <v>5</v>
      </c>
      <c r="B48" t="s">
        <v>18</v>
      </c>
      <c r="C48" t="s">
        <v>19</v>
      </c>
      <c r="D48" s="1">
        <v>43678</v>
      </c>
      <c r="E48">
        <v>1914</v>
      </c>
      <c r="F48" s="3">
        <v>124954.545283157</v>
      </c>
      <c r="G48" s="12">
        <f t="shared" si="0"/>
        <v>65.284506417532398</v>
      </c>
      <c r="H48">
        <v>1</v>
      </c>
      <c r="I48" s="2">
        <v>70.507756014945898</v>
      </c>
      <c r="J48" t="s">
        <v>23</v>
      </c>
    </row>
    <row r="49" spans="1:10" x14ac:dyDescent="0.2">
      <c r="A49">
        <v>6</v>
      </c>
      <c r="B49" t="s">
        <v>20</v>
      </c>
      <c r="C49" t="s">
        <v>21</v>
      </c>
      <c r="D49" s="1">
        <v>43678</v>
      </c>
      <c r="E49">
        <v>608</v>
      </c>
      <c r="F49" s="3">
        <v>62811.640138982999</v>
      </c>
      <c r="G49" s="12">
        <f t="shared" si="0"/>
        <v>103.30861864964309</v>
      </c>
      <c r="H49">
        <v>1</v>
      </c>
      <c r="I49" s="2">
        <v>61.483682473920297</v>
      </c>
      <c r="J49" t="s">
        <v>23</v>
      </c>
    </row>
    <row r="50" spans="1:10" x14ac:dyDescent="0.2">
      <c r="A50">
        <v>1</v>
      </c>
      <c r="B50" t="s">
        <v>9</v>
      </c>
      <c r="C50" t="s">
        <v>10</v>
      </c>
      <c r="D50" s="1">
        <v>43709</v>
      </c>
      <c r="E50">
        <v>337</v>
      </c>
      <c r="F50" s="3">
        <v>19514.189336600099</v>
      </c>
      <c r="G50" s="12">
        <f t="shared" si="0"/>
        <v>57.905606340059641</v>
      </c>
      <c r="H50">
        <v>0</v>
      </c>
      <c r="I50" s="2">
        <v>100.610395635934</v>
      </c>
      <c r="J50" t="s">
        <v>24</v>
      </c>
    </row>
    <row r="51" spans="1:10" x14ac:dyDescent="0.2">
      <c r="A51">
        <v>2</v>
      </c>
      <c r="B51" t="s">
        <v>12</v>
      </c>
      <c r="C51" t="s">
        <v>13</v>
      </c>
      <c r="D51" s="1">
        <v>43709</v>
      </c>
      <c r="E51">
        <v>659</v>
      </c>
      <c r="F51" s="3">
        <v>46040.740625973602</v>
      </c>
      <c r="G51" s="12">
        <f t="shared" si="0"/>
        <v>69.864553301932631</v>
      </c>
      <c r="H51">
        <v>0</v>
      </c>
      <c r="I51" s="2">
        <v>55.182353682242599</v>
      </c>
      <c r="J51" t="s">
        <v>24</v>
      </c>
    </row>
    <row r="52" spans="1:10" x14ac:dyDescent="0.2">
      <c r="A52">
        <v>3</v>
      </c>
      <c r="B52" t="s">
        <v>14</v>
      </c>
      <c r="C52" t="s">
        <v>15</v>
      </c>
      <c r="D52" s="1">
        <v>43709</v>
      </c>
      <c r="E52">
        <v>595</v>
      </c>
      <c r="F52" s="3">
        <v>32791.732694320897</v>
      </c>
      <c r="G52" s="12">
        <f t="shared" si="0"/>
        <v>55.112155788774615</v>
      </c>
      <c r="H52">
        <v>0</v>
      </c>
      <c r="I52" s="2">
        <v>104.892197988897</v>
      </c>
      <c r="J52" t="s">
        <v>24</v>
      </c>
    </row>
    <row r="53" spans="1:10" x14ac:dyDescent="0.2">
      <c r="A53">
        <v>4</v>
      </c>
      <c r="B53" t="s">
        <v>16</v>
      </c>
      <c r="C53" t="s">
        <v>17</v>
      </c>
      <c r="D53" s="1">
        <v>43709</v>
      </c>
      <c r="E53">
        <v>423</v>
      </c>
      <c r="F53" s="3">
        <v>62532.3213506596</v>
      </c>
      <c r="G53" s="12">
        <f t="shared" si="0"/>
        <v>147.83054692827329</v>
      </c>
      <c r="H53">
        <v>1</v>
      </c>
      <c r="I53" s="2">
        <v>75.464065476376305</v>
      </c>
      <c r="J53" t="s">
        <v>24</v>
      </c>
    </row>
    <row r="54" spans="1:10" x14ac:dyDescent="0.2">
      <c r="A54">
        <v>5</v>
      </c>
      <c r="B54" t="s">
        <v>18</v>
      </c>
      <c r="C54" t="s">
        <v>19</v>
      </c>
      <c r="D54" s="1">
        <v>43709</v>
      </c>
      <c r="E54">
        <v>1649</v>
      </c>
      <c r="F54" s="3">
        <v>133189.87314485299</v>
      </c>
      <c r="G54" s="12">
        <f t="shared" si="0"/>
        <v>80.770086807066704</v>
      </c>
      <c r="H54">
        <v>0</v>
      </c>
      <c r="I54" s="2">
        <v>129.42894499664601</v>
      </c>
      <c r="J54" t="s">
        <v>24</v>
      </c>
    </row>
    <row r="55" spans="1:10" x14ac:dyDescent="0.2">
      <c r="A55">
        <v>6</v>
      </c>
      <c r="B55" t="s">
        <v>20</v>
      </c>
      <c r="C55" t="s">
        <v>21</v>
      </c>
      <c r="D55" s="1">
        <v>43709</v>
      </c>
      <c r="E55">
        <v>388</v>
      </c>
      <c r="F55" s="3">
        <v>80100.502293216399</v>
      </c>
      <c r="G55" s="12">
        <f t="shared" si="0"/>
        <v>206.44459353921752</v>
      </c>
      <c r="H55">
        <v>0</v>
      </c>
      <c r="I55" s="2">
        <v>123.086747520364</v>
      </c>
      <c r="J55" t="s">
        <v>24</v>
      </c>
    </row>
    <row r="56" spans="1:10" x14ac:dyDescent="0.2">
      <c r="A56">
        <v>1</v>
      </c>
      <c r="B56" t="s">
        <v>9</v>
      </c>
      <c r="C56" t="s">
        <v>10</v>
      </c>
      <c r="D56" s="1">
        <v>43739</v>
      </c>
      <c r="E56">
        <v>517</v>
      </c>
      <c r="F56" s="3">
        <v>46886.455292158404</v>
      </c>
      <c r="G56" s="12">
        <f t="shared" si="0"/>
        <v>90.689468650209676</v>
      </c>
      <c r="H56">
        <v>1</v>
      </c>
      <c r="I56" s="2">
        <v>54.8094643964087</v>
      </c>
      <c r="J56" t="s">
        <v>24</v>
      </c>
    </row>
    <row r="57" spans="1:10" x14ac:dyDescent="0.2">
      <c r="A57">
        <v>2</v>
      </c>
      <c r="B57" t="s">
        <v>12</v>
      </c>
      <c r="C57" t="s">
        <v>13</v>
      </c>
      <c r="D57" s="1">
        <v>43739</v>
      </c>
      <c r="E57">
        <v>615</v>
      </c>
      <c r="F57" s="3">
        <v>59945.835556615501</v>
      </c>
      <c r="G57" s="12">
        <f t="shared" si="0"/>
        <v>97.472903344090241</v>
      </c>
      <c r="H57">
        <v>0</v>
      </c>
      <c r="I57" s="2">
        <v>70.162732004774398</v>
      </c>
      <c r="J57" t="s">
        <v>24</v>
      </c>
    </row>
    <row r="58" spans="1:10" x14ac:dyDescent="0.2">
      <c r="A58">
        <v>3</v>
      </c>
      <c r="B58" t="s">
        <v>14</v>
      </c>
      <c r="C58" t="s">
        <v>15</v>
      </c>
      <c r="D58" s="1">
        <v>43739</v>
      </c>
      <c r="E58">
        <v>436</v>
      </c>
      <c r="F58" s="3">
        <v>43618.859578673102</v>
      </c>
      <c r="G58" s="12">
        <f t="shared" si="0"/>
        <v>100.04325591438784</v>
      </c>
      <c r="H58">
        <v>0</v>
      </c>
      <c r="I58" s="2">
        <v>73.569174606499899</v>
      </c>
      <c r="J58" t="s">
        <v>24</v>
      </c>
    </row>
    <row r="59" spans="1:10" x14ac:dyDescent="0.2">
      <c r="A59">
        <v>4</v>
      </c>
      <c r="B59" t="s">
        <v>16</v>
      </c>
      <c r="C59" t="s">
        <v>17</v>
      </c>
      <c r="D59" s="1">
        <v>43739</v>
      </c>
      <c r="E59">
        <v>648</v>
      </c>
      <c r="F59" s="3">
        <v>54869.130213997698</v>
      </c>
      <c r="G59" s="12">
        <f t="shared" si="0"/>
        <v>84.674583663576698</v>
      </c>
      <c r="H59">
        <v>0</v>
      </c>
      <c r="I59" s="2">
        <v>137.72005408131</v>
      </c>
      <c r="J59" t="s">
        <v>24</v>
      </c>
    </row>
    <row r="60" spans="1:10" x14ac:dyDescent="0.2">
      <c r="A60">
        <v>5</v>
      </c>
      <c r="B60" t="s">
        <v>18</v>
      </c>
      <c r="C60" t="s">
        <v>19</v>
      </c>
      <c r="D60" s="1">
        <v>43739</v>
      </c>
      <c r="E60">
        <v>1394</v>
      </c>
      <c r="F60" s="3">
        <v>123813.328808686</v>
      </c>
      <c r="G60" s="12">
        <f t="shared" si="0"/>
        <v>88.818743765197993</v>
      </c>
      <c r="H60">
        <v>0</v>
      </c>
      <c r="I60" s="2">
        <v>80.137787416414199</v>
      </c>
      <c r="J60" t="s">
        <v>24</v>
      </c>
    </row>
    <row r="61" spans="1:10" x14ac:dyDescent="0.2">
      <c r="A61">
        <v>6</v>
      </c>
      <c r="B61" t="s">
        <v>20</v>
      </c>
      <c r="C61" t="s">
        <v>21</v>
      </c>
      <c r="D61" s="1">
        <v>43739</v>
      </c>
      <c r="E61">
        <v>559</v>
      </c>
      <c r="F61" s="3">
        <v>50368.367583790998</v>
      </c>
      <c r="G61" s="12">
        <f t="shared" si="0"/>
        <v>90.104414282273694</v>
      </c>
      <c r="H61">
        <v>0</v>
      </c>
      <c r="I61" s="2">
        <v>85.536245181839504</v>
      </c>
      <c r="J61" t="s">
        <v>24</v>
      </c>
    </row>
    <row r="62" spans="1:10" x14ac:dyDescent="0.2">
      <c r="A62">
        <v>1</v>
      </c>
      <c r="B62" t="s">
        <v>9</v>
      </c>
      <c r="C62" t="s">
        <v>10</v>
      </c>
      <c r="D62" s="1">
        <v>43770</v>
      </c>
      <c r="E62">
        <v>835</v>
      </c>
      <c r="F62" s="3">
        <v>63736.635810852902</v>
      </c>
      <c r="G62" s="12">
        <f t="shared" si="0"/>
        <v>76.331300372278918</v>
      </c>
      <c r="H62">
        <v>0</v>
      </c>
      <c r="I62" s="2">
        <v>140.64721109645399</v>
      </c>
      <c r="J62" t="s">
        <v>24</v>
      </c>
    </row>
    <row r="63" spans="1:10" x14ac:dyDescent="0.2">
      <c r="A63">
        <v>2</v>
      </c>
      <c r="B63" t="s">
        <v>12</v>
      </c>
      <c r="C63" t="s">
        <v>13</v>
      </c>
      <c r="D63" s="1">
        <v>43770</v>
      </c>
      <c r="E63">
        <v>100</v>
      </c>
      <c r="F63" s="3">
        <v>32303.681161640299</v>
      </c>
      <c r="G63" s="12">
        <f t="shared" si="0"/>
        <v>323.03681161640299</v>
      </c>
      <c r="H63">
        <v>1</v>
      </c>
      <c r="I63" s="2">
        <v>83.281578591248405</v>
      </c>
      <c r="J63" t="s">
        <v>24</v>
      </c>
    </row>
    <row r="64" spans="1:10" x14ac:dyDescent="0.2">
      <c r="A64">
        <v>3</v>
      </c>
      <c r="B64" t="s">
        <v>14</v>
      </c>
      <c r="C64" t="s">
        <v>15</v>
      </c>
      <c r="D64" s="1">
        <v>43770</v>
      </c>
      <c r="E64">
        <v>557</v>
      </c>
      <c r="F64" s="3">
        <v>68323.425312092397</v>
      </c>
      <c r="G64" s="12">
        <f t="shared" si="0"/>
        <v>122.66324113481579</v>
      </c>
      <c r="H64">
        <v>1</v>
      </c>
      <c r="I64" s="2">
        <v>129.40251892702901</v>
      </c>
      <c r="J64" t="s">
        <v>24</v>
      </c>
    </row>
    <row r="65" spans="1:10" x14ac:dyDescent="0.2">
      <c r="A65">
        <v>4</v>
      </c>
      <c r="B65" t="s">
        <v>16</v>
      </c>
      <c r="C65" t="s">
        <v>17</v>
      </c>
      <c r="D65" s="1">
        <v>43770</v>
      </c>
      <c r="E65">
        <v>718</v>
      </c>
      <c r="F65" s="3">
        <v>62655.6373221256</v>
      </c>
      <c r="G65" s="12">
        <f t="shared" si="0"/>
        <v>87.264118833044009</v>
      </c>
      <c r="H65">
        <v>0</v>
      </c>
      <c r="I65" s="2">
        <v>107.31508492573801</v>
      </c>
      <c r="J65" t="s">
        <v>24</v>
      </c>
    </row>
    <row r="66" spans="1:10" x14ac:dyDescent="0.2">
      <c r="A66">
        <v>5</v>
      </c>
      <c r="B66" t="s">
        <v>18</v>
      </c>
      <c r="C66" t="s">
        <v>19</v>
      </c>
      <c r="D66" s="1">
        <v>43770</v>
      </c>
      <c r="E66">
        <v>1681</v>
      </c>
      <c r="F66" s="3">
        <v>129102.33333741099</v>
      </c>
      <c r="G66" s="12">
        <f t="shared" si="0"/>
        <v>76.800912157888746</v>
      </c>
      <c r="H66">
        <v>1</v>
      </c>
      <c r="I66" s="2">
        <v>70.454459316946298</v>
      </c>
      <c r="J66" t="s">
        <v>24</v>
      </c>
    </row>
    <row r="67" spans="1:10" x14ac:dyDescent="0.2">
      <c r="A67">
        <v>6</v>
      </c>
      <c r="B67" t="s">
        <v>20</v>
      </c>
      <c r="C67" t="s">
        <v>21</v>
      </c>
      <c r="D67" s="1">
        <v>43770</v>
      </c>
      <c r="E67">
        <v>636</v>
      </c>
      <c r="F67" s="3">
        <v>86818.861398744106</v>
      </c>
      <c r="G67" s="12">
        <f t="shared" ref="G67:G130" si="1">F67/E67</f>
        <v>136.50764370871715</v>
      </c>
      <c r="H67">
        <v>1</v>
      </c>
      <c r="I67" s="2">
        <v>84.2081748715907</v>
      </c>
      <c r="J67" t="s">
        <v>24</v>
      </c>
    </row>
    <row r="68" spans="1:10" x14ac:dyDescent="0.2">
      <c r="A68">
        <v>1</v>
      </c>
      <c r="B68" t="s">
        <v>9</v>
      </c>
      <c r="C68" t="s">
        <v>10</v>
      </c>
      <c r="D68" s="1">
        <v>43800</v>
      </c>
      <c r="E68">
        <v>757</v>
      </c>
      <c r="F68" s="3">
        <v>41107.248835087099</v>
      </c>
      <c r="G68" s="12">
        <f t="shared" si="1"/>
        <v>54.30283861966592</v>
      </c>
      <c r="H68">
        <v>0</v>
      </c>
      <c r="I68" s="2">
        <v>98.635748199560695</v>
      </c>
      <c r="J68" t="s">
        <v>11</v>
      </c>
    </row>
    <row r="69" spans="1:10" x14ac:dyDescent="0.2">
      <c r="A69">
        <v>2</v>
      </c>
      <c r="B69" t="s">
        <v>12</v>
      </c>
      <c r="C69" t="s">
        <v>13</v>
      </c>
      <c r="D69" s="1">
        <v>43800</v>
      </c>
      <c r="E69">
        <v>782</v>
      </c>
      <c r="F69" s="3">
        <v>40528.224380457803</v>
      </c>
      <c r="G69" s="12">
        <f t="shared" si="1"/>
        <v>51.826373888053453</v>
      </c>
      <c r="H69">
        <v>0</v>
      </c>
      <c r="I69" s="2">
        <v>114.11476328852901</v>
      </c>
      <c r="J69" t="s">
        <v>11</v>
      </c>
    </row>
    <row r="70" spans="1:10" x14ac:dyDescent="0.2">
      <c r="A70">
        <v>3</v>
      </c>
      <c r="B70" t="s">
        <v>14</v>
      </c>
      <c r="C70" t="s">
        <v>15</v>
      </c>
      <c r="D70" s="1">
        <v>43800</v>
      </c>
      <c r="E70">
        <v>582</v>
      </c>
      <c r="F70" s="3">
        <v>87535.916251161296</v>
      </c>
      <c r="G70" s="12">
        <f t="shared" si="1"/>
        <v>150.40535438343866</v>
      </c>
      <c r="H70">
        <v>0</v>
      </c>
      <c r="I70" s="2">
        <v>109.902936477732</v>
      </c>
      <c r="J70" t="s">
        <v>11</v>
      </c>
    </row>
    <row r="71" spans="1:10" x14ac:dyDescent="0.2">
      <c r="A71">
        <v>4</v>
      </c>
      <c r="B71" t="s">
        <v>16</v>
      </c>
      <c r="C71" t="s">
        <v>17</v>
      </c>
      <c r="D71" s="1">
        <v>43800</v>
      </c>
      <c r="E71">
        <v>264</v>
      </c>
      <c r="F71" s="3">
        <v>36394.768256121803</v>
      </c>
      <c r="G71" s="12">
        <f t="shared" si="1"/>
        <v>137.85897066712803</v>
      </c>
      <c r="H71">
        <v>0</v>
      </c>
      <c r="I71" s="2">
        <v>96.200580364413199</v>
      </c>
      <c r="J71" t="s">
        <v>11</v>
      </c>
    </row>
    <row r="72" spans="1:10" x14ac:dyDescent="0.2">
      <c r="A72">
        <v>5</v>
      </c>
      <c r="B72" t="s">
        <v>18</v>
      </c>
      <c r="C72" t="s">
        <v>19</v>
      </c>
      <c r="D72" s="1">
        <v>43800</v>
      </c>
      <c r="E72">
        <v>1054</v>
      </c>
      <c r="F72" s="3">
        <v>179307.147501956</v>
      </c>
      <c r="G72" s="12">
        <f t="shared" si="1"/>
        <v>170.12063330356358</v>
      </c>
      <c r="H72">
        <v>0</v>
      </c>
      <c r="I72" s="2">
        <v>75.6015531853662</v>
      </c>
      <c r="J72" t="s">
        <v>11</v>
      </c>
    </row>
    <row r="73" spans="1:10" x14ac:dyDescent="0.2">
      <c r="A73">
        <v>6</v>
      </c>
      <c r="B73" t="s">
        <v>20</v>
      </c>
      <c r="C73" t="s">
        <v>21</v>
      </c>
      <c r="D73" s="1">
        <v>43800</v>
      </c>
      <c r="E73">
        <v>628</v>
      </c>
      <c r="F73" s="3">
        <v>81294.091698670498</v>
      </c>
      <c r="G73" s="12">
        <f t="shared" si="1"/>
        <v>129.44919060297849</v>
      </c>
      <c r="H73">
        <v>1</v>
      </c>
      <c r="I73" s="2">
        <v>106.51331835892</v>
      </c>
      <c r="J73" t="s">
        <v>11</v>
      </c>
    </row>
    <row r="74" spans="1:10" x14ac:dyDescent="0.2">
      <c r="A74">
        <v>1</v>
      </c>
      <c r="B74" t="s">
        <v>9</v>
      </c>
      <c r="C74" t="s">
        <v>10</v>
      </c>
      <c r="D74" s="1">
        <v>43831</v>
      </c>
      <c r="E74">
        <v>596</v>
      </c>
      <c r="F74" s="3">
        <v>54477.680485582598</v>
      </c>
      <c r="G74" s="12">
        <f t="shared" si="1"/>
        <v>91.405504170440594</v>
      </c>
      <c r="H74">
        <v>1</v>
      </c>
      <c r="I74" s="2">
        <v>115.136721098824</v>
      </c>
      <c r="J74" t="s">
        <v>11</v>
      </c>
    </row>
    <row r="75" spans="1:10" x14ac:dyDescent="0.2">
      <c r="A75">
        <v>2</v>
      </c>
      <c r="B75" t="s">
        <v>12</v>
      </c>
      <c r="C75" t="s">
        <v>13</v>
      </c>
      <c r="D75" s="1">
        <v>43831</v>
      </c>
      <c r="E75">
        <v>379</v>
      </c>
      <c r="F75" s="3">
        <v>76036.9833632019</v>
      </c>
      <c r="G75" s="12">
        <f t="shared" si="1"/>
        <v>200.62528591873851</v>
      </c>
      <c r="H75">
        <v>0</v>
      </c>
      <c r="I75" s="2">
        <v>92.413067130238602</v>
      </c>
      <c r="J75" t="s">
        <v>11</v>
      </c>
    </row>
    <row r="76" spans="1:10" x14ac:dyDescent="0.2">
      <c r="A76">
        <v>3</v>
      </c>
      <c r="B76" t="s">
        <v>14</v>
      </c>
      <c r="C76" t="s">
        <v>15</v>
      </c>
      <c r="D76" s="1">
        <v>43831</v>
      </c>
      <c r="E76">
        <v>536</v>
      </c>
      <c r="F76" s="3">
        <v>52001.9088515939</v>
      </c>
      <c r="G76" s="12">
        <f t="shared" si="1"/>
        <v>97.018486663421456</v>
      </c>
      <c r="H76">
        <v>1</v>
      </c>
      <c r="I76" s="2">
        <v>141.06861982557101</v>
      </c>
      <c r="J76" t="s">
        <v>11</v>
      </c>
    </row>
    <row r="77" spans="1:10" x14ac:dyDescent="0.2">
      <c r="A77">
        <v>4</v>
      </c>
      <c r="B77" t="s">
        <v>16</v>
      </c>
      <c r="C77" t="s">
        <v>17</v>
      </c>
      <c r="D77" s="1">
        <v>43831</v>
      </c>
      <c r="E77">
        <v>434</v>
      </c>
      <c r="F77" s="3">
        <v>40594.371065411098</v>
      </c>
      <c r="G77" s="12">
        <f t="shared" si="1"/>
        <v>93.535417201408066</v>
      </c>
      <c r="H77">
        <v>1</v>
      </c>
      <c r="I77" s="2">
        <v>133.88980864459299</v>
      </c>
      <c r="J77" t="s">
        <v>11</v>
      </c>
    </row>
    <row r="78" spans="1:10" x14ac:dyDescent="0.2">
      <c r="A78">
        <v>5</v>
      </c>
      <c r="B78" t="s">
        <v>18</v>
      </c>
      <c r="C78" t="s">
        <v>19</v>
      </c>
      <c r="D78" s="1">
        <v>43831</v>
      </c>
      <c r="E78">
        <v>1016</v>
      </c>
      <c r="F78" s="3">
        <v>132825.74555412799</v>
      </c>
      <c r="G78" s="12">
        <f t="shared" si="1"/>
        <v>130.73400152965354</v>
      </c>
      <c r="H78">
        <v>1</v>
      </c>
      <c r="I78" s="2">
        <v>110.789439379425</v>
      </c>
      <c r="J78" t="s">
        <v>11</v>
      </c>
    </row>
    <row r="79" spans="1:10" x14ac:dyDescent="0.2">
      <c r="A79">
        <v>6</v>
      </c>
      <c r="B79" t="s">
        <v>20</v>
      </c>
      <c r="C79" t="s">
        <v>21</v>
      </c>
      <c r="D79" s="1">
        <v>43831</v>
      </c>
      <c r="E79">
        <v>779</v>
      </c>
      <c r="F79" s="3">
        <v>36192.014313965003</v>
      </c>
      <c r="G79" s="12">
        <f t="shared" si="1"/>
        <v>46.459581917798459</v>
      </c>
      <c r="H79">
        <v>1</v>
      </c>
      <c r="I79" s="2">
        <v>130.285344859801</v>
      </c>
      <c r="J79" t="s">
        <v>11</v>
      </c>
    </row>
    <row r="80" spans="1:10" x14ac:dyDescent="0.2">
      <c r="A80">
        <v>1</v>
      </c>
      <c r="B80" t="s">
        <v>9</v>
      </c>
      <c r="C80" t="s">
        <v>10</v>
      </c>
      <c r="D80" s="1">
        <v>43862</v>
      </c>
      <c r="E80">
        <v>670</v>
      </c>
      <c r="F80" s="3">
        <v>60365</v>
      </c>
      <c r="G80" s="12">
        <f t="shared" si="1"/>
        <v>90.097014925373131</v>
      </c>
      <c r="H80">
        <v>0</v>
      </c>
      <c r="I80" s="2">
        <v>142.29602317984799</v>
      </c>
      <c r="J80" t="s">
        <v>11</v>
      </c>
    </row>
    <row r="81" spans="1:10" x14ac:dyDescent="0.2">
      <c r="A81">
        <v>2</v>
      </c>
      <c r="B81" t="s">
        <v>12</v>
      </c>
      <c r="C81" t="s">
        <v>13</v>
      </c>
      <c r="D81" s="1">
        <v>43862</v>
      </c>
      <c r="E81">
        <v>188</v>
      </c>
      <c r="F81" s="3">
        <v>10000</v>
      </c>
      <c r="G81" s="12">
        <f t="shared" si="1"/>
        <v>53.191489361702125</v>
      </c>
      <c r="H81">
        <v>0</v>
      </c>
      <c r="I81" s="2">
        <v>95.221794088980701</v>
      </c>
      <c r="J81" t="s">
        <v>11</v>
      </c>
    </row>
    <row r="82" spans="1:10" x14ac:dyDescent="0.2">
      <c r="A82">
        <v>3</v>
      </c>
      <c r="B82" t="s">
        <v>14</v>
      </c>
      <c r="C82" t="s">
        <v>15</v>
      </c>
      <c r="D82" s="1">
        <v>43862</v>
      </c>
      <c r="E82">
        <v>448</v>
      </c>
      <c r="F82" s="3">
        <v>19937.1409376378</v>
      </c>
      <c r="G82" s="12">
        <f t="shared" si="1"/>
        <v>44.50254673579866</v>
      </c>
      <c r="H82">
        <v>0</v>
      </c>
      <c r="I82" s="2">
        <v>74.822644275715106</v>
      </c>
      <c r="J82" t="s">
        <v>11</v>
      </c>
    </row>
    <row r="83" spans="1:10" x14ac:dyDescent="0.2">
      <c r="A83">
        <v>4</v>
      </c>
      <c r="B83" t="s">
        <v>16</v>
      </c>
      <c r="C83" t="s">
        <v>17</v>
      </c>
      <c r="D83" s="1">
        <v>43862</v>
      </c>
      <c r="E83">
        <v>261</v>
      </c>
      <c r="F83" s="3">
        <v>55543.631587174903</v>
      </c>
      <c r="G83" s="12">
        <f t="shared" si="1"/>
        <v>212.81084899300728</v>
      </c>
      <c r="H83">
        <v>0</v>
      </c>
      <c r="I83" s="2">
        <v>141.48459010681</v>
      </c>
      <c r="J83" t="s">
        <v>11</v>
      </c>
    </row>
    <row r="84" spans="1:10" x14ac:dyDescent="0.2">
      <c r="A84">
        <v>5</v>
      </c>
      <c r="B84" t="s">
        <v>18</v>
      </c>
      <c r="C84" t="s">
        <v>19</v>
      </c>
      <c r="D84" s="1">
        <v>43862</v>
      </c>
      <c r="E84">
        <v>1324</v>
      </c>
      <c r="F84" s="3">
        <v>44652.842791117102</v>
      </c>
      <c r="G84" s="12">
        <f t="shared" si="1"/>
        <v>33.72571207788301</v>
      </c>
      <c r="H84">
        <v>1</v>
      </c>
      <c r="I84" s="2">
        <v>72.009721408109698</v>
      </c>
      <c r="J84" t="s">
        <v>11</v>
      </c>
    </row>
    <row r="85" spans="1:10" x14ac:dyDescent="0.2">
      <c r="A85">
        <v>6</v>
      </c>
      <c r="B85" t="s">
        <v>20</v>
      </c>
      <c r="C85" t="s">
        <v>21</v>
      </c>
      <c r="D85" s="1">
        <v>43862</v>
      </c>
      <c r="E85">
        <v>515</v>
      </c>
      <c r="F85" s="3">
        <v>20305.9685696585</v>
      </c>
      <c r="G85" s="12">
        <f t="shared" si="1"/>
        <v>39.429065183802912</v>
      </c>
      <c r="H85">
        <v>0</v>
      </c>
      <c r="I85" s="2">
        <v>146.10703174694501</v>
      </c>
      <c r="J85" t="s">
        <v>11</v>
      </c>
    </row>
    <row r="86" spans="1:10" x14ac:dyDescent="0.2">
      <c r="A86">
        <v>1</v>
      </c>
      <c r="B86" t="s">
        <v>9</v>
      </c>
      <c r="C86" t="s">
        <v>10</v>
      </c>
      <c r="D86" s="1">
        <v>43891</v>
      </c>
      <c r="E86">
        <v>446</v>
      </c>
      <c r="F86" s="3">
        <v>27869.481825166498</v>
      </c>
      <c r="G86" s="12">
        <f t="shared" si="1"/>
        <v>62.487627410687217</v>
      </c>
      <c r="H86">
        <v>1</v>
      </c>
      <c r="I86" s="2">
        <v>103.50697189336501</v>
      </c>
      <c r="J86" t="s">
        <v>22</v>
      </c>
    </row>
    <row r="87" spans="1:10" x14ac:dyDescent="0.2">
      <c r="A87">
        <v>2</v>
      </c>
      <c r="B87" t="s">
        <v>12</v>
      </c>
      <c r="C87" t="s">
        <v>13</v>
      </c>
      <c r="D87" s="1">
        <v>43891</v>
      </c>
      <c r="E87">
        <v>384</v>
      </c>
      <c r="F87" s="3">
        <v>31788.843105202399</v>
      </c>
      <c r="G87" s="12">
        <f t="shared" si="1"/>
        <v>82.78344558646458</v>
      </c>
      <c r="H87">
        <v>1</v>
      </c>
      <c r="I87" s="2">
        <v>56.707647738842702</v>
      </c>
      <c r="J87" t="s">
        <v>22</v>
      </c>
    </row>
    <row r="88" spans="1:10" x14ac:dyDescent="0.2">
      <c r="A88">
        <v>3</v>
      </c>
      <c r="B88" t="s">
        <v>14</v>
      </c>
      <c r="C88" t="s">
        <v>15</v>
      </c>
      <c r="D88" s="1">
        <v>43891</v>
      </c>
      <c r="E88">
        <v>343</v>
      </c>
      <c r="F88" s="3">
        <v>63485.609374935499</v>
      </c>
      <c r="G88" s="12">
        <f t="shared" si="1"/>
        <v>185.08924016016181</v>
      </c>
      <c r="H88">
        <v>0</v>
      </c>
      <c r="I88" s="2">
        <v>84.938699904933301</v>
      </c>
      <c r="J88" t="s">
        <v>22</v>
      </c>
    </row>
    <row r="89" spans="1:10" x14ac:dyDescent="0.2">
      <c r="A89">
        <v>4</v>
      </c>
      <c r="B89" t="s">
        <v>16</v>
      </c>
      <c r="C89" t="s">
        <v>17</v>
      </c>
      <c r="D89" s="1">
        <v>43891</v>
      </c>
      <c r="E89">
        <v>951</v>
      </c>
      <c r="F89" s="3">
        <v>38528.296833198103</v>
      </c>
      <c r="G89" s="12">
        <f t="shared" si="1"/>
        <v>40.513456186328185</v>
      </c>
      <c r="H89">
        <v>0</v>
      </c>
      <c r="I89" s="2">
        <v>97.206694510999895</v>
      </c>
      <c r="J89" t="s">
        <v>22</v>
      </c>
    </row>
    <row r="90" spans="1:10" x14ac:dyDescent="0.2">
      <c r="A90">
        <v>5</v>
      </c>
      <c r="B90" t="s">
        <v>18</v>
      </c>
      <c r="C90" t="s">
        <v>19</v>
      </c>
      <c r="D90" s="1">
        <v>43891</v>
      </c>
      <c r="E90">
        <v>786</v>
      </c>
      <c r="F90" s="3">
        <v>103192.90683075599</v>
      </c>
      <c r="G90" s="12">
        <f t="shared" si="1"/>
        <v>131.28868553531296</v>
      </c>
      <c r="H90">
        <v>1</v>
      </c>
      <c r="I90" s="2">
        <v>121.405919978982</v>
      </c>
      <c r="J90" t="s">
        <v>22</v>
      </c>
    </row>
    <row r="91" spans="1:10" x14ac:dyDescent="0.2">
      <c r="A91">
        <v>6</v>
      </c>
      <c r="B91" t="s">
        <v>20</v>
      </c>
      <c r="C91" t="s">
        <v>21</v>
      </c>
      <c r="D91" s="1">
        <v>43891</v>
      </c>
      <c r="E91">
        <v>985</v>
      </c>
      <c r="F91" s="3">
        <v>88994.651912024594</v>
      </c>
      <c r="G91" s="12">
        <f t="shared" si="1"/>
        <v>90.349900418299086</v>
      </c>
      <c r="H91">
        <v>0</v>
      </c>
      <c r="I91" s="2">
        <v>90.0763060875326</v>
      </c>
      <c r="J91" t="s">
        <v>22</v>
      </c>
    </row>
    <row r="92" spans="1:10" x14ac:dyDescent="0.2">
      <c r="A92">
        <v>1</v>
      </c>
      <c r="B92" t="s">
        <v>9</v>
      </c>
      <c r="C92" t="s">
        <v>10</v>
      </c>
      <c r="D92" s="1">
        <v>43922</v>
      </c>
      <c r="E92">
        <v>264</v>
      </c>
      <c r="F92" s="3">
        <v>54074.035962776899</v>
      </c>
      <c r="G92" s="12">
        <f t="shared" si="1"/>
        <v>204.82589379839735</v>
      </c>
      <c r="H92">
        <v>0</v>
      </c>
      <c r="I92" s="2">
        <v>83.436281131048204</v>
      </c>
      <c r="J92" t="s">
        <v>22</v>
      </c>
    </row>
    <row r="93" spans="1:10" x14ac:dyDescent="0.2">
      <c r="A93">
        <v>2</v>
      </c>
      <c r="B93" t="s">
        <v>12</v>
      </c>
      <c r="C93" t="s">
        <v>13</v>
      </c>
      <c r="D93" s="1">
        <v>43922</v>
      </c>
      <c r="E93">
        <v>521</v>
      </c>
      <c r="F93" s="3">
        <v>46321.276891820402</v>
      </c>
      <c r="G93" s="12">
        <f t="shared" si="1"/>
        <v>88.908400943993101</v>
      </c>
      <c r="H93">
        <v>1</v>
      </c>
      <c r="I93" s="2">
        <v>77.074467314355303</v>
      </c>
      <c r="J93" t="s">
        <v>22</v>
      </c>
    </row>
    <row r="94" spans="1:10" x14ac:dyDescent="0.2">
      <c r="A94">
        <v>3</v>
      </c>
      <c r="B94" t="s">
        <v>14</v>
      </c>
      <c r="C94" t="s">
        <v>15</v>
      </c>
      <c r="D94" s="1">
        <v>43922</v>
      </c>
      <c r="E94">
        <v>277</v>
      </c>
      <c r="F94" s="3">
        <v>85045.408868472397</v>
      </c>
      <c r="G94" s="12">
        <f t="shared" si="1"/>
        <v>307.02313670928663</v>
      </c>
      <c r="H94">
        <v>0</v>
      </c>
      <c r="I94" s="2">
        <v>147.89314356159599</v>
      </c>
      <c r="J94" t="s">
        <v>22</v>
      </c>
    </row>
    <row r="95" spans="1:10" x14ac:dyDescent="0.2">
      <c r="A95">
        <v>4</v>
      </c>
      <c r="B95" t="s">
        <v>16</v>
      </c>
      <c r="C95" t="s">
        <v>17</v>
      </c>
      <c r="D95" s="1">
        <v>43922</v>
      </c>
      <c r="E95">
        <v>744</v>
      </c>
      <c r="F95" s="3">
        <v>10000</v>
      </c>
      <c r="G95" s="12">
        <f t="shared" si="1"/>
        <v>13.440860215053764</v>
      </c>
      <c r="H95">
        <v>0</v>
      </c>
      <c r="I95" s="2">
        <v>73.107479658807094</v>
      </c>
      <c r="J95" t="s">
        <v>22</v>
      </c>
    </row>
    <row r="96" spans="1:10" x14ac:dyDescent="0.2">
      <c r="A96">
        <v>5</v>
      </c>
      <c r="B96" t="s">
        <v>18</v>
      </c>
      <c r="C96" t="s">
        <v>19</v>
      </c>
      <c r="D96" s="1">
        <v>43922</v>
      </c>
      <c r="E96">
        <v>1029</v>
      </c>
      <c r="F96" s="3">
        <v>96089.645620383701</v>
      </c>
      <c r="G96" s="12">
        <f t="shared" si="1"/>
        <v>93.381579806009427</v>
      </c>
      <c r="H96">
        <v>0</v>
      </c>
      <c r="I96" s="2">
        <v>138.74604825135</v>
      </c>
      <c r="J96" t="s">
        <v>22</v>
      </c>
    </row>
    <row r="97" spans="1:10" x14ac:dyDescent="0.2">
      <c r="A97">
        <v>6</v>
      </c>
      <c r="B97" t="s">
        <v>20</v>
      </c>
      <c r="C97" t="s">
        <v>21</v>
      </c>
      <c r="D97" s="1">
        <v>43922</v>
      </c>
      <c r="E97">
        <v>843</v>
      </c>
      <c r="F97" s="3">
        <v>58819.363637225302</v>
      </c>
      <c r="G97" s="12">
        <f t="shared" si="1"/>
        <v>69.773859593387073</v>
      </c>
      <c r="H97">
        <v>0</v>
      </c>
      <c r="I97" s="2">
        <v>74.317219099945405</v>
      </c>
      <c r="J97" t="s">
        <v>22</v>
      </c>
    </row>
    <row r="98" spans="1:10" x14ac:dyDescent="0.2">
      <c r="A98">
        <v>1</v>
      </c>
      <c r="B98" t="s">
        <v>9</v>
      </c>
      <c r="C98" t="s">
        <v>10</v>
      </c>
      <c r="D98" s="1">
        <v>43952</v>
      </c>
      <c r="E98">
        <v>642</v>
      </c>
      <c r="F98" s="3">
        <v>58885.266229720699</v>
      </c>
      <c r="G98" s="12">
        <f t="shared" si="1"/>
        <v>91.721598488661527</v>
      </c>
      <c r="H98">
        <v>0</v>
      </c>
      <c r="I98" s="2">
        <v>146.26493185548699</v>
      </c>
      <c r="J98" t="s">
        <v>22</v>
      </c>
    </row>
    <row r="99" spans="1:10" x14ac:dyDescent="0.2">
      <c r="A99">
        <v>2</v>
      </c>
      <c r="B99" t="s">
        <v>12</v>
      </c>
      <c r="C99" t="s">
        <v>13</v>
      </c>
      <c r="D99" s="1">
        <v>43952</v>
      </c>
      <c r="E99">
        <v>161</v>
      </c>
      <c r="F99" s="3">
        <v>31989.342296257098</v>
      </c>
      <c r="G99" s="12">
        <f t="shared" si="1"/>
        <v>198.69156705749751</v>
      </c>
      <c r="H99">
        <v>1</v>
      </c>
      <c r="I99" s="2">
        <v>51.300192351073598</v>
      </c>
      <c r="J99" t="s">
        <v>22</v>
      </c>
    </row>
    <row r="100" spans="1:10" x14ac:dyDescent="0.2">
      <c r="A100">
        <v>3</v>
      </c>
      <c r="B100" t="s">
        <v>14</v>
      </c>
      <c r="C100" t="s">
        <v>15</v>
      </c>
      <c r="D100" s="1">
        <v>43952</v>
      </c>
      <c r="E100">
        <v>166</v>
      </c>
      <c r="F100" s="3">
        <v>85293.738685254299</v>
      </c>
      <c r="G100" s="12">
        <f t="shared" si="1"/>
        <v>513.81770292321869</v>
      </c>
      <c r="H100">
        <v>1</v>
      </c>
      <c r="I100" s="2">
        <v>141.06240035402999</v>
      </c>
      <c r="J100" t="s">
        <v>22</v>
      </c>
    </row>
    <row r="101" spans="1:10" x14ac:dyDescent="0.2">
      <c r="A101">
        <v>4</v>
      </c>
      <c r="B101" t="s">
        <v>16</v>
      </c>
      <c r="C101" t="s">
        <v>17</v>
      </c>
      <c r="D101" s="1">
        <v>43952</v>
      </c>
      <c r="E101">
        <v>200</v>
      </c>
      <c r="F101" s="3">
        <v>72783.1514572335</v>
      </c>
      <c r="G101" s="12">
        <f t="shared" si="1"/>
        <v>363.91575728616749</v>
      </c>
      <c r="H101">
        <v>0</v>
      </c>
      <c r="I101" s="2">
        <v>87.969240816726597</v>
      </c>
      <c r="J101" t="s">
        <v>22</v>
      </c>
    </row>
    <row r="102" spans="1:10" x14ac:dyDescent="0.2">
      <c r="A102">
        <v>5</v>
      </c>
      <c r="B102" t="s">
        <v>18</v>
      </c>
      <c r="C102" t="s">
        <v>19</v>
      </c>
      <c r="D102" s="1">
        <v>43952</v>
      </c>
      <c r="E102">
        <v>533</v>
      </c>
      <c r="F102" s="3">
        <v>118180.298540369</v>
      </c>
      <c r="G102" s="12">
        <f t="shared" si="1"/>
        <v>221.72663891251219</v>
      </c>
      <c r="H102">
        <v>0</v>
      </c>
      <c r="I102" s="2">
        <v>84.519214488127503</v>
      </c>
      <c r="J102" t="s">
        <v>22</v>
      </c>
    </row>
    <row r="103" spans="1:10" x14ac:dyDescent="0.2">
      <c r="A103">
        <v>6</v>
      </c>
      <c r="B103" t="s">
        <v>20</v>
      </c>
      <c r="C103" t="s">
        <v>21</v>
      </c>
      <c r="D103" s="1">
        <v>43952</v>
      </c>
      <c r="E103">
        <v>374</v>
      </c>
      <c r="F103" s="3">
        <v>75033.0294279964</v>
      </c>
      <c r="G103" s="12">
        <f t="shared" si="1"/>
        <v>200.62307333688878</v>
      </c>
      <c r="H103">
        <v>0</v>
      </c>
      <c r="I103" s="2">
        <v>79.446575954191701</v>
      </c>
      <c r="J103" t="s">
        <v>22</v>
      </c>
    </row>
    <row r="104" spans="1:10" x14ac:dyDescent="0.2">
      <c r="A104">
        <v>1</v>
      </c>
      <c r="B104" t="s">
        <v>9</v>
      </c>
      <c r="C104" t="s">
        <v>10</v>
      </c>
      <c r="D104" s="1">
        <v>43983</v>
      </c>
      <c r="E104">
        <v>694</v>
      </c>
      <c r="F104" s="3">
        <v>49380.834987268499</v>
      </c>
      <c r="G104" s="12">
        <f t="shared" si="1"/>
        <v>71.153940903845097</v>
      </c>
      <c r="H104">
        <v>1</v>
      </c>
      <c r="I104" s="2">
        <v>68.210713882158302</v>
      </c>
      <c r="J104" t="s">
        <v>23</v>
      </c>
    </row>
    <row r="105" spans="1:10" x14ac:dyDescent="0.2">
      <c r="A105">
        <v>2</v>
      </c>
      <c r="B105" t="s">
        <v>12</v>
      </c>
      <c r="C105" t="s">
        <v>13</v>
      </c>
      <c r="D105" s="1">
        <v>43983</v>
      </c>
      <c r="E105">
        <v>955</v>
      </c>
      <c r="F105" s="3">
        <v>60365</v>
      </c>
      <c r="G105" s="12">
        <f t="shared" si="1"/>
        <v>63.209424083769633</v>
      </c>
      <c r="H105">
        <v>0</v>
      </c>
      <c r="I105" s="2">
        <v>104.16342146608601</v>
      </c>
      <c r="J105" t="s">
        <v>23</v>
      </c>
    </row>
    <row r="106" spans="1:10" x14ac:dyDescent="0.2">
      <c r="A106">
        <v>3</v>
      </c>
      <c r="B106" t="s">
        <v>14</v>
      </c>
      <c r="C106" t="s">
        <v>15</v>
      </c>
      <c r="D106" s="1">
        <v>43983</v>
      </c>
      <c r="E106">
        <v>230</v>
      </c>
      <c r="F106" s="3">
        <v>64865.281880454299</v>
      </c>
      <c r="G106" s="12">
        <f t="shared" si="1"/>
        <v>282.0229646976274</v>
      </c>
      <c r="H106">
        <v>1</v>
      </c>
      <c r="I106" s="2">
        <v>114.50541677693199</v>
      </c>
      <c r="J106" t="s">
        <v>23</v>
      </c>
    </row>
    <row r="107" spans="1:10" x14ac:dyDescent="0.2">
      <c r="A107">
        <v>4</v>
      </c>
      <c r="B107" t="s">
        <v>16</v>
      </c>
      <c r="C107" t="s">
        <v>17</v>
      </c>
      <c r="D107" s="1">
        <v>43983</v>
      </c>
      <c r="E107">
        <v>291</v>
      </c>
      <c r="F107" s="3">
        <v>45552.1056022431</v>
      </c>
      <c r="G107" s="12">
        <f t="shared" si="1"/>
        <v>156.53644536853298</v>
      </c>
      <c r="H107">
        <v>0</v>
      </c>
      <c r="I107" s="2">
        <v>67.167928584830307</v>
      </c>
      <c r="J107" t="s">
        <v>23</v>
      </c>
    </row>
    <row r="108" spans="1:10" x14ac:dyDescent="0.2">
      <c r="A108">
        <v>5</v>
      </c>
      <c r="B108" t="s">
        <v>18</v>
      </c>
      <c r="C108" t="s">
        <v>19</v>
      </c>
      <c r="D108" s="1">
        <v>43983</v>
      </c>
      <c r="E108">
        <v>1216</v>
      </c>
      <c r="F108" s="3">
        <v>117930.58018962599</v>
      </c>
      <c r="G108" s="12">
        <f t="shared" si="1"/>
        <v>96.982385024363481</v>
      </c>
      <c r="H108">
        <v>1</v>
      </c>
      <c r="I108" s="2">
        <v>70.642127176060299</v>
      </c>
      <c r="J108" t="s">
        <v>23</v>
      </c>
    </row>
    <row r="109" spans="1:10" x14ac:dyDescent="0.2">
      <c r="A109">
        <v>6</v>
      </c>
      <c r="B109" t="s">
        <v>20</v>
      </c>
      <c r="C109" t="s">
        <v>21</v>
      </c>
      <c r="D109" s="1">
        <v>43983</v>
      </c>
      <c r="E109">
        <v>100</v>
      </c>
      <c r="F109" s="3">
        <v>82410.668903317506</v>
      </c>
      <c r="G109" s="12">
        <f t="shared" si="1"/>
        <v>824.10668903317503</v>
      </c>
      <c r="H109">
        <v>0</v>
      </c>
      <c r="I109" s="2">
        <v>99.427385013827106</v>
      </c>
      <c r="J109" t="s">
        <v>23</v>
      </c>
    </row>
    <row r="110" spans="1:10" x14ac:dyDescent="0.2">
      <c r="A110">
        <v>1</v>
      </c>
      <c r="B110" t="s">
        <v>9</v>
      </c>
      <c r="C110" t="s">
        <v>10</v>
      </c>
      <c r="D110" s="1">
        <v>44013</v>
      </c>
      <c r="E110">
        <v>814</v>
      </c>
      <c r="F110" s="3">
        <v>73723.563646482406</v>
      </c>
      <c r="G110" s="12">
        <f t="shared" si="1"/>
        <v>90.569488509192141</v>
      </c>
      <c r="H110">
        <v>0</v>
      </c>
      <c r="I110" s="2">
        <v>88.313852824949706</v>
      </c>
      <c r="J110" t="s">
        <v>23</v>
      </c>
    </row>
    <row r="111" spans="1:10" x14ac:dyDescent="0.2">
      <c r="A111">
        <v>2</v>
      </c>
      <c r="B111" t="s">
        <v>12</v>
      </c>
      <c r="C111" t="s">
        <v>13</v>
      </c>
      <c r="D111" s="1">
        <v>44013</v>
      </c>
      <c r="E111">
        <v>551</v>
      </c>
      <c r="F111" s="3">
        <v>37503.628446086397</v>
      </c>
      <c r="G111" s="12">
        <f t="shared" si="1"/>
        <v>68.064661426654084</v>
      </c>
      <c r="H111">
        <v>1</v>
      </c>
      <c r="I111" s="2">
        <v>145.86271773132199</v>
      </c>
      <c r="J111" t="s">
        <v>23</v>
      </c>
    </row>
    <row r="112" spans="1:10" x14ac:dyDescent="0.2">
      <c r="A112">
        <v>3</v>
      </c>
      <c r="B112" t="s">
        <v>14</v>
      </c>
      <c r="C112" t="s">
        <v>15</v>
      </c>
      <c r="D112" s="1">
        <v>44013</v>
      </c>
      <c r="E112">
        <v>505</v>
      </c>
      <c r="F112" s="3">
        <v>45499.881932592398</v>
      </c>
      <c r="G112" s="12">
        <f t="shared" si="1"/>
        <v>90.098776104143369</v>
      </c>
      <c r="H112">
        <v>1</v>
      </c>
      <c r="I112" s="2">
        <v>121.904590518424</v>
      </c>
      <c r="J112" t="s">
        <v>23</v>
      </c>
    </row>
    <row r="113" spans="1:10" x14ac:dyDescent="0.2">
      <c r="A113">
        <v>4</v>
      </c>
      <c r="B113" t="s">
        <v>16</v>
      </c>
      <c r="C113" t="s">
        <v>17</v>
      </c>
      <c r="D113" s="1">
        <v>44013</v>
      </c>
      <c r="E113">
        <v>741</v>
      </c>
      <c r="F113" s="3">
        <v>61479.339184033503</v>
      </c>
      <c r="G113" s="12">
        <f t="shared" si="1"/>
        <v>82.968069074269238</v>
      </c>
      <c r="H113">
        <v>1</v>
      </c>
      <c r="I113" s="2">
        <v>89.664937305205399</v>
      </c>
      <c r="J113" t="s">
        <v>23</v>
      </c>
    </row>
    <row r="114" spans="1:10" x14ac:dyDescent="0.2">
      <c r="A114">
        <v>5</v>
      </c>
      <c r="B114" t="s">
        <v>18</v>
      </c>
      <c r="C114" t="s">
        <v>19</v>
      </c>
      <c r="D114" s="1">
        <v>44013</v>
      </c>
      <c r="E114">
        <v>1950</v>
      </c>
      <c r="F114" s="3">
        <v>116283.18063778301</v>
      </c>
      <c r="G114" s="12">
        <f t="shared" si="1"/>
        <v>59.632400327068211</v>
      </c>
      <c r="H114">
        <v>1</v>
      </c>
      <c r="I114" s="2">
        <v>66.201387789158403</v>
      </c>
      <c r="J114" t="s">
        <v>23</v>
      </c>
    </row>
    <row r="115" spans="1:10" x14ac:dyDescent="0.2">
      <c r="A115">
        <v>6</v>
      </c>
      <c r="B115" t="s">
        <v>20</v>
      </c>
      <c r="C115" t="s">
        <v>21</v>
      </c>
      <c r="D115" s="1">
        <v>44013</v>
      </c>
      <c r="E115">
        <v>547</v>
      </c>
      <c r="F115" s="3">
        <v>54653.5271582758</v>
      </c>
      <c r="G115" s="12">
        <f t="shared" si="1"/>
        <v>99.915040508730897</v>
      </c>
      <c r="H115">
        <v>0</v>
      </c>
      <c r="I115" s="2">
        <v>109.68428489168799</v>
      </c>
      <c r="J115" t="s">
        <v>23</v>
      </c>
    </row>
    <row r="116" spans="1:10" x14ac:dyDescent="0.2">
      <c r="A116">
        <v>1</v>
      </c>
      <c r="B116" t="s">
        <v>9</v>
      </c>
      <c r="C116" t="s">
        <v>10</v>
      </c>
      <c r="D116" s="1">
        <v>44044</v>
      </c>
      <c r="E116">
        <v>729</v>
      </c>
      <c r="F116" s="3">
        <v>35936.471497482198</v>
      </c>
      <c r="G116" s="12">
        <f t="shared" si="1"/>
        <v>49.295571327136074</v>
      </c>
      <c r="H116">
        <v>0</v>
      </c>
      <c r="I116" s="2">
        <v>84.4383732044233</v>
      </c>
      <c r="J116" t="s">
        <v>23</v>
      </c>
    </row>
    <row r="117" spans="1:10" x14ac:dyDescent="0.2">
      <c r="A117">
        <v>2</v>
      </c>
      <c r="B117" t="s">
        <v>12</v>
      </c>
      <c r="C117" t="s">
        <v>13</v>
      </c>
      <c r="D117" s="1">
        <v>44044</v>
      </c>
      <c r="E117">
        <v>290</v>
      </c>
      <c r="F117" s="3">
        <v>14388.866335790301</v>
      </c>
      <c r="G117" s="12">
        <f t="shared" si="1"/>
        <v>49.616780468242418</v>
      </c>
      <c r="H117">
        <v>0</v>
      </c>
      <c r="I117" s="2">
        <v>118.840239642773</v>
      </c>
      <c r="J117" t="s">
        <v>23</v>
      </c>
    </row>
    <row r="118" spans="1:10" x14ac:dyDescent="0.2">
      <c r="A118">
        <v>3</v>
      </c>
      <c r="B118" t="s">
        <v>14</v>
      </c>
      <c r="C118" t="s">
        <v>15</v>
      </c>
      <c r="D118" s="1">
        <v>44044</v>
      </c>
      <c r="E118">
        <v>188</v>
      </c>
      <c r="F118" s="3">
        <v>41992.372796333599</v>
      </c>
      <c r="G118" s="12">
        <f t="shared" si="1"/>
        <v>223.36368508688085</v>
      </c>
      <c r="H118">
        <v>0</v>
      </c>
      <c r="I118" s="2">
        <v>57.776534407895703</v>
      </c>
      <c r="J118" t="s">
        <v>23</v>
      </c>
    </row>
    <row r="119" spans="1:10" x14ac:dyDescent="0.2">
      <c r="A119">
        <v>4</v>
      </c>
      <c r="B119" t="s">
        <v>16</v>
      </c>
      <c r="C119" t="s">
        <v>17</v>
      </c>
      <c r="D119" s="1">
        <v>44044</v>
      </c>
      <c r="E119">
        <v>697</v>
      </c>
      <c r="F119" s="3">
        <v>38110.709037235501</v>
      </c>
      <c r="G119" s="12">
        <f t="shared" si="1"/>
        <v>54.678205218415357</v>
      </c>
      <c r="H119">
        <v>0</v>
      </c>
      <c r="I119" s="2">
        <v>63.681863091896098</v>
      </c>
      <c r="J119" t="s">
        <v>23</v>
      </c>
    </row>
    <row r="120" spans="1:10" x14ac:dyDescent="0.2">
      <c r="A120">
        <v>5</v>
      </c>
      <c r="B120" t="s">
        <v>18</v>
      </c>
      <c r="C120" t="s">
        <v>19</v>
      </c>
      <c r="D120" s="1">
        <v>44044</v>
      </c>
      <c r="E120">
        <v>1211</v>
      </c>
      <c r="F120" s="3">
        <v>151937.06034080099</v>
      </c>
      <c r="G120" s="12">
        <f t="shared" si="1"/>
        <v>125.46412910057886</v>
      </c>
      <c r="H120">
        <v>1</v>
      </c>
      <c r="I120" s="2">
        <v>113.894938533426</v>
      </c>
      <c r="J120" t="s">
        <v>23</v>
      </c>
    </row>
    <row r="121" spans="1:10" x14ac:dyDescent="0.2">
      <c r="A121">
        <v>6</v>
      </c>
      <c r="B121" t="s">
        <v>20</v>
      </c>
      <c r="C121" t="s">
        <v>21</v>
      </c>
      <c r="D121" s="1">
        <v>44044</v>
      </c>
      <c r="E121">
        <v>523</v>
      </c>
      <c r="F121" s="3">
        <v>66096.063574676096</v>
      </c>
      <c r="G121" s="12">
        <f t="shared" si="1"/>
        <v>126.37870664374014</v>
      </c>
      <c r="H121">
        <v>1</v>
      </c>
      <c r="I121" s="2">
        <v>134.91956515653101</v>
      </c>
      <c r="J121" t="s">
        <v>23</v>
      </c>
    </row>
    <row r="122" spans="1:10" x14ac:dyDescent="0.2">
      <c r="A122">
        <v>1</v>
      </c>
      <c r="B122" t="s">
        <v>9</v>
      </c>
      <c r="C122" t="s">
        <v>10</v>
      </c>
      <c r="D122" s="1">
        <v>44075</v>
      </c>
      <c r="E122">
        <v>686</v>
      </c>
      <c r="F122" s="3">
        <v>48596.685770827004</v>
      </c>
      <c r="G122" s="12">
        <f t="shared" si="1"/>
        <v>70.840649811701169</v>
      </c>
      <c r="H122">
        <v>0</v>
      </c>
      <c r="I122" s="2">
        <v>119.317521145692</v>
      </c>
      <c r="J122" t="s">
        <v>24</v>
      </c>
    </row>
    <row r="123" spans="1:10" x14ac:dyDescent="0.2">
      <c r="A123">
        <v>2</v>
      </c>
      <c r="B123" t="s">
        <v>12</v>
      </c>
      <c r="C123" t="s">
        <v>13</v>
      </c>
      <c r="D123" s="1">
        <v>44075</v>
      </c>
      <c r="E123">
        <v>167</v>
      </c>
      <c r="F123" s="3">
        <v>52898.748295623598</v>
      </c>
      <c r="G123" s="12">
        <f t="shared" si="1"/>
        <v>316.75897183008141</v>
      </c>
      <c r="H123">
        <v>1</v>
      </c>
      <c r="I123" s="2">
        <v>120.557517251568</v>
      </c>
      <c r="J123" t="s">
        <v>24</v>
      </c>
    </row>
    <row r="124" spans="1:10" x14ac:dyDescent="0.2">
      <c r="A124">
        <v>3</v>
      </c>
      <c r="B124" t="s">
        <v>14</v>
      </c>
      <c r="C124" t="s">
        <v>15</v>
      </c>
      <c r="D124" s="1">
        <v>44075</v>
      </c>
      <c r="E124">
        <v>423</v>
      </c>
      <c r="F124" s="3">
        <v>66369.694692770703</v>
      </c>
      <c r="G124" s="12">
        <f t="shared" si="1"/>
        <v>156.9023515195525</v>
      </c>
      <c r="H124">
        <v>1</v>
      </c>
      <c r="I124" s="2">
        <v>62.052257878646401</v>
      </c>
      <c r="J124" t="s">
        <v>24</v>
      </c>
    </row>
    <row r="125" spans="1:10" x14ac:dyDescent="0.2">
      <c r="A125">
        <v>4</v>
      </c>
      <c r="B125" t="s">
        <v>16</v>
      </c>
      <c r="C125" t="s">
        <v>17</v>
      </c>
      <c r="D125" s="1">
        <v>44075</v>
      </c>
      <c r="E125">
        <v>526</v>
      </c>
      <c r="F125" s="3">
        <v>33614.712128903899</v>
      </c>
      <c r="G125" s="12">
        <f t="shared" si="1"/>
        <v>63.906296823011218</v>
      </c>
      <c r="H125">
        <v>1</v>
      </c>
      <c r="I125" s="2">
        <v>147.10582451653599</v>
      </c>
      <c r="J125" t="s">
        <v>24</v>
      </c>
    </row>
    <row r="126" spans="1:10" x14ac:dyDescent="0.2">
      <c r="A126">
        <v>5</v>
      </c>
      <c r="B126" t="s">
        <v>18</v>
      </c>
      <c r="C126" t="s">
        <v>19</v>
      </c>
      <c r="D126" s="1">
        <v>44075</v>
      </c>
      <c r="E126">
        <v>1471</v>
      </c>
      <c r="F126" s="3">
        <v>127037.517434315</v>
      </c>
      <c r="G126" s="12">
        <f t="shared" si="1"/>
        <v>86.361330682743031</v>
      </c>
      <c r="H126">
        <v>0</v>
      </c>
      <c r="I126" s="2">
        <v>95.5143685036156</v>
      </c>
      <c r="J126" t="s">
        <v>24</v>
      </c>
    </row>
    <row r="127" spans="1:10" x14ac:dyDescent="0.2">
      <c r="A127">
        <v>6</v>
      </c>
      <c r="B127" t="s">
        <v>20</v>
      </c>
      <c r="C127" t="s">
        <v>21</v>
      </c>
      <c r="D127" s="1">
        <v>44075</v>
      </c>
      <c r="E127">
        <v>938</v>
      </c>
      <c r="F127" s="3">
        <v>56801.352610504597</v>
      </c>
      <c r="G127" s="12">
        <f t="shared" si="1"/>
        <v>60.555813017595518</v>
      </c>
      <c r="H127">
        <v>1</v>
      </c>
      <c r="I127" s="2">
        <v>109.626987848205</v>
      </c>
      <c r="J127" t="s">
        <v>24</v>
      </c>
    </row>
    <row r="128" spans="1:10" x14ac:dyDescent="0.2">
      <c r="A128">
        <v>1</v>
      </c>
      <c r="B128" t="s">
        <v>9</v>
      </c>
      <c r="C128" t="s">
        <v>10</v>
      </c>
      <c r="D128" s="1">
        <v>44105</v>
      </c>
      <c r="E128">
        <v>413</v>
      </c>
      <c r="F128" s="3">
        <v>43816.5575306272</v>
      </c>
      <c r="G128" s="12">
        <f t="shared" si="1"/>
        <v>106.09335963832253</v>
      </c>
      <c r="H128">
        <v>1</v>
      </c>
      <c r="I128" s="2">
        <v>138.49983565232799</v>
      </c>
      <c r="J128" t="s">
        <v>24</v>
      </c>
    </row>
    <row r="129" spans="1:10" x14ac:dyDescent="0.2">
      <c r="A129">
        <v>2</v>
      </c>
      <c r="B129" t="s">
        <v>12</v>
      </c>
      <c r="C129" t="s">
        <v>13</v>
      </c>
      <c r="D129" s="1">
        <v>44105</v>
      </c>
      <c r="E129">
        <v>100</v>
      </c>
      <c r="F129" s="3">
        <v>75963.554156693906</v>
      </c>
      <c r="G129" s="12">
        <f t="shared" si="1"/>
        <v>759.63554156693908</v>
      </c>
      <c r="H129">
        <v>0</v>
      </c>
      <c r="I129" s="2">
        <v>56.535634079894201</v>
      </c>
      <c r="J129" t="s">
        <v>24</v>
      </c>
    </row>
    <row r="130" spans="1:10" x14ac:dyDescent="0.2">
      <c r="A130">
        <v>3</v>
      </c>
      <c r="B130" t="s">
        <v>14</v>
      </c>
      <c r="C130" t="s">
        <v>15</v>
      </c>
      <c r="D130" s="1">
        <v>44105</v>
      </c>
      <c r="E130">
        <v>582</v>
      </c>
      <c r="F130" s="3">
        <v>11406.3080737168</v>
      </c>
      <c r="G130" s="12">
        <f t="shared" si="1"/>
        <v>19.59846748061306</v>
      </c>
      <c r="H130">
        <v>0</v>
      </c>
      <c r="I130" s="2">
        <v>116.16551750805399</v>
      </c>
      <c r="J130" t="s">
        <v>24</v>
      </c>
    </row>
    <row r="131" spans="1:10" x14ac:dyDescent="0.2">
      <c r="A131">
        <v>4</v>
      </c>
      <c r="B131" t="s">
        <v>16</v>
      </c>
      <c r="C131" t="s">
        <v>17</v>
      </c>
      <c r="D131" s="1">
        <v>44105</v>
      </c>
      <c r="E131">
        <v>529</v>
      </c>
      <c r="F131" s="3">
        <v>84271.479816444102</v>
      </c>
      <c r="G131" s="12">
        <f t="shared" ref="G131:G194" si="2">F131/E131</f>
        <v>159.30336449233289</v>
      </c>
      <c r="H131">
        <v>0</v>
      </c>
      <c r="I131" s="2">
        <v>111.58631881823</v>
      </c>
      <c r="J131" t="s">
        <v>24</v>
      </c>
    </row>
    <row r="132" spans="1:10" x14ac:dyDescent="0.2">
      <c r="A132">
        <v>5</v>
      </c>
      <c r="B132" t="s">
        <v>18</v>
      </c>
      <c r="C132" t="s">
        <v>19</v>
      </c>
      <c r="D132" s="1">
        <v>44105</v>
      </c>
      <c r="E132">
        <v>1515</v>
      </c>
      <c r="F132" s="3">
        <v>174942.61608085901</v>
      </c>
      <c r="G132" s="12">
        <f t="shared" si="2"/>
        <v>115.47367398076501</v>
      </c>
      <c r="H132">
        <v>1</v>
      </c>
      <c r="I132" s="2">
        <v>148.40834691992899</v>
      </c>
      <c r="J132" t="s">
        <v>24</v>
      </c>
    </row>
    <row r="133" spans="1:10" x14ac:dyDescent="0.2">
      <c r="A133">
        <v>6</v>
      </c>
      <c r="B133" t="s">
        <v>20</v>
      </c>
      <c r="C133" t="s">
        <v>21</v>
      </c>
      <c r="D133" s="1">
        <v>44105</v>
      </c>
      <c r="E133">
        <v>369</v>
      </c>
      <c r="F133" s="3">
        <v>41089.9495719845</v>
      </c>
      <c r="G133" s="12">
        <f t="shared" si="2"/>
        <v>111.35487688884689</v>
      </c>
      <c r="H133">
        <v>0</v>
      </c>
      <c r="I133" s="2">
        <v>102.251919163452</v>
      </c>
      <c r="J133" t="s">
        <v>24</v>
      </c>
    </row>
    <row r="134" spans="1:10" x14ac:dyDescent="0.2">
      <c r="A134">
        <v>1</v>
      </c>
      <c r="B134" t="s">
        <v>9</v>
      </c>
      <c r="C134" t="s">
        <v>10</v>
      </c>
      <c r="D134" s="1">
        <v>44136</v>
      </c>
      <c r="E134">
        <v>790</v>
      </c>
      <c r="F134" s="3">
        <v>12773.0219264635</v>
      </c>
      <c r="G134" s="12">
        <f t="shared" si="2"/>
        <v>16.168382185396837</v>
      </c>
      <c r="H134">
        <v>1</v>
      </c>
      <c r="I134" s="2">
        <v>79.630812045599001</v>
      </c>
      <c r="J134" t="s">
        <v>24</v>
      </c>
    </row>
    <row r="135" spans="1:10" x14ac:dyDescent="0.2">
      <c r="A135">
        <v>2</v>
      </c>
      <c r="B135" t="s">
        <v>12</v>
      </c>
      <c r="C135" t="s">
        <v>13</v>
      </c>
      <c r="D135" s="1">
        <v>44136</v>
      </c>
      <c r="E135">
        <v>440</v>
      </c>
      <c r="F135" s="3">
        <v>11326.433977848699</v>
      </c>
      <c r="G135" s="12">
        <f t="shared" si="2"/>
        <v>25.741895404201589</v>
      </c>
      <c r="H135">
        <v>1</v>
      </c>
      <c r="I135" s="2">
        <v>62.443755729685599</v>
      </c>
      <c r="J135" t="s">
        <v>24</v>
      </c>
    </row>
    <row r="136" spans="1:10" x14ac:dyDescent="0.2">
      <c r="A136">
        <v>3</v>
      </c>
      <c r="B136" t="s">
        <v>14</v>
      </c>
      <c r="C136" t="s">
        <v>15</v>
      </c>
      <c r="D136" s="1">
        <v>44136</v>
      </c>
      <c r="E136">
        <v>258</v>
      </c>
      <c r="F136" s="3">
        <v>61261.5774794514</v>
      </c>
      <c r="G136" s="12">
        <f t="shared" si="2"/>
        <v>237.44797472655583</v>
      </c>
      <c r="H136">
        <v>0</v>
      </c>
      <c r="I136" s="2">
        <v>137.91183075621601</v>
      </c>
      <c r="J136" t="s">
        <v>24</v>
      </c>
    </row>
    <row r="137" spans="1:10" x14ac:dyDescent="0.2">
      <c r="A137">
        <v>4</v>
      </c>
      <c r="B137" t="s">
        <v>16</v>
      </c>
      <c r="C137" t="s">
        <v>17</v>
      </c>
      <c r="D137" s="1">
        <v>44136</v>
      </c>
      <c r="E137">
        <v>193</v>
      </c>
      <c r="F137" s="3">
        <v>49010.725806951297</v>
      </c>
      <c r="G137" s="12">
        <f t="shared" si="2"/>
        <v>253.94158449197565</v>
      </c>
      <c r="H137">
        <v>0</v>
      </c>
      <c r="I137" s="2">
        <v>148.918490981335</v>
      </c>
      <c r="J137" t="s">
        <v>24</v>
      </c>
    </row>
    <row r="138" spans="1:10" x14ac:dyDescent="0.2">
      <c r="A138">
        <v>5</v>
      </c>
      <c r="B138" t="s">
        <v>18</v>
      </c>
      <c r="C138" t="s">
        <v>19</v>
      </c>
      <c r="D138" s="1">
        <v>44136</v>
      </c>
      <c r="E138">
        <v>1683</v>
      </c>
      <c r="F138" s="3">
        <v>111357.97216135501</v>
      </c>
      <c r="G138" s="12">
        <f t="shared" si="2"/>
        <v>66.166353037049916</v>
      </c>
      <c r="H138">
        <v>1</v>
      </c>
      <c r="I138" s="2">
        <v>133.78257352832401</v>
      </c>
      <c r="J138" t="s">
        <v>24</v>
      </c>
    </row>
    <row r="139" spans="1:10" x14ac:dyDescent="0.2">
      <c r="A139">
        <v>6</v>
      </c>
      <c r="B139" t="s">
        <v>20</v>
      </c>
      <c r="C139" t="s">
        <v>21</v>
      </c>
      <c r="D139" s="1">
        <v>44136</v>
      </c>
      <c r="E139">
        <v>623</v>
      </c>
      <c r="F139" s="3">
        <v>39925.9103865371</v>
      </c>
      <c r="G139" s="12">
        <f t="shared" si="2"/>
        <v>64.086533525741729</v>
      </c>
      <c r="H139">
        <v>1</v>
      </c>
      <c r="I139" s="2">
        <v>73.066981171775794</v>
      </c>
      <c r="J139" t="s">
        <v>24</v>
      </c>
    </row>
    <row r="140" spans="1:10" x14ac:dyDescent="0.2">
      <c r="A140">
        <v>1</v>
      </c>
      <c r="B140" t="s">
        <v>9</v>
      </c>
      <c r="C140" t="s">
        <v>10</v>
      </c>
      <c r="D140" s="1">
        <v>44166</v>
      </c>
      <c r="E140">
        <v>396</v>
      </c>
      <c r="F140" s="3">
        <v>38021.512068813201</v>
      </c>
      <c r="G140" s="12">
        <f t="shared" si="2"/>
        <v>96.013919365689901</v>
      </c>
      <c r="H140">
        <v>0</v>
      </c>
      <c r="I140" s="2">
        <v>145.72702629833199</v>
      </c>
      <c r="J140" t="s">
        <v>11</v>
      </c>
    </row>
    <row r="141" spans="1:10" x14ac:dyDescent="0.2">
      <c r="A141">
        <v>2</v>
      </c>
      <c r="B141" t="s">
        <v>12</v>
      </c>
      <c r="C141" t="s">
        <v>13</v>
      </c>
      <c r="D141" s="1">
        <v>44166</v>
      </c>
      <c r="E141">
        <v>593</v>
      </c>
      <c r="F141" s="3">
        <v>60163.795549842602</v>
      </c>
      <c r="G141" s="12">
        <f t="shared" si="2"/>
        <v>101.45665354104992</v>
      </c>
      <c r="H141">
        <v>1</v>
      </c>
      <c r="I141" s="2">
        <v>146.91026301408101</v>
      </c>
      <c r="J141" t="s">
        <v>11</v>
      </c>
    </row>
    <row r="142" spans="1:10" x14ac:dyDescent="0.2">
      <c r="A142">
        <v>3</v>
      </c>
      <c r="B142" t="s">
        <v>14</v>
      </c>
      <c r="C142" t="s">
        <v>15</v>
      </c>
      <c r="D142" s="1">
        <v>44166</v>
      </c>
      <c r="E142">
        <v>784</v>
      </c>
      <c r="F142" s="3">
        <v>38585.074125010397</v>
      </c>
      <c r="G142" s="12">
        <f t="shared" si="2"/>
        <v>49.215655771696937</v>
      </c>
      <c r="H142">
        <v>1</v>
      </c>
      <c r="I142" s="2">
        <v>149.63357758067201</v>
      </c>
      <c r="J142" t="s">
        <v>11</v>
      </c>
    </row>
    <row r="143" spans="1:10" x14ac:dyDescent="0.2">
      <c r="A143">
        <v>4</v>
      </c>
      <c r="B143" t="s">
        <v>16</v>
      </c>
      <c r="C143" t="s">
        <v>17</v>
      </c>
      <c r="D143" s="1">
        <v>44166</v>
      </c>
      <c r="E143">
        <v>482</v>
      </c>
      <c r="F143" s="3">
        <v>68908.197999542594</v>
      </c>
      <c r="G143" s="12">
        <f t="shared" si="2"/>
        <v>142.96306638909252</v>
      </c>
      <c r="H143">
        <v>0</v>
      </c>
      <c r="I143" s="2">
        <v>72.381761482262306</v>
      </c>
      <c r="J143" t="s">
        <v>11</v>
      </c>
    </row>
    <row r="144" spans="1:10" x14ac:dyDescent="0.2">
      <c r="A144">
        <v>5</v>
      </c>
      <c r="B144" t="s">
        <v>18</v>
      </c>
      <c r="C144" t="s">
        <v>19</v>
      </c>
      <c r="D144" s="1">
        <v>44166</v>
      </c>
      <c r="E144">
        <v>1707</v>
      </c>
      <c r="F144" s="3">
        <v>128135.14904699899</v>
      </c>
      <c r="G144" s="12">
        <f t="shared" si="2"/>
        <v>75.064527854129466</v>
      </c>
      <c r="H144">
        <v>1</v>
      </c>
      <c r="I144" s="2">
        <v>136.012681641792</v>
      </c>
      <c r="J144" t="s">
        <v>11</v>
      </c>
    </row>
    <row r="145" spans="1:10" x14ac:dyDescent="0.2">
      <c r="A145">
        <v>6</v>
      </c>
      <c r="B145" t="s">
        <v>20</v>
      </c>
      <c r="C145" t="s">
        <v>21</v>
      </c>
      <c r="D145" s="1">
        <v>44166</v>
      </c>
      <c r="E145">
        <v>100</v>
      </c>
      <c r="F145" s="3">
        <v>32432.576258144301</v>
      </c>
      <c r="G145" s="12">
        <f t="shared" si="2"/>
        <v>324.32576258144303</v>
      </c>
      <c r="H145">
        <v>0</v>
      </c>
      <c r="I145" s="2">
        <v>62.9514921282804</v>
      </c>
      <c r="J145" t="s">
        <v>11</v>
      </c>
    </row>
    <row r="146" spans="1:10" x14ac:dyDescent="0.2">
      <c r="A146">
        <v>1</v>
      </c>
      <c r="B146" t="s">
        <v>9</v>
      </c>
      <c r="C146" t="s">
        <v>10</v>
      </c>
      <c r="D146" s="1">
        <v>44197</v>
      </c>
      <c r="E146">
        <v>557</v>
      </c>
      <c r="F146" s="3">
        <v>56689.135799740499</v>
      </c>
      <c r="G146" s="12">
        <f t="shared" si="2"/>
        <v>101.77582728858259</v>
      </c>
      <c r="H146">
        <v>1</v>
      </c>
      <c r="I146" s="2">
        <v>143.15894883189901</v>
      </c>
      <c r="J146" t="s">
        <v>11</v>
      </c>
    </row>
    <row r="147" spans="1:10" x14ac:dyDescent="0.2">
      <c r="A147">
        <v>2</v>
      </c>
      <c r="B147" t="s">
        <v>12</v>
      </c>
      <c r="C147" t="s">
        <v>13</v>
      </c>
      <c r="D147" s="1">
        <v>44197</v>
      </c>
      <c r="E147">
        <v>318</v>
      </c>
      <c r="F147" s="3">
        <v>69497.005693922605</v>
      </c>
      <c r="G147" s="12">
        <f t="shared" si="2"/>
        <v>218.54404306264971</v>
      </c>
      <c r="H147">
        <v>1</v>
      </c>
      <c r="I147" s="2">
        <v>87.268851701231398</v>
      </c>
      <c r="J147" t="s">
        <v>11</v>
      </c>
    </row>
    <row r="148" spans="1:10" x14ac:dyDescent="0.2">
      <c r="A148">
        <v>3</v>
      </c>
      <c r="B148" t="s">
        <v>14</v>
      </c>
      <c r="C148" t="s">
        <v>15</v>
      </c>
      <c r="D148" s="1">
        <v>44197</v>
      </c>
      <c r="E148">
        <v>676</v>
      </c>
      <c r="F148" s="3">
        <v>30986.3241718934</v>
      </c>
      <c r="G148" s="12">
        <f t="shared" si="2"/>
        <v>45.837757650729884</v>
      </c>
      <c r="H148">
        <v>1</v>
      </c>
      <c r="I148" s="2">
        <v>103.260251940076</v>
      </c>
      <c r="J148" t="s">
        <v>11</v>
      </c>
    </row>
    <row r="149" spans="1:10" x14ac:dyDescent="0.2">
      <c r="A149">
        <v>4</v>
      </c>
      <c r="B149" t="s">
        <v>16</v>
      </c>
      <c r="C149" t="s">
        <v>17</v>
      </c>
      <c r="D149" s="1">
        <v>44197</v>
      </c>
      <c r="E149">
        <v>681</v>
      </c>
      <c r="F149" s="3">
        <v>50717.890995353897</v>
      </c>
      <c r="G149" s="12">
        <f t="shared" si="2"/>
        <v>74.475610859550514</v>
      </c>
      <c r="H149">
        <v>0</v>
      </c>
      <c r="I149" s="2">
        <v>84.780920790219298</v>
      </c>
      <c r="J149" t="s">
        <v>11</v>
      </c>
    </row>
    <row r="150" spans="1:10" x14ac:dyDescent="0.2">
      <c r="A150">
        <v>5</v>
      </c>
      <c r="B150" t="s">
        <v>18</v>
      </c>
      <c r="C150" t="s">
        <v>19</v>
      </c>
      <c r="D150" s="1">
        <v>44197</v>
      </c>
      <c r="E150">
        <v>1204</v>
      </c>
      <c r="F150" s="3">
        <v>155401.21977208101</v>
      </c>
      <c r="G150" s="12">
        <f t="shared" si="2"/>
        <v>129.07078054159552</v>
      </c>
      <c r="H150">
        <v>0</v>
      </c>
      <c r="I150" s="2">
        <v>123.39099189536999</v>
      </c>
      <c r="J150" t="s">
        <v>11</v>
      </c>
    </row>
    <row r="151" spans="1:10" x14ac:dyDescent="0.2">
      <c r="A151">
        <v>6</v>
      </c>
      <c r="B151" t="s">
        <v>20</v>
      </c>
      <c r="C151" t="s">
        <v>21</v>
      </c>
      <c r="D151" s="1">
        <v>44197</v>
      </c>
      <c r="E151">
        <v>720</v>
      </c>
      <c r="F151" s="3">
        <v>51272.355199003301</v>
      </c>
      <c r="G151" s="12">
        <f t="shared" si="2"/>
        <v>71.211604443060139</v>
      </c>
      <c r="H151">
        <v>1</v>
      </c>
      <c r="I151" s="2">
        <v>135.058172909424</v>
      </c>
      <c r="J151" t="s">
        <v>11</v>
      </c>
    </row>
    <row r="152" spans="1:10" x14ac:dyDescent="0.2">
      <c r="A152">
        <v>1</v>
      </c>
      <c r="B152" t="s">
        <v>9</v>
      </c>
      <c r="C152" t="s">
        <v>10</v>
      </c>
      <c r="D152" s="1">
        <v>44228</v>
      </c>
      <c r="E152">
        <v>581</v>
      </c>
      <c r="F152" s="3">
        <v>64300.140276022801</v>
      </c>
      <c r="G152" s="12">
        <f t="shared" si="2"/>
        <v>110.67149789332667</v>
      </c>
      <c r="H152">
        <v>0</v>
      </c>
      <c r="I152" s="2">
        <v>73.869003130101703</v>
      </c>
      <c r="J152" t="s">
        <v>11</v>
      </c>
    </row>
    <row r="153" spans="1:10" x14ac:dyDescent="0.2">
      <c r="A153">
        <v>2</v>
      </c>
      <c r="B153" t="s">
        <v>12</v>
      </c>
      <c r="C153" t="s">
        <v>13</v>
      </c>
      <c r="D153" s="1">
        <v>44228</v>
      </c>
      <c r="E153">
        <v>314</v>
      </c>
      <c r="F153" s="3">
        <v>61887.376178463302</v>
      </c>
      <c r="G153" s="12">
        <f t="shared" si="2"/>
        <v>197.09355470848186</v>
      </c>
      <c r="H153">
        <v>0</v>
      </c>
      <c r="I153" s="2">
        <v>138.08707591989199</v>
      </c>
      <c r="J153" t="s">
        <v>11</v>
      </c>
    </row>
    <row r="154" spans="1:10" x14ac:dyDescent="0.2">
      <c r="A154">
        <v>3</v>
      </c>
      <c r="B154" t="s">
        <v>14</v>
      </c>
      <c r="C154" t="s">
        <v>15</v>
      </c>
      <c r="D154" s="1">
        <v>44228</v>
      </c>
      <c r="E154">
        <v>466</v>
      </c>
      <c r="F154" s="3">
        <v>52934.273728666398</v>
      </c>
      <c r="G154" s="12">
        <f t="shared" si="2"/>
        <v>113.59286207868325</v>
      </c>
      <c r="H154">
        <v>0</v>
      </c>
      <c r="I154" s="2">
        <v>72.862516152492304</v>
      </c>
      <c r="J154" t="s">
        <v>11</v>
      </c>
    </row>
    <row r="155" spans="1:10" x14ac:dyDescent="0.2">
      <c r="A155">
        <v>4</v>
      </c>
      <c r="B155" t="s">
        <v>16</v>
      </c>
      <c r="C155" t="s">
        <v>17</v>
      </c>
      <c r="D155" s="1">
        <v>44228</v>
      </c>
      <c r="E155">
        <v>813</v>
      </c>
      <c r="F155" s="3">
        <v>56862.181659035101</v>
      </c>
      <c r="G155" s="12">
        <f t="shared" si="2"/>
        <v>69.941182852441699</v>
      </c>
      <c r="H155">
        <v>1</v>
      </c>
      <c r="I155" s="2">
        <v>50.638587171683298</v>
      </c>
      <c r="J155" t="s">
        <v>11</v>
      </c>
    </row>
    <row r="156" spans="1:10" x14ac:dyDescent="0.2">
      <c r="A156">
        <v>5</v>
      </c>
      <c r="B156" t="s">
        <v>18</v>
      </c>
      <c r="C156" t="s">
        <v>19</v>
      </c>
      <c r="D156" s="1">
        <v>44228</v>
      </c>
      <c r="E156">
        <v>1245</v>
      </c>
      <c r="F156" s="3">
        <v>55318.208210520803</v>
      </c>
      <c r="G156" s="12">
        <f t="shared" si="2"/>
        <v>44.43229575142233</v>
      </c>
      <c r="H156">
        <v>0</v>
      </c>
      <c r="I156" s="2">
        <v>105.984431230882</v>
      </c>
      <c r="J156" t="s">
        <v>11</v>
      </c>
    </row>
    <row r="157" spans="1:10" x14ac:dyDescent="0.2">
      <c r="A157">
        <v>6</v>
      </c>
      <c r="B157" t="s">
        <v>20</v>
      </c>
      <c r="C157" t="s">
        <v>21</v>
      </c>
      <c r="D157" s="1">
        <v>44228</v>
      </c>
      <c r="E157">
        <v>443</v>
      </c>
      <c r="F157" s="3">
        <v>32359.453175851399</v>
      </c>
      <c r="G157" s="12">
        <f t="shared" si="2"/>
        <v>73.046169697181483</v>
      </c>
      <c r="H157">
        <v>1</v>
      </c>
      <c r="I157" s="2">
        <v>103.99853797158499</v>
      </c>
      <c r="J157" t="s">
        <v>11</v>
      </c>
    </row>
    <row r="158" spans="1:10" x14ac:dyDescent="0.2">
      <c r="A158">
        <v>1</v>
      </c>
      <c r="B158" t="s">
        <v>9</v>
      </c>
      <c r="C158" t="s">
        <v>10</v>
      </c>
      <c r="D158" s="1">
        <v>44256</v>
      </c>
      <c r="E158">
        <v>438</v>
      </c>
      <c r="F158" s="3">
        <v>54383.006553278698</v>
      </c>
      <c r="G158" s="12">
        <f t="shared" si="2"/>
        <v>124.16211541844451</v>
      </c>
      <c r="H158">
        <v>1</v>
      </c>
      <c r="I158" s="2">
        <v>51.842771873821697</v>
      </c>
      <c r="J158" t="s">
        <v>22</v>
      </c>
    </row>
    <row r="159" spans="1:10" x14ac:dyDescent="0.2">
      <c r="A159">
        <v>2</v>
      </c>
      <c r="B159" t="s">
        <v>12</v>
      </c>
      <c r="C159" t="s">
        <v>13</v>
      </c>
      <c r="D159" s="1">
        <v>44256</v>
      </c>
      <c r="E159">
        <v>737</v>
      </c>
      <c r="F159" s="3">
        <v>45272.943321512801</v>
      </c>
      <c r="G159" s="12">
        <f t="shared" si="2"/>
        <v>61.428688360261603</v>
      </c>
      <c r="H159">
        <v>1</v>
      </c>
      <c r="I159" s="2">
        <v>113.262189313394</v>
      </c>
      <c r="J159" t="s">
        <v>22</v>
      </c>
    </row>
    <row r="160" spans="1:10" x14ac:dyDescent="0.2">
      <c r="A160">
        <v>3</v>
      </c>
      <c r="B160" t="s">
        <v>14</v>
      </c>
      <c r="C160" t="s">
        <v>15</v>
      </c>
      <c r="D160" s="1">
        <v>44256</v>
      </c>
      <c r="E160">
        <v>535</v>
      </c>
      <c r="F160" s="3">
        <v>58170.246967548497</v>
      </c>
      <c r="G160" s="12">
        <f t="shared" si="2"/>
        <v>108.72943358420279</v>
      </c>
      <c r="H160">
        <v>1</v>
      </c>
      <c r="I160" s="2">
        <v>144.72978882563299</v>
      </c>
      <c r="J160" t="s">
        <v>22</v>
      </c>
    </row>
    <row r="161" spans="1:10" x14ac:dyDescent="0.2">
      <c r="A161">
        <v>4</v>
      </c>
      <c r="B161" t="s">
        <v>16</v>
      </c>
      <c r="C161" t="s">
        <v>17</v>
      </c>
      <c r="D161" s="1">
        <v>44256</v>
      </c>
      <c r="E161">
        <v>598</v>
      </c>
      <c r="F161" s="3">
        <v>37924.395218758596</v>
      </c>
      <c r="G161" s="12">
        <f t="shared" si="2"/>
        <v>63.418721101603005</v>
      </c>
      <c r="H161">
        <v>0</v>
      </c>
      <c r="I161" s="2">
        <v>108.217046017627</v>
      </c>
      <c r="J161" t="s">
        <v>22</v>
      </c>
    </row>
    <row r="162" spans="1:10" x14ac:dyDescent="0.2">
      <c r="A162">
        <v>5</v>
      </c>
      <c r="B162" t="s">
        <v>18</v>
      </c>
      <c r="C162" t="s">
        <v>19</v>
      </c>
      <c r="D162" s="1">
        <v>44256</v>
      </c>
      <c r="E162">
        <v>1358</v>
      </c>
      <c r="F162" s="3">
        <v>54304.392856486702</v>
      </c>
      <c r="G162" s="12">
        <f t="shared" si="2"/>
        <v>39.988507258090358</v>
      </c>
      <c r="H162">
        <v>0</v>
      </c>
      <c r="I162" s="2">
        <v>135.241465919864</v>
      </c>
      <c r="J162" t="s">
        <v>22</v>
      </c>
    </row>
    <row r="163" spans="1:10" x14ac:dyDescent="0.2">
      <c r="A163">
        <v>6</v>
      </c>
      <c r="B163" t="s">
        <v>20</v>
      </c>
      <c r="C163" t="s">
        <v>21</v>
      </c>
      <c r="D163" s="1">
        <v>44256</v>
      </c>
      <c r="E163">
        <v>904</v>
      </c>
      <c r="F163" s="3">
        <v>35202.514470732203</v>
      </c>
      <c r="G163" s="12">
        <f t="shared" si="2"/>
        <v>38.940834591517927</v>
      </c>
      <c r="H163">
        <v>1</v>
      </c>
      <c r="I163" s="2">
        <v>125.826319592902</v>
      </c>
      <c r="J163" t="s">
        <v>22</v>
      </c>
    </row>
    <row r="164" spans="1:10" x14ac:dyDescent="0.2">
      <c r="A164">
        <v>1</v>
      </c>
      <c r="B164" t="s">
        <v>9</v>
      </c>
      <c r="C164" t="s">
        <v>10</v>
      </c>
      <c r="D164" s="1">
        <v>44287</v>
      </c>
      <c r="E164">
        <v>473</v>
      </c>
      <c r="F164" s="3">
        <v>10000</v>
      </c>
      <c r="G164" s="12">
        <f t="shared" si="2"/>
        <v>21.141649048625794</v>
      </c>
      <c r="H164">
        <v>0</v>
      </c>
      <c r="I164" s="2">
        <v>75.250874968838204</v>
      </c>
      <c r="J164" t="s">
        <v>22</v>
      </c>
    </row>
    <row r="165" spans="1:10" x14ac:dyDescent="0.2">
      <c r="A165">
        <v>2</v>
      </c>
      <c r="B165" t="s">
        <v>12</v>
      </c>
      <c r="C165" t="s">
        <v>13</v>
      </c>
      <c r="D165" s="1">
        <v>44287</v>
      </c>
      <c r="E165">
        <v>635</v>
      </c>
      <c r="F165" s="3">
        <v>49039.409385716397</v>
      </c>
      <c r="G165" s="12">
        <f t="shared" si="2"/>
        <v>77.227416355458899</v>
      </c>
      <c r="H165">
        <v>0</v>
      </c>
      <c r="I165" s="2">
        <v>95.138702432967506</v>
      </c>
      <c r="J165" t="s">
        <v>22</v>
      </c>
    </row>
    <row r="166" spans="1:10" x14ac:dyDescent="0.2">
      <c r="A166">
        <v>3</v>
      </c>
      <c r="B166" t="s">
        <v>14</v>
      </c>
      <c r="C166" t="s">
        <v>15</v>
      </c>
      <c r="D166" s="1">
        <v>44287</v>
      </c>
      <c r="E166">
        <v>588</v>
      </c>
      <c r="F166" s="3">
        <v>39958.9155129477</v>
      </c>
      <c r="G166" s="12">
        <f t="shared" si="2"/>
        <v>67.957339307734188</v>
      </c>
      <c r="H166">
        <v>0</v>
      </c>
      <c r="I166" s="2">
        <v>79.837443098999202</v>
      </c>
      <c r="J166" t="s">
        <v>22</v>
      </c>
    </row>
    <row r="167" spans="1:10" x14ac:dyDescent="0.2">
      <c r="A167">
        <v>4</v>
      </c>
      <c r="B167" t="s">
        <v>16</v>
      </c>
      <c r="C167" t="s">
        <v>17</v>
      </c>
      <c r="D167" s="1">
        <v>44287</v>
      </c>
      <c r="E167">
        <v>592</v>
      </c>
      <c r="F167" s="3">
        <v>61556.337817622698</v>
      </c>
      <c r="G167" s="12">
        <f t="shared" si="2"/>
        <v>103.98030036760591</v>
      </c>
      <c r="H167">
        <v>1</v>
      </c>
      <c r="I167" s="2">
        <v>115.451121428113</v>
      </c>
      <c r="J167" t="s">
        <v>22</v>
      </c>
    </row>
    <row r="168" spans="1:10" x14ac:dyDescent="0.2">
      <c r="A168">
        <v>5</v>
      </c>
      <c r="B168" t="s">
        <v>18</v>
      </c>
      <c r="C168" t="s">
        <v>19</v>
      </c>
      <c r="D168" s="1">
        <v>44287</v>
      </c>
      <c r="E168">
        <v>933</v>
      </c>
      <c r="F168" s="3">
        <v>65591.241137996796</v>
      </c>
      <c r="G168" s="12">
        <f t="shared" si="2"/>
        <v>70.301437446941904</v>
      </c>
      <c r="H168">
        <v>0</v>
      </c>
      <c r="I168" s="2">
        <v>140.952451094781</v>
      </c>
      <c r="J168" t="s">
        <v>22</v>
      </c>
    </row>
    <row r="169" spans="1:10" x14ac:dyDescent="0.2">
      <c r="A169">
        <v>6</v>
      </c>
      <c r="B169" t="s">
        <v>20</v>
      </c>
      <c r="C169" t="s">
        <v>21</v>
      </c>
      <c r="D169" s="1">
        <v>44287</v>
      </c>
      <c r="E169">
        <v>431</v>
      </c>
      <c r="F169" s="3">
        <v>80984.189530525997</v>
      </c>
      <c r="G169" s="12">
        <f t="shared" si="2"/>
        <v>187.89835157894663</v>
      </c>
      <c r="H169">
        <v>0</v>
      </c>
      <c r="I169" s="2">
        <v>90.933400631504298</v>
      </c>
      <c r="J169" t="s">
        <v>22</v>
      </c>
    </row>
    <row r="170" spans="1:10" x14ac:dyDescent="0.2">
      <c r="A170">
        <v>1</v>
      </c>
      <c r="B170" t="s">
        <v>9</v>
      </c>
      <c r="C170" t="s">
        <v>10</v>
      </c>
      <c r="D170" s="1">
        <v>44317</v>
      </c>
      <c r="E170">
        <v>451</v>
      </c>
      <c r="F170" s="3">
        <v>57041.1079302859</v>
      </c>
      <c r="G170" s="12">
        <f t="shared" si="2"/>
        <v>126.47695771682018</v>
      </c>
      <c r="H170">
        <v>0</v>
      </c>
      <c r="I170" s="2">
        <v>70.035914354871196</v>
      </c>
      <c r="J170" t="s">
        <v>22</v>
      </c>
    </row>
    <row r="171" spans="1:10" x14ac:dyDescent="0.2">
      <c r="A171">
        <v>2</v>
      </c>
      <c r="B171" t="s">
        <v>12</v>
      </c>
      <c r="C171" t="s">
        <v>13</v>
      </c>
      <c r="D171" s="1">
        <v>44317</v>
      </c>
      <c r="E171">
        <v>580</v>
      </c>
      <c r="F171" s="3">
        <v>63797.264995926002</v>
      </c>
      <c r="G171" s="12">
        <f t="shared" si="2"/>
        <v>109.99528447573448</v>
      </c>
      <c r="H171">
        <v>1</v>
      </c>
      <c r="I171" s="2">
        <v>136.43582498396299</v>
      </c>
      <c r="J171" t="s">
        <v>22</v>
      </c>
    </row>
    <row r="172" spans="1:10" x14ac:dyDescent="0.2">
      <c r="A172">
        <v>3</v>
      </c>
      <c r="B172" t="s">
        <v>14</v>
      </c>
      <c r="C172" t="s">
        <v>15</v>
      </c>
      <c r="D172" s="1">
        <v>44317</v>
      </c>
      <c r="E172">
        <v>601</v>
      </c>
      <c r="F172" s="3">
        <v>49421.5023165026</v>
      </c>
      <c r="G172" s="12">
        <f t="shared" si="2"/>
        <v>82.232116999172376</v>
      </c>
      <c r="H172">
        <v>1</v>
      </c>
      <c r="I172" s="2">
        <v>70.370124927627401</v>
      </c>
      <c r="J172" t="s">
        <v>22</v>
      </c>
    </row>
    <row r="173" spans="1:10" x14ac:dyDescent="0.2">
      <c r="A173">
        <v>4</v>
      </c>
      <c r="B173" t="s">
        <v>16</v>
      </c>
      <c r="C173" t="s">
        <v>17</v>
      </c>
      <c r="D173" s="1">
        <v>44317</v>
      </c>
      <c r="E173">
        <v>825</v>
      </c>
      <c r="F173" s="3">
        <v>10000</v>
      </c>
      <c r="G173" s="12">
        <f t="shared" si="2"/>
        <v>12.121212121212121</v>
      </c>
      <c r="H173">
        <v>0</v>
      </c>
      <c r="I173" s="2">
        <v>112.622032163141</v>
      </c>
      <c r="J173" t="s">
        <v>22</v>
      </c>
    </row>
    <row r="174" spans="1:10" x14ac:dyDescent="0.2">
      <c r="A174">
        <v>5</v>
      </c>
      <c r="B174" t="s">
        <v>18</v>
      </c>
      <c r="C174" t="s">
        <v>19</v>
      </c>
      <c r="D174" s="1">
        <v>44317</v>
      </c>
      <c r="E174">
        <v>1058</v>
      </c>
      <c r="F174" s="3">
        <v>121270.112727655</v>
      </c>
      <c r="G174" s="12">
        <f t="shared" si="2"/>
        <v>114.62203471422967</v>
      </c>
      <c r="H174">
        <v>1</v>
      </c>
      <c r="I174" s="2">
        <v>96.209729076566006</v>
      </c>
      <c r="J174" t="s">
        <v>22</v>
      </c>
    </row>
    <row r="175" spans="1:10" x14ac:dyDescent="0.2">
      <c r="A175">
        <v>6</v>
      </c>
      <c r="B175" t="s">
        <v>20</v>
      </c>
      <c r="C175" t="s">
        <v>21</v>
      </c>
      <c r="D175" s="1">
        <v>44317</v>
      </c>
      <c r="E175">
        <v>214</v>
      </c>
      <c r="F175" s="3">
        <v>62123.301812229103</v>
      </c>
      <c r="G175" s="12">
        <f t="shared" si="2"/>
        <v>290.29580286088367</v>
      </c>
      <c r="H175">
        <v>0</v>
      </c>
      <c r="I175" s="2">
        <v>70.052472670033595</v>
      </c>
      <c r="J175" t="s">
        <v>22</v>
      </c>
    </row>
    <row r="176" spans="1:10" x14ac:dyDescent="0.2">
      <c r="A176">
        <v>1</v>
      </c>
      <c r="B176" t="s">
        <v>9</v>
      </c>
      <c r="C176" t="s">
        <v>10</v>
      </c>
      <c r="D176" s="1">
        <v>44348</v>
      </c>
      <c r="E176">
        <v>351</v>
      </c>
      <c r="F176" s="3">
        <v>49714.219372200598</v>
      </c>
      <c r="G176" s="12">
        <f t="shared" si="2"/>
        <v>141.63595262735214</v>
      </c>
      <c r="H176">
        <v>1</v>
      </c>
      <c r="I176" s="2">
        <v>82.592546395207407</v>
      </c>
      <c r="J176" t="s">
        <v>23</v>
      </c>
    </row>
    <row r="177" spans="1:10" x14ac:dyDescent="0.2">
      <c r="A177">
        <v>2</v>
      </c>
      <c r="B177" t="s">
        <v>12</v>
      </c>
      <c r="C177" t="s">
        <v>13</v>
      </c>
      <c r="D177" s="1">
        <v>44348</v>
      </c>
      <c r="E177">
        <v>209</v>
      </c>
      <c r="F177" s="3">
        <v>89306.550169074195</v>
      </c>
      <c r="G177" s="12">
        <f t="shared" si="2"/>
        <v>427.30406779461339</v>
      </c>
      <c r="H177">
        <v>1</v>
      </c>
      <c r="I177" s="2">
        <v>95.522014908180097</v>
      </c>
      <c r="J177" t="s">
        <v>23</v>
      </c>
    </row>
    <row r="178" spans="1:10" x14ac:dyDescent="0.2">
      <c r="A178">
        <v>3</v>
      </c>
      <c r="B178" t="s">
        <v>14</v>
      </c>
      <c r="C178" t="s">
        <v>15</v>
      </c>
      <c r="D178" s="1">
        <v>44348</v>
      </c>
      <c r="E178">
        <v>409</v>
      </c>
      <c r="F178" s="3">
        <v>10000</v>
      </c>
      <c r="G178" s="12">
        <f t="shared" si="2"/>
        <v>24.449877750611247</v>
      </c>
      <c r="H178">
        <v>0</v>
      </c>
      <c r="I178" s="2">
        <v>122.188762792693</v>
      </c>
      <c r="J178" t="s">
        <v>23</v>
      </c>
    </row>
    <row r="179" spans="1:10" x14ac:dyDescent="0.2">
      <c r="A179">
        <v>4</v>
      </c>
      <c r="B179" t="s">
        <v>16</v>
      </c>
      <c r="C179" t="s">
        <v>17</v>
      </c>
      <c r="D179" s="1">
        <v>44348</v>
      </c>
      <c r="E179">
        <v>743</v>
      </c>
      <c r="F179" s="3">
        <v>64841.691770475903</v>
      </c>
      <c r="G179" s="12">
        <f t="shared" si="2"/>
        <v>87.270110054476319</v>
      </c>
      <c r="H179">
        <v>1</v>
      </c>
      <c r="I179" s="2">
        <v>127.985098889334</v>
      </c>
      <c r="J179" t="s">
        <v>23</v>
      </c>
    </row>
    <row r="180" spans="1:10" x14ac:dyDescent="0.2">
      <c r="A180">
        <v>5</v>
      </c>
      <c r="B180" t="s">
        <v>18</v>
      </c>
      <c r="C180" t="s">
        <v>19</v>
      </c>
      <c r="D180" s="1">
        <v>44348</v>
      </c>
      <c r="E180">
        <v>1287</v>
      </c>
      <c r="F180" s="3">
        <v>110299.313631413</v>
      </c>
      <c r="G180" s="12">
        <f t="shared" si="2"/>
        <v>85.702652394260298</v>
      </c>
      <c r="H180">
        <v>1</v>
      </c>
      <c r="I180" s="2">
        <v>111.815573431811</v>
      </c>
      <c r="J180" t="s">
        <v>23</v>
      </c>
    </row>
    <row r="181" spans="1:10" x14ac:dyDescent="0.2">
      <c r="A181">
        <v>6</v>
      </c>
      <c r="B181" t="s">
        <v>20</v>
      </c>
      <c r="C181" t="s">
        <v>21</v>
      </c>
      <c r="D181" s="1">
        <v>44348</v>
      </c>
      <c r="E181">
        <v>509</v>
      </c>
      <c r="F181" s="3">
        <v>60497.775573279003</v>
      </c>
      <c r="G181" s="12">
        <f t="shared" si="2"/>
        <v>118.85614061547938</v>
      </c>
      <c r="H181">
        <v>1</v>
      </c>
      <c r="I181" s="2">
        <v>144.12375042323799</v>
      </c>
      <c r="J181" t="s">
        <v>23</v>
      </c>
    </row>
    <row r="182" spans="1:10" x14ac:dyDescent="0.2">
      <c r="A182">
        <v>1</v>
      </c>
      <c r="B182" t="s">
        <v>9</v>
      </c>
      <c r="C182" t="s">
        <v>10</v>
      </c>
      <c r="D182" s="1">
        <v>44378</v>
      </c>
      <c r="E182">
        <v>856</v>
      </c>
      <c r="F182" s="3">
        <v>51250.054664989497</v>
      </c>
      <c r="G182" s="12">
        <f t="shared" si="2"/>
        <v>59.871559188071842</v>
      </c>
      <c r="H182">
        <v>0</v>
      </c>
      <c r="I182" s="2">
        <v>85.062693120917999</v>
      </c>
      <c r="J182" t="s">
        <v>23</v>
      </c>
    </row>
    <row r="183" spans="1:10" x14ac:dyDescent="0.2">
      <c r="A183">
        <v>2</v>
      </c>
      <c r="B183" t="s">
        <v>12</v>
      </c>
      <c r="C183" t="s">
        <v>13</v>
      </c>
      <c r="D183" s="1">
        <v>44378</v>
      </c>
      <c r="E183">
        <v>343</v>
      </c>
      <c r="F183" s="3">
        <v>29967.599802101598</v>
      </c>
      <c r="G183" s="12">
        <f t="shared" si="2"/>
        <v>87.369095632949268</v>
      </c>
      <c r="H183">
        <v>0</v>
      </c>
      <c r="I183" s="2">
        <v>70.085908986229398</v>
      </c>
      <c r="J183" t="s">
        <v>23</v>
      </c>
    </row>
    <row r="184" spans="1:10" x14ac:dyDescent="0.2">
      <c r="A184">
        <v>3</v>
      </c>
      <c r="B184" t="s">
        <v>14</v>
      </c>
      <c r="C184" t="s">
        <v>15</v>
      </c>
      <c r="D184" s="1">
        <v>44378</v>
      </c>
      <c r="E184">
        <v>443</v>
      </c>
      <c r="F184" s="3">
        <v>68386.057394155097</v>
      </c>
      <c r="G184" s="12">
        <f t="shared" si="2"/>
        <v>154.37033271818305</v>
      </c>
      <c r="H184">
        <v>1</v>
      </c>
      <c r="I184" s="2">
        <v>66.748258225906895</v>
      </c>
      <c r="J184" t="s">
        <v>23</v>
      </c>
    </row>
    <row r="185" spans="1:10" x14ac:dyDescent="0.2">
      <c r="A185">
        <v>4</v>
      </c>
      <c r="B185" t="s">
        <v>16</v>
      </c>
      <c r="C185" t="s">
        <v>17</v>
      </c>
      <c r="D185" s="1">
        <v>44378</v>
      </c>
      <c r="E185">
        <v>610</v>
      </c>
      <c r="F185" s="3">
        <v>55510.211246965002</v>
      </c>
      <c r="G185" s="12">
        <f t="shared" si="2"/>
        <v>91.000346306500006</v>
      </c>
      <c r="H185">
        <v>0</v>
      </c>
      <c r="I185" s="2">
        <v>139.62213026850301</v>
      </c>
      <c r="J185" t="s">
        <v>23</v>
      </c>
    </row>
    <row r="186" spans="1:10" x14ac:dyDescent="0.2">
      <c r="A186">
        <v>5</v>
      </c>
      <c r="B186" t="s">
        <v>18</v>
      </c>
      <c r="C186" t="s">
        <v>19</v>
      </c>
      <c r="D186" s="1">
        <v>44378</v>
      </c>
      <c r="E186">
        <v>1422</v>
      </c>
      <c r="F186" s="3">
        <v>161494.35002616799</v>
      </c>
      <c r="G186" s="12">
        <f t="shared" si="2"/>
        <v>113.56845993401406</v>
      </c>
      <c r="H186">
        <v>1</v>
      </c>
      <c r="I186" s="2">
        <v>79.883588633731307</v>
      </c>
      <c r="J186" t="s">
        <v>23</v>
      </c>
    </row>
    <row r="187" spans="1:10" x14ac:dyDescent="0.2">
      <c r="A187">
        <v>6</v>
      </c>
      <c r="B187" t="s">
        <v>20</v>
      </c>
      <c r="C187" t="s">
        <v>21</v>
      </c>
      <c r="D187" s="1">
        <v>44378</v>
      </c>
      <c r="E187">
        <v>753</v>
      </c>
      <c r="F187" s="3">
        <v>61187.184174566602</v>
      </c>
      <c r="G187" s="12">
        <f t="shared" si="2"/>
        <v>81.25788070991581</v>
      </c>
      <c r="H187">
        <v>0</v>
      </c>
      <c r="I187" s="2">
        <v>131.48251137465101</v>
      </c>
      <c r="J187" t="s">
        <v>23</v>
      </c>
    </row>
    <row r="188" spans="1:10" x14ac:dyDescent="0.2">
      <c r="A188">
        <v>1</v>
      </c>
      <c r="B188" t="s">
        <v>9</v>
      </c>
      <c r="C188" t="s">
        <v>10</v>
      </c>
      <c r="D188" s="1">
        <v>44409</v>
      </c>
      <c r="E188">
        <v>763</v>
      </c>
      <c r="F188" s="3">
        <v>53951.992093847897</v>
      </c>
      <c r="G188" s="12">
        <f t="shared" si="2"/>
        <v>70.710343504387808</v>
      </c>
      <c r="H188">
        <v>1</v>
      </c>
      <c r="I188" s="2">
        <v>98.090383144898396</v>
      </c>
      <c r="J188" t="s">
        <v>23</v>
      </c>
    </row>
    <row r="189" spans="1:10" x14ac:dyDescent="0.2">
      <c r="A189">
        <v>2</v>
      </c>
      <c r="B189" t="s">
        <v>12</v>
      </c>
      <c r="C189" t="s">
        <v>13</v>
      </c>
      <c r="D189" s="1">
        <v>44409</v>
      </c>
      <c r="E189">
        <v>837</v>
      </c>
      <c r="F189" s="3">
        <v>40794.091116123003</v>
      </c>
      <c r="G189" s="12">
        <f t="shared" si="2"/>
        <v>48.738460114842297</v>
      </c>
      <c r="H189">
        <v>1</v>
      </c>
      <c r="I189" s="2">
        <v>74.710323401014605</v>
      </c>
      <c r="J189" t="s">
        <v>23</v>
      </c>
    </row>
    <row r="190" spans="1:10" x14ac:dyDescent="0.2">
      <c r="A190">
        <v>3</v>
      </c>
      <c r="B190" t="s">
        <v>14</v>
      </c>
      <c r="C190" t="s">
        <v>15</v>
      </c>
      <c r="D190" s="1">
        <v>44409</v>
      </c>
      <c r="E190">
        <v>293</v>
      </c>
      <c r="F190" s="3">
        <v>39414.035249075598</v>
      </c>
      <c r="G190" s="12">
        <f t="shared" si="2"/>
        <v>134.5188916350703</v>
      </c>
      <c r="H190">
        <v>0</v>
      </c>
      <c r="I190" s="2">
        <v>93.365533395638806</v>
      </c>
      <c r="J190" t="s">
        <v>23</v>
      </c>
    </row>
    <row r="191" spans="1:10" x14ac:dyDescent="0.2">
      <c r="A191">
        <v>4</v>
      </c>
      <c r="B191" t="s">
        <v>16</v>
      </c>
      <c r="C191" t="s">
        <v>17</v>
      </c>
      <c r="D191" s="1">
        <v>44409</v>
      </c>
      <c r="E191">
        <v>601</v>
      </c>
      <c r="F191" s="3">
        <v>10051.773130809799</v>
      </c>
      <c r="G191" s="12">
        <f t="shared" si="2"/>
        <v>16.725080084542096</v>
      </c>
      <c r="H191">
        <v>0</v>
      </c>
      <c r="I191" s="2">
        <v>115.03256863469301</v>
      </c>
      <c r="J191" t="s">
        <v>23</v>
      </c>
    </row>
    <row r="192" spans="1:10" x14ac:dyDescent="0.2">
      <c r="A192">
        <v>5</v>
      </c>
      <c r="B192" t="s">
        <v>18</v>
      </c>
      <c r="C192" t="s">
        <v>19</v>
      </c>
      <c r="D192" s="1">
        <v>44409</v>
      </c>
      <c r="E192">
        <v>1292</v>
      </c>
      <c r="F192" s="3">
        <v>79659.437242681903</v>
      </c>
      <c r="G192" s="12">
        <f t="shared" si="2"/>
        <v>61.655911178546361</v>
      </c>
      <c r="H192">
        <v>0</v>
      </c>
      <c r="I192" s="2">
        <v>96.262295673931604</v>
      </c>
      <c r="J192" t="s">
        <v>23</v>
      </c>
    </row>
    <row r="193" spans="1:10" x14ac:dyDescent="0.2">
      <c r="A193">
        <v>6</v>
      </c>
      <c r="B193" t="s">
        <v>20</v>
      </c>
      <c r="C193" t="s">
        <v>21</v>
      </c>
      <c r="D193" s="1">
        <v>44409</v>
      </c>
      <c r="E193">
        <v>425</v>
      </c>
      <c r="F193" s="3">
        <v>57984.462452105501</v>
      </c>
      <c r="G193" s="12">
        <f t="shared" si="2"/>
        <v>136.43402929907177</v>
      </c>
      <c r="H193">
        <v>0</v>
      </c>
      <c r="I193" s="2">
        <v>134.62452920190401</v>
      </c>
      <c r="J193" t="s">
        <v>23</v>
      </c>
    </row>
    <row r="194" spans="1:10" x14ac:dyDescent="0.2">
      <c r="A194">
        <v>1</v>
      </c>
      <c r="B194" t="s">
        <v>9</v>
      </c>
      <c r="C194" t="s">
        <v>10</v>
      </c>
      <c r="D194" s="1">
        <v>44440</v>
      </c>
      <c r="E194">
        <v>629</v>
      </c>
      <c r="F194" s="3">
        <v>77688.842233712901</v>
      </c>
      <c r="G194" s="12">
        <f t="shared" si="2"/>
        <v>123.51167286758808</v>
      </c>
      <c r="H194">
        <v>1</v>
      </c>
      <c r="I194" s="2">
        <v>148.764956373605</v>
      </c>
      <c r="J194" t="s">
        <v>24</v>
      </c>
    </row>
    <row r="195" spans="1:10" x14ac:dyDescent="0.2">
      <c r="A195">
        <v>2</v>
      </c>
      <c r="B195" t="s">
        <v>12</v>
      </c>
      <c r="C195" t="s">
        <v>13</v>
      </c>
      <c r="D195" s="1">
        <v>44440</v>
      </c>
      <c r="E195">
        <v>651</v>
      </c>
      <c r="F195" s="3">
        <v>60365</v>
      </c>
      <c r="G195" s="12">
        <f t="shared" ref="G195:G217" si="3">F195/E195</f>
        <v>92.726574500768052</v>
      </c>
      <c r="H195">
        <v>0</v>
      </c>
      <c r="I195" s="2">
        <v>89.551516984901497</v>
      </c>
      <c r="J195" t="s">
        <v>24</v>
      </c>
    </row>
    <row r="196" spans="1:10" x14ac:dyDescent="0.2">
      <c r="A196">
        <v>3</v>
      </c>
      <c r="B196" t="s">
        <v>14</v>
      </c>
      <c r="C196" t="s">
        <v>15</v>
      </c>
      <c r="D196" s="1">
        <v>44440</v>
      </c>
      <c r="E196">
        <v>900</v>
      </c>
      <c r="F196" s="3">
        <v>80194.515968968495</v>
      </c>
      <c r="G196" s="12">
        <f t="shared" si="3"/>
        <v>89.105017743298333</v>
      </c>
      <c r="H196">
        <v>1</v>
      </c>
      <c r="I196" s="2">
        <v>92.172092687345497</v>
      </c>
      <c r="J196" t="s">
        <v>24</v>
      </c>
    </row>
    <row r="197" spans="1:10" x14ac:dyDescent="0.2">
      <c r="A197">
        <v>4</v>
      </c>
      <c r="B197" t="s">
        <v>16</v>
      </c>
      <c r="C197" t="s">
        <v>17</v>
      </c>
      <c r="D197" s="1">
        <v>44440</v>
      </c>
      <c r="E197">
        <v>828</v>
      </c>
      <c r="F197" s="3">
        <v>63046.457568268299</v>
      </c>
      <c r="G197" s="12">
        <f t="shared" si="3"/>
        <v>76.143064695976207</v>
      </c>
      <c r="H197">
        <v>1</v>
      </c>
      <c r="I197" s="2">
        <v>85.915102966623095</v>
      </c>
      <c r="J197" t="s">
        <v>24</v>
      </c>
    </row>
    <row r="198" spans="1:10" x14ac:dyDescent="0.2">
      <c r="A198">
        <v>5</v>
      </c>
      <c r="B198" t="s">
        <v>18</v>
      </c>
      <c r="C198" t="s">
        <v>19</v>
      </c>
      <c r="D198" s="1">
        <v>44440</v>
      </c>
      <c r="E198">
        <v>1120</v>
      </c>
      <c r="F198" s="3">
        <v>79825.315806091399</v>
      </c>
      <c r="G198" s="12">
        <f t="shared" si="3"/>
        <v>71.272603398295885</v>
      </c>
      <c r="H198">
        <v>0</v>
      </c>
      <c r="I198" s="2">
        <v>73.579209395920898</v>
      </c>
      <c r="J198" t="s">
        <v>24</v>
      </c>
    </row>
    <row r="199" spans="1:10" x14ac:dyDescent="0.2">
      <c r="A199">
        <v>6</v>
      </c>
      <c r="B199" t="s">
        <v>20</v>
      </c>
      <c r="C199" t="s">
        <v>21</v>
      </c>
      <c r="D199" s="1">
        <v>44440</v>
      </c>
      <c r="E199">
        <v>404</v>
      </c>
      <c r="F199" s="3">
        <v>77766.254028676107</v>
      </c>
      <c r="G199" s="12">
        <f t="shared" si="3"/>
        <v>192.49072779375274</v>
      </c>
      <c r="H199">
        <v>1</v>
      </c>
      <c r="I199" s="2">
        <v>67.968310887024103</v>
      </c>
      <c r="J199" t="s">
        <v>24</v>
      </c>
    </row>
    <row r="200" spans="1:10" x14ac:dyDescent="0.2">
      <c r="A200">
        <v>1</v>
      </c>
      <c r="B200" t="s">
        <v>9</v>
      </c>
      <c r="C200" t="s">
        <v>10</v>
      </c>
      <c r="D200" s="1">
        <v>44470</v>
      </c>
      <c r="E200">
        <v>564</v>
      </c>
      <c r="F200" s="3">
        <v>44170.200420130197</v>
      </c>
      <c r="G200" s="12">
        <f t="shared" si="3"/>
        <v>78.315958191720213</v>
      </c>
      <c r="H200">
        <v>0</v>
      </c>
      <c r="I200" s="2">
        <v>93.716538881682595</v>
      </c>
      <c r="J200" t="s">
        <v>24</v>
      </c>
    </row>
    <row r="201" spans="1:10" x14ac:dyDescent="0.2">
      <c r="A201">
        <v>2</v>
      </c>
      <c r="B201" t="s">
        <v>12</v>
      </c>
      <c r="C201" t="s">
        <v>13</v>
      </c>
      <c r="D201" s="1">
        <v>44470</v>
      </c>
      <c r="E201">
        <v>460</v>
      </c>
      <c r="F201" s="3">
        <v>33049.530138203801</v>
      </c>
      <c r="G201" s="12">
        <f t="shared" si="3"/>
        <v>71.846804648269128</v>
      </c>
      <c r="H201">
        <v>1</v>
      </c>
      <c r="I201" s="2">
        <v>101.481735392969</v>
      </c>
      <c r="J201" t="s">
        <v>24</v>
      </c>
    </row>
    <row r="202" spans="1:10" x14ac:dyDescent="0.2">
      <c r="A202">
        <v>3</v>
      </c>
      <c r="B202" t="s">
        <v>14</v>
      </c>
      <c r="C202" t="s">
        <v>15</v>
      </c>
      <c r="D202" s="1">
        <v>44470</v>
      </c>
      <c r="E202">
        <v>729</v>
      </c>
      <c r="F202" s="3">
        <v>15205.724424438</v>
      </c>
      <c r="G202" s="12">
        <f t="shared" si="3"/>
        <v>20.8583325438107</v>
      </c>
      <c r="H202">
        <v>1</v>
      </c>
      <c r="I202" s="2">
        <v>115.212324553043</v>
      </c>
      <c r="J202" t="s">
        <v>24</v>
      </c>
    </row>
    <row r="203" spans="1:10" x14ac:dyDescent="0.2">
      <c r="A203">
        <v>4</v>
      </c>
      <c r="B203" t="s">
        <v>16</v>
      </c>
      <c r="C203" t="s">
        <v>17</v>
      </c>
      <c r="D203" s="1">
        <v>44470</v>
      </c>
      <c r="E203">
        <v>325</v>
      </c>
      <c r="F203" s="3">
        <v>17475.645708225202</v>
      </c>
      <c r="G203" s="12">
        <f t="shared" si="3"/>
        <v>53.771217563769852</v>
      </c>
      <c r="H203">
        <v>0</v>
      </c>
      <c r="I203" s="2">
        <v>115.67366645412901</v>
      </c>
      <c r="J203" t="s">
        <v>24</v>
      </c>
    </row>
    <row r="204" spans="1:10" x14ac:dyDescent="0.2">
      <c r="A204">
        <v>5</v>
      </c>
      <c r="B204" t="s">
        <v>18</v>
      </c>
      <c r="C204" t="s">
        <v>19</v>
      </c>
      <c r="D204" s="1">
        <v>44470</v>
      </c>
      <c r="E204">
        <v>1775</v>
      </c>
      <c r="F204" s="3">
        <v>108826.98552802</v>
      </c>
      <c r="G204" s="12">
        <f t="shared" si="3"/>
        <v>61.310977762264791</v>
      </c>
      <c r="H204">
        <v>0</v>
      </c>
      <c r="I204" s="2">
        <v>138.370966966075</v>
      </c>
      <c r="J204" t="s">
        <v>24</v>
      </c>
    </row>
    <row r="205" spans="1:10" x14ac:dyDescent="0.2">
      <c r="A205">
        <v>6</v>
      </c>
      <c r="B205" t="s">
        <v>20</v>
      </c>
      <c r="C205" t="s">
        <v>21</v>
      </c>
      <c r="D205" s="1">
        <v>44470</v>
      </c>
      <c r="E205">
        <v>595</v>
      </c>
      <c r="F205" s="3">
        <v>11626.5048593636</v>
      </c>
      <c r="G205" s="12">
        <f t="shared" si="3"/>
        <v>19.54034430145143</v>
      </c>
      <c r="H205">
        <v>0</v>
      </c>
      <c r="I205" s="2">
        <v>83.700317643128599</v>
      </c>
      <c r="J205" t="s">
        <v>24</v>
      </c>
    </row>
    <row r="206" spans="1:10" x14ac:dyDescent="0.2">
      <c r="A206">
        <v>1</v>
      </c>
      <c r="B206" t="s">
        <v>9</v>
      </c>
      <c r="C206" t="s">
        <v>10</v>
      </c>
      <c r="D206" s="1">
        <v>44501</v>
      </c>
      <c r="E206">
        <v>368</v>
      </c>
      <c r="F206" s="3">
        <v>44814.991148395398</v>
      </c>
      <c r="G206" s="12">
        <f t="shared" si="3"/>
        <v>121.77986725107445</v>
      </c>
      <c r="H206">
        <v>1</v>
      </c>
      <c r="I206" s="2">
        <v>108.78843711103799</v>
      </c>
      <c r="J206" t="s">
        <v>24</v>
      </c>
    </row>
    <row r="207" spans="1:10" x14ac:dyDescent="0.2">
      <c r="A207">
        <v>2</v>
      </c>
      <c r="B207" t="s">
        <v>12</v>
      </c>
      <c r="C207" t="s">
        <v>13</v>
      </c>
      <c r="D207" s="1">
        <v>44501</v>
      </c>
      <c r="E207">
        <v>746</v>
      </c>
      <c r="F207" s="3">
        <v>24069.964650383401</v>
      </c>
      <c r="G207" s="12">
        <f t="shared" si="3"/>
        <v>32.265368164052816</v>
      </c>
      <c r="H207">
        <v>0</v>
      </c>
      <c r="I207" s="2">
        <v>123.640201506564</v>
      </c>
      <c r="J207" t="s">
        <v>24</v>
      </c>
    </row>
    <row r="208" spans="1:10" x14ac:dyDescent="0.2">
      <c r="A208">
        <v>3</v>
      </c>
      <c r="B208" t="s">
        <v>14</v>
      </c>
      <c r="C208" t="s">
        <v>15</v>
      </c>
      <c r="D208" s="1">
        <v>44501</v>
      </c>
      <c r="E208">
        <v>197</v>
      </c>
      <c r="F208" s="3">
        <v>43567.298975652302</v>
      </c>
      <c r="G208" s="12">
        <f t="shared" si="3"/>
        <v>221.15380190686449</v>
      </c>
      <c r="H208">
        <v>0</v>
      </c>
      <c r="I208" s="2">
        <v>120.53855941122001</v>
      </c>
      <c r="J208" t="s">
        <v>24</v>
      </c>
    </row>
    <row r="209" spans="1:10" x14ac:dyDescent="0.2">
      <c r="A209">
        <v>4</v>
      </c>
      <c r="B209" t="s">
        <v>16</v>
      </c>
      <c r="C209" t="s">
        <v>17</v>
      </c>
      <c r="D209" s="1">
        <v>44501</v>
      </c>
      <c r="E209">
        <v>915</v>
      </c>
      <c r="F209" s="3">
        <v>71895.674232798207</v>
      </c>
      <c r="G209" s="12">
        <f t="shared" si="3"/>
        <v>78.574507358249406</v>
      </c>
      <c r="H209">
        <v>1</v>
      </c>
      <c r="I209" s="2">
        <v>70.584121003676799</v>
      </c>
      <c r="J209" t="s">
        <v>24</v>
      </c>
    </row>
    <row r="210" spans="1:10" x14ac:dyDescent="0.2">
      <c r="A210">
        <v>5</v>
      </c>
      <c r="B210" t="s">
        <v>18</v>
      </c>
      <c r="C210" t="s">
        <v>19</v>
      </c>
      <c r="D210" s="1">
        <v>44501</v>
      </c>
      <c r="E210">
        <v>1741</v>
      </c>
      <c r="F210" s="3">
        <v>96226.297138364302</v>
      </c>
      <c r="G210" s="12">
        <f t="shared" si="3"/>
        <v>55.270704846849114</v>
      </c>
      <c r="H210">
        <v>0</v>
      </c>
      <c r="I210" s="2">
        <v>103.11695280010299</v>
      </c>
      <c r="J210" t="s">
        <v>24</v>
      </c>
    </row>
    <row r="211" spans="1:10" x14ac:dyDescent="0.2">
      <c r="A211">
        <v>6</v>
      </c>
      <c r="B211" t="s">
        <v>20</v>
      </c>
      <c r="C211" t="s">
        <v>21</v>
      </c>
      <c r="D211" s="1">
        <v>44501</v>
      </c>
      <c r="E211">
        <v>473</v>
      </c>
      <c r="F211" s="3">
        <v>29300.902709357299</v>
      </c>
      <c r="G211" s="12">
        <f t="shared" si="3"/>
        <v>61.946940188916066</v>
      </c>
      <c r="H211">
        <v>0</v>
      </c>
      <c r="I211" s="2">
        <v>58.855558422324101</v>
      </c>
      <c r="J211" t="s">
        <v>24</v>
      </c>
    </row>
    <row r="212" spans="1:10" x14ac:dyDescent="0.2">
      <c r="A212">
        <v>1</v>
      </c>
      <c r="B212" t="s">
        <v>9</v>
      </c>
      <c r="C212" t="s">
        <v>10</v>
      </c>
      <c r="D212" s="1">
        <v>44531</v>
      </c>
      <c r="E212">
        <v>538</v>
      </c>
      <c r="F212" s="3">
        <v>32108.735351724299</v>
      </c>
      <c r="G212" s="12">
        <f t="shared" si="3"/>
        <v>59.681664222535872</v>
      </c>
      <c r="H212">
        <v>1</v>
      </c>
      <c r="I212" s="2">
        <v>64.834320096208799</v>
      </c>
      <c r="J212" t="s">
        <v>11</v>
      </c>
    </row>
    <row r="213" spans="1:10" x14ac:dyDescent="0.2">
      <c r="A213">
        <v>2</v>
      </c>
      <c r="B213" t="s">
        <v>12</v>
      </c>
      <c r="C213" t="s">
        <v>13</v>
      </c>
      <c r="D213" s="1">
        <v>44531</v>
      </c>
      <c r="E213">
        <v>683</v>
      </c>
      <c r="F213" s="3">
        <v>56929.769517959801</v>
      </c>
      <c r="G213" s="12">
        <f t="shared" si="3"/>
        <v>83.35251759584159</v>
      </c>
      <c r="H213">
        <v>0</v>
      </c>
      <c r="I213" s="2">
        <v>75.422457989749304</v>
      </c>
      <c r="J213" t="s">
        <v>11</v>
      </c>
    </row>
    <row r="214" spans="1:10" x14ac:dyDescent="0.2">
      <c r="A214">
        <v>3</v>
      </c>
      <c r="B214" t="s">
        <v>14</v>
      </c>
      <c r="C214" t="s">
        <v>15</v>
      </c>
      <c r="D214" s="1">
        <v>44531</v>
      </c>
      <c r="E214">
        <v>100</v>
      </c>
      <c r="F214" s="3">
        <v>55859.8705490391</v>
      </c>
      <c r="G214" s="12">
        <f t="shared" si="3"/>
        <v>558.59870549039101</v>
      </c>
      <c r="H214">
        <v>1</v>
      </c>
      <c r="I214" s="2">
        <v>63.965125475631197</v>
      </c>
      <c r="J214" t="s">
        <v>11</v>
      </c>
    </row>
    <row r="215" spans="1:10" x14ac:dyDescent="0.2">
      <c r="A215">
        <v>4</v>
      </c>
      <c r="B215" t="s">
        <v>16</v>
      </c>
      <c r="C215" t="s">
        <v>17</v>
      </c>
      <c r="D215" s="1">
        <v>44531</v>
      </c>
      <c r="E215">
        <v>312</v>
      </c>
      <c r="F215" s="3">
        <v>62885.363190185999</v>
      </c>
      <c r="G215" s="12">
        <f t="shared" si="3"/>
        <v>201.55565125059616</v>
      </c>
      <c r="H215">
        <v>0</v>
      </c>
      <c r="I215" s="2">
        <v>66.238189466232001</v>
      </c>
      <c r="J215" t="s">
        <v>11</v>
      </c>
    </row>
    <row r="216" spans="1:10" x14ac:dyDescent="0.2">
      <c r="A216">
        <v>5</v>
      </c>
      <c r="B216" t="s">
        <v>18</v>
      </c>
      <c r="C216" t="s">
        <v>19</v>
      </c>
      <c r="D216" s="1">
        <v>44531</v>
      </c>
      <c r="E216">
        <v>1179</v>
      </c>
      <c r="F216" s="3">
        <v>75697.807473715293</v>
      </c>
      <c r="G216" s="12">
        <f t="shared" si="3"/>
        <v>64.205095397553265</v>
      </c>
      <c r="H216">
        <v>0</v>
      </c>
      <c r="I216" s="2">
        <v>94.375021930457095</v>
      </c>
      <c r="J216" t="s">
        <v>11</v>
      </c>
    </row>
    <row r="217" spans="1:10" x14ac:dyDescent="0.2">
      <c r="A217">
        <v>6</v>
      </c>
      <c r="B217" t="s">
        <v>20</v>
      </c>
      <c r="C217" t="s">
        <v>21</v>
      </c>
      <c r="D217" s="1">
        <v>44531</v>
      </c>
      <c r="E217">
        <v>461</v>
      </c>
      <c r="F217" s="3">
        <v>54348.657463594398</v>
      </c>
      <c r="G217" s="12">
        <f t="shared" si="3"/>
        <v>117.8929662984694</v>
      </c>
      <c r="H217">
        <v>1</v>
      </c>
      <c r="I217" s="2">
        <v>116.16323503711401</v>
      </c>
      <c r="J217" t="s">
        <v>11</v>
      </c>
    </row>
  </sheetData>
  <autoFilter ref="A1:J217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B10"/>
  <sheetViews>
    <sheetView zoomScale="160" zoomScaleNormal="160" workbookViewId="0">
      <selection activeCell="A11" sqref="A11"/>
    </sheetView>
  </sheetViews>
  <sheetFormatPr baseColWidth="10" defaultColWidth="8.83203125" defaultRowHeight="15" x14ac:dyDescent="0.2"/>
  <cols>
    <col min="1" max="1" width="15.33203125" customWidth="1"/>
    <col min="2" max="2" width="110.5" customWidth="1"/>
  </cols>
  <sheetData>
    <row r="1" spans="1:2" ht="16" x14ac:dyDescent="0.2">
      <c r="A1" s="5" t="s">
        <v>25</v>
      </c>
      <c r="B1" s="5" t="s">
        <v>26</v>
      </c>
    </row>
    <row r="2" spans="1:2" ht="16" x14ac:dyDescent="0.2">
      <c r="A2" s="6" t="s">
        <v>0</v>
      </c>
      <c r="B2" s="6" t="s">
        <v>27</v>
      </c>
    </row>
    <row r="3" spans="1:2" ht="16" x14ac:dyDescent="0.2">
      <c r="A3" s="6" t="s">
        <v>1</v>
      </c>
      <c r="B3" s="6" t="s">
        <v>28</v>
      </c>
    </row>
    <row r="4" spans="1:2" ht="16" x14ac:dyDescent="0.2">
      <c r="A4" s="6" t="s">
        <v>2</v>
      </c>
      <c r="B4" s="6" t="s">
        <v>29</v>
      </c>
    </row>
    <row r="5" spans="1:2" ht="16" x14ac:dyDescent="0.2">
      <c r="A5" s="6" t="s">
        <v>3</v>
      </c>
      <c r="B5" s="6" t="s">
        <v>30</v>
      </c>
    </row>
    <row r="6" spans="1:2" ht="16" x14ac:dyDescent="0.2">
      <c r="A6" s="6" t="s">
        <v>4</v>
      </c>
      <c r="B6" s="6" t="s">
        <v>31</v>
      </c>
    </row>
    <row r="7" spans="1:2" ht="32" x14ac:dyDescent="0.2">
      <c r="A7" s="6" t="s">
        <v>5</v>
      </c>
      <c r="B7" s="7" t="s">
        <v>32</v>
      </c>
    </row>
    <row r="8" spans="1:2" ht="32" x14ac:dyDescent="0.2">
      <c r="A8" s="6" t="s">
        <v>6</v>
      </c>
      <c r="B8" s="6" t="s">
        <v>33</v>
      </c>
    </row>
    <row r="9" spans="1:2" ht="32" x14ac:dyDescent="0.2">
      <c r="A9" s="6" t="s">
        <v>7</v>
      </c>
      <c r="B9" s="6" t="s">
        <v>34</v>
      </c>
    </row>
    <row r="10" spans="1:2" ht="16" x14ac:dyDescent="0.2">
      <c r="A10" s="6" t="s">
        <v>8</v>
      </c>
      <c r="B10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Profit Margin</vt:lpstr>
      <vt:lpstr>Price Elasticity</vt:lpstr>
      <vt:lpstr>Demand Forecast</vt:lpstr>
      <vt:lpstr>Sales_and_Demand_Forecasting</vt:lpstr>
      <vt:lpstr>DataDictionary</vt:lpstr>
      <vt:lpstr>'Demand Forecast'!_FilterDatabase</vt:lpstr>
      <vt:lpstr>'Profit Margin'!_ftnref1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Upul</dc:creator>
  <cp:lastModifiedBy>Kyle Leung</cp:lastModifiedBy>
  <dcterms:created xsi:type="dcterms:W3CDTF">2024-03-10T05:33:11Z</dcterms:created>
  <dcterms:modified xsi:type="dcterms:W3CDTF">2024-04-28T21:05:39Z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f1383e-0cf1-49d7-bb8e-31d3dc5215a9_Enabled">
    <vt:lpwstr>true</vt:lpwstr>
  </property>
  <property fmtid="{D5CDD505-2E9C-101B-9397-08002B2CF9AE}" pid="3" name="MSIP_Label_10f1383e-0cf1-49d7-bb8e-31d3dc5215a9_SetDate">
    <vt:lpwstr>2024-04-04T02:12:26Z</vt:lpwstr>
  </property>
  <property fmtid="{D5CDD505-2E9C-101B-9397-08002B2CF9AE}" pid="4" name="MSIP_Label_10f1383e-0cf1-49d7-bb8e-31d3dc5215a9_Method">
    <vt:lpwstr>Privileged</vt:lpwstr>
  </property>
  <property fmtid="{D5CDD505-2E9C-101B-9397-08002B2CF9AE}" pid="5" name="MSIP_Label_10f1383e-0cf1-49d7-bb8e-31d3dc5215a9_Name">
    <vt:lpwstr>10f1383e-0cf1-49d7-bb8e-31d3dc5215a9</vt:lpwstr>
  </property>
  <property fmtid="{D5CDD505-2E9C-101B-9397-08002B2CF9AE}" pid="6" name="MSIP_Label_10f1383e-0cf1-49d7-bb8e-31d3dc5215a9_SiteId">
    <vt:lpwstr>9d95cde8-c4ec-4b9c-8ee2-249d44b79acf</vt:lpwstr>
  </property>
  <property fmtid="{D5CDD505-2E9C-101B-9397-08002B2CF9AE}" pid="7" name="MSIP_Label_10f1383e-0cf1-49d7-bb8e-31d3dc5215a9_ActionId">
    <vt:lpwstr>97cb6c82-0be9-45ca-8c60-0cdc37ca66bf</vt:lpwstr>
  </property>
  <property fmtid="{D5CDD505-2E9C-101B-9397-08002B2CF9AE}" pid="8" name="MSIP_Label_10f1383e-0cf1-49d7-bb8e-31d3dc5215a9_ContentBits">
    <vt:lpwstr>0</vt:lpwstr>
  </property>
</Properties>
</file>