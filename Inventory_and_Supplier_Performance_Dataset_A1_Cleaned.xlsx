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kyle/Desktop/INMT5518 - Supply Chain Analytics/Assignment 2 - Case Study/"/>
    </mc:Choice>
  </mc:AlternateContent>
  <xr:revisionPtr revIDLastSave="0" documentId="13_ncr:1_{57E213FC-1CF1-6348-8089-CA7D047A233E}" xr6:coauthVersionLast="47" xr6:coauthVersionMax="47" xr10:uidLastSave="{00000000-0000-0000-0000-000000000000}"/>
  <bookViews>
    <workbookView xWindow="13460" yWindow="5860" windowWidth="31660" windowHeight="19920" activeTab="6" xr2:uid="{00000000-000D-0000-FFFF-FFFF00000000}"/>
  </bookViews>
  <sheets>
    <sheet name="Safety Stock" sheetId="6" r:id="rId1"/>
    <sheet name="Score across Products" sheetId="3" r:id="rId2"/>
    <sheet name="Score across Seasons" sheetId="5" r:id="rId3"/>
    <sheet name="Score across Rec' Units Ranges" sheetId="7" r:id="rId4"/>
    <sheet name="Lead Time" sheetId="9" r:id="rId5"/>
    <sheet name="Forecast Error" sheetId="8" r:id="rId6"/>
    <sheet name="Inventory Forecast" sheetId="10" r:id="rId7"/>
    <sheet name="Inventory_Supplier_Performance" sheetId="1" r:id="rId8"/>
    <sheet name="DataDictionary" sheetId="2" r:id="rId9"/>
  </sheets>
  <definedNames>
    <definedName name="_xlnm._FilterDatabase" localSheetId="5" hidden="1">'Forecast Error'!$A$1:$S$217</definedName>
    <definedName name="_xlnm._FilterDatabase" localSheetId="6" hidden="1">'Inventory Forecast'!$A$1:$X$109</definedName>
    <definedName name="_xlnm._FilterDatabase" localSheetId="7" hidden="1">Inventory_Supplier_Performance!$A$1:$P$217</definedName>
    <definedName name="_xlnm._FilterDatabase" localSheetId="4" hidden="1">'Lead Time'!$A$1:$P$217</definedName>
    <definedName name="_xlnm._FilterDatabase" localSheetId="0" hidden="1">'Safety Stock'!$A$1:$Q$217</definedName>
    <definedName name="_xlnm._FilterDatabase" localSheetId="1" hidden="1">'Score across Products'!$A$1:$C$217</definedName>
    <definedName name="_xlnm._FilterDatabase" localSheetId="3" hidden="1">'Score across Rec'' Units Ranges'!$A$1:$E$217</definedName>
    <definedName name="_xlnm._FilterDatabase" localSheetId="2" hidden="1">'Score across Seasons'!$A$1:$C$217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29" i="10" l="1"/>
  <c r="AB131" i="10" s="1"/>
  <c r="AD129" i="10"/>
  <c r="AD131" i="10" s="1"/>
  <c r="AC129" i="10"/>
  <c r="AC131" i="10" s="1"/>
  <c r="AD130" i="10"/>
  <c r="AC130" i="10"/>
  <c r="AB130" i="10"/>
  <c r="AD128" i="10"/>
  <c r="AC128" i="10"/>
  <c r="AB128" i="10"/>
  <c r="AB127" i="10"/>
  <c r="AD127" i="10"/>
  <c r="AC127" i="10"/>
  <c r="AD118" i="10"/>
  <c r="AC118" i="10"/>
  <c r="AB118" i="10"/>
  <c r="AB116" i="10"/>
  <c r="AC116" i="10"/>
  <c r="AD116" i="10"/>
  <c r="T7" i="6"/>
  <c r="V112" i="10"/>
  <c r="W120" i="10"/>
  <c r="V120" i="10"/>
  <c r="T120" i="10"/>
  <c r="S120" i="10"/>
  <c r="W119" i="10"/>
  <c r="V119" i="10"/>
  <c r="T119" i="10"/>
  <c r="S119" i="10"/>
  <c r="W118" i="10"/>
  <c r="V118" i="10"/>
  <c r="T118" i="10"/>
  <c r="S118" i="10"/>
  <c r="W117" i="10"/>
  <c r="V117" i="10"/>
  <c r="T117" i="10"/>
  <c r="S117" i="10"/>
  <c r="W116" i="10"/>
  <c r="V116" i="10"/>
  <c r="T116" i="10"/>
  <c r="S116" i="10"/>
  <c r="W115" i="10"/>
  <c r="V115" i="10"/>
  <c r="T115" i="10"/>
  <c r="S115" i="10"/>
  <c r="W114" i="10"/>
  <c r="V114" i="10"/>
  <c r="T114" i="10"/>
  <c r="S114" i="10"/>
  <c r="W113" i="10"/>
  <c r="V113" i="10"/>
  <c r="T113" i="10"/>
  <c r="S113" i="10"/>
  <c r="W112" i="10"/>
  <c r="T112" i="10"/>
  <c r="S112" i="10"/>
  <c r="X120" i="10"/>
  <c r="X119" i="10"/>
  <c r="X118" i="10"/>
  <c r="X117" i="10"/>
  <c r="X116" i="10"/>
  <c r="X115" i="10"/>
  <c r="X114" i="10"/>
  <c r="X113" i="10"/>
  <c r="X112" i="10"/>
  <c r="R120" i="10"/>
  <c r="Q120" i="10"/>
  <c r="P120" i="10"/>
  <c r="O120" i="10"/>
  <c r="N120" i="10"/>
  <c r="M120" i="10"/>
  <c r="L120" i="10"/>
  <c r="K120" i="10"/>
  <c r="R119" i="10"/>
  <c r="Q119" i="10"/>
  <c r="P119" i="10"/>
  <c r="O119" i="10"/>
  <c r="N119" i="10"/>
  <c r="M119" i="10"/>
  <c r="L119" i="10"/>
  <c r="K119" i="10"/>
  <c r="R118" i="10"/>
  <c r="Q118" i="10"/>
  <c r="P118" i="10"/>
  <c r="O118" i="10"/>
  <c r="N118" i="10"/>
  <c r="M118" i="10"/>
  <c r="L118" i="10"/>
  <c r="K118" i="10"/>
  <c r="R117" i="10"/>
  <c r="Q117" i="10"/>
  <c r="P117" i="10"/>
  <c r="O117" i="10"/>
  <c r="N117" i="10"/>
  <c r="M117" i="10"/>
  <c r="L117" i="10"/>
  <c r="K117" i="10"/>
  <c r="R116" i="10"/>
  <c r="Q116" i="10"/>
  <c r="P116" i="10"/>
  <c r="O116" i="10"/>
  <c r="N116" i="10"/>
  <c r="M116" i="10"/>
  <c r="L116" i="10"/>
  <c r="K116" i="10"/>
  <c r="R115" i="10"/>
  <c r="Q115" i="10"/>
  <c r="P115" i="10"/>
  <c r="O115" i="10"/>
  <c r="N115" i="10"/>
  <c r="M115" i="10"/>
  <c r="L115" i="10"/>
  <c r="K115" i="10"/>
  <c r="R114" i="10"/>
  <c r="Q114" i="10"/>
  <c r="P114" i="10"/>
  <c r="O114" i="10"/>
  <c r="N114" i="10"/>
  <c r="M114" i="10"/>
  <c r="L114" i="10"/>
  <c r="K114" i="10"/>
  <c r="R113" i="10"/>
  <c r="Q113" i="10"/>
  <c r="P113" i="10"/>
  <c r="O113" i="10"/>
  <c r="N113" i="10"/>
  <c r="M113" i="10"/>
  <c r="L113" i="10"/>
  <c r="K113" i="10"/>
  <c r="R112" i="10"/>
  <c r="Q112" i="10"/>
  <c r="P112" i="10"/>
  <c r="O112" i="10"/>
  <c r="N112" i="10"/>
  <c r="M112" i="10"/>
  <c r="L112" i="10"/>
  <c r="K112" i="10"/>
  <c r="G2" i="10"/>
  <c r="H2" i="10"/>
  <c r="N109" i="10"/>
  <c r="M109" i="10"/>
  <c r="L109" i="10"/>
  <c r="N108" i="10"/>
  <c r="M108" i="10"/>
  <c r="L108" i="10"/>
  <c r="N107" i="10"/>
  <c r="M107" i="10"/>
  <c r="L107" i="10"/>
  <c r="N106" i="10"/>
  <c r="M106" i="10"/>
  <c r="L106" i="10"/>
  <c r="N105" i="10"/>
  <c r="M105" i="10"/>
  <c r="L105" i="10"/>
  <c r="N104" i="10"/>
  <c r="M104" i="10"/>
  <c r="L104" i="10"/>
  <c r="N103" i="10"/>
  <c r="M103" i="10"/>
  <c r="L103" i="10"/>
  <c r="N102" i="10"/>
  <c r="M102" i="10"/>
  <c r="L102" i="10"/>
  <c r="N101" i="10"/>
  <c r="M101" i="10"/>
  <c r="L101" i="10"/>
  <c r="N100" i="10"/>
  <c r="M100" i="10"/>
  <c r="L100" i="10"/>
  <c r="N99" i="10"/>
  <c r="M99" i="10"/>
  <c r="L99" i="10"/>
  <c r="N98" i="10"/>
  <c r="M98" i="10"/>
  <c r="L98" i="10"/>
  <c r="N97" i="10"/>
  <c r="M97" i="10"/>
  <c r="L97" i="10"/>
  <c r="N96" i="10"/>
  <c r="M96" i="10"/>
  <c r="L96" i="10"/>
  <c r="N95" i="10"/>
  <c r="M95" i="10"/>
  <c r="L95" i="10"/>
  <c r="N94" i="10"/>
  <c r="M94" i="10"/>
  <c r="L94" i="10"/>
  <c r="N93" i="10"/>
  <c r="M93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N70" i="10"/>
  <c r="M70" i="10"/>
  <c r="L70" i="10"/>
  <c r="N69" i="10"/>
  <c r="M69" i="10"/>
  <c r="L69" i="10"/>
  <c r="N68" i="10"/>
  <c r="M68" i="10"/>
  <c r="L68" i="10"/>
  <c r="N67" i="10"/>
  <c r="M67" i="10"/>
  <c r="L67" i="10"/>
  <c r="N66" i="10"/>
  <c r="M66" i="10"/>
  <c r="L66" i="10"/>
  <c r="N65" i="10"/>
  <c r="M65" i="10"/>
  <c r="L65" i="10"/>
  <c r="N64" i="10"/>
  <c r="M64" i="10"/>
  <c r="L64" i="10"/>
  <c r="N63" i="10"/>
  <c r="M63" i="10"/>
  <c r="L63" i="10"/>
  <c r="N62" i="10"/>
  <c r="M62" i="10"/>
  <c r="L62" i="10"/>
  <c r="N61" i="10"/>
  <c r="M61" i="10"/>
  <c r="L61" i="10"/>
  <c r="N60" i="10"/>
  <c r="M60" i="10"/>
  <c r="L60" i="10"/>
  <c r="N59" i="10"/>
  <c r="M59" i="10"/>
  <c r="L59" i="10"/>
  <c r="N58" i="10"/>
  <c r="M58" i="10"/>
  <c r="L58" i="10"/>
  <c r="N57" i="10"/>
  <c r="M57" i="10"/>
  <c r="L57" i="10"/>
  <c r="N56" i="10"/>
  <c r="M56" i="10"/>
  <c r="L56" i="10"/>
  <c r="N55" i="10"/>
  <c r="M55" i="10"/>
  <c r="L55" i="10"/>
  <c r="N54" i="10"/>
  <c r="M54" i="10"/>
  <c r="L54" i="10"/>
  <c r="N53" i="10"/>
  <c r="M53" i="10"/>
  <c r="L53" i="10"/>
  <c r="N52" i="10"/>
  <c r="M52" i="10"/>
  <c r="L52" i="10"/>
  <c r="N51" i="10"/>
  <c r="M51" i="10"/>
  <c r="L51" i="10"/>
  <c r="N50" i="10"/>
  <c r="M50" i="10"/>
  <c r="L50" i="10"/>
  <c r="N49" i="10"/>
  <c r="M49" i="10"/>
  <c r="L49" i="10"/>
  <c r="N48" i="10"/>
  <c r="M48" i="10"/>
  <c r="L48" i="10"/>
  <c r="N47" i="10"/>
  <c r="M47" i="10"/>
  <c r="L47" i="10"/>
  <c r="N46" i="10"/>
  <c r="M46" i="10"/>
  <c r="L46" i="10"/>
  <c r="N45" i="10"/>
  <c r="M45" i="10"/>
  <c r="L45" i="10"/>
  <c r="N44" i="10"/>
  <c r="M44" i="10"/>
  <c r="L44" i="10"/>
  <c r="N43" i="10"/>
  <c r="M43" i="10"/>
  <c r="L43" i="10"/>
  <c r="N42" i="10"/>
  <c r="M42" i="10"/>
  <c r="L42" i="10"/>
  <c r="N41" i="10"/>
  <c r="M41" i="10"/>
  <c r="L41" i="10"/>
  <c r="N40" i="10"/>
  <c r="M40" i="10"/>
  <c r="L40" i="10"/>
  <c r="N39" i="10"/>
  <c r="M39" i="10"/>
  <c r="L39" i="10"/>
  <c r="N38" i="10"/>
  <c r="M38" i="10"/>
  <c r="L38" i="10"/>
  <c r="N37" i="10"/>
  <c r="M37" i="10"/>
  <c r="L37" i="10"/>
  <c r="N36" i="10"/>
  <c r="M36" i="10"/>
  <c r="L36" i="10"/>
  <c r="N35" i="10"/>
  <c r="M35" i="10"/>
  <c r="L35" i="10"/>
  <c r="N34" i="10"/>
  <c r="M34" i="10"/>
  <c r="L34" i="10"/>
  <c r="N33" i="10"/>
  <c r="M33" i="10"/>
  <c r="L33" i="10"/>
  <c r="N32" i="10"/>
  <c r="M32" i="10"/>
  <c r="L32" i="10"/>
  <c r="N31" i="10"/>
  <c r="M31" i="10"/>
  <c r="L31" i="10"/>
  <c r="N30" i="10"/>
  <c r="M30" i="10"/>
  <c r="L30" i="10"/>
  <c r="N29" i="10"/>
  <c r="M29" i="10"/>
  <c r="L29" i="10"/>
  <c r="N28" i="10"/>
  <c r="M28" i="10"/>
  <c r="L28" i="10"/>
  <c r="N27" i="10"/>
  <c r="M27" i="10"/>
  <c r="L27" i="10"/>
  <c r="N26" i="10"/>
  <c r="M26" i="10"/>
  <c r="L26" i="10"/>
  <c r="N25" i="10"/>
  <c r="M25" i="10"/>
  <c r="L25" i="10"/>
  <c r="N24" i="10"/>
  <c r="M24" i="10"/>
  <c r="L24" i="10"/>
  <c r="N23" i="10"/>
  <c r="M23" i="10"/>
  <c r="L23" i="10"/>
  <c r="N22" i="10"/>
  <c r="M22" i="10"/>
  <c r="L22" i="10"/>
  <c r="N21" i="10"/>
  <c r="M21" i="10"/>
  <c r="L21" i="10"/>
  <c r="N20" i="10"/>
  <c r="M20" i="10"/>
  <c r="L20" i="10"/>
  <c r="N19" i="10"/>
  <c r="M19" i="10"/>
  <c r="L19" i="10"/>
  <c r="N18" i="10"/>
  <c r="M18" i="10"/>
  <c r="L18" i="10"/>
  <c r="N17" i="10"/>
  <c r="M17" i="10"/>
  <c r="L17" i="10"/>
  <c r="N16" i="10"/>
  <c r="M16" i="10"/>
  <c r="L16" i="10"/>
  <c r="N15" i="10"/>
  <c r="M15" i="10"/>
  <c r="L15" i="10"/>
  <c r="N14" i="10"/>
  <c r="M14" i="10"/>
  <c r="L14" i="10"/>
  <c r="N13" i="10"/>
  <c r="M13" i="10"/>
  <c r="L13" i="10"/>
  <c r="N12" i="10"/>
  <c r="M12" i="10"/>
  <c r="L12" i="10"/>
  <c r="N11" i="10"/>
  <c r="M11" i="10"/>
  <c r="L11" i="10"/>
  <c r="N10" i="10"/>
  <c r="M10" i="10"/>
  <c r="L10" i="10"/>
  <c r="N9" i="10"/>
  <c r="M9" i="10"/>
  <c r="L9" i="10"/>
  <c r="N8" i="10"/>
  <c r="M8" i="10"/>
  <c r="L8" i="10"/>
  <c r="N7" i="10"/>
  <c r="M7" i="10"/>
  <c r="L7" i="10"/>
  <c r="N6" i="10"/>
  <c r="M6" i="10"/>
  <c r="L6" i="10"/>
  <c r="N5" i="10"/>
  <c r="M5" i="10"/>
  <c r="L5" i="10"/>
  <c r="N4" i="10"/>
  <c r="M4" i="10"/>
  <c r="L4" i="10"/>
  <c r="N3" i="10"/>
  <c r="M3" i="10"/>
  <c r="L3" i="10"/>
  <c r="N2" i="10"/>
  <c r="M2" i="10"/>
  <c r="L2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U108" i="10"/>
  <c r="G108" i="10"/>
  <c r="E108" i="10"/>
  <c r="R108" i="10" s="1"/>
  <c r="C108" i="10"/>
  <c r="U105" i="10"/>
  <c r="G105" i="10"/>
  <c r="E105" i="10"/>
  <c r="R105" i="10" s="1"/>
  <c r="C105" i="10"/>
  <c r="U102" i="10"/>
  <c r="G102" i="10"/>
  <c r="E102" i="10"/>
  <c r="P102" i="10" s="1"/>
  <c r="C102" i="10"/>
  <c r="U99" i="10"/>
  <c r="G99" i="10"/>
  <c r="E99" i="10"/>
  <c r="R99" i="10" s="1"/>
  <c r="C99" i="10"/>
  <c r="U96" i="10"/>
  <c r="G96" i="10"/>
  <c r="E96" i="10"/>
  <c r="Q96" i="10" s="1"/>
  <c r="C96" i="10"/>
  <c r="U93" i="10"/>
  <c r="G93" i="10"/>
  <c r="E93" i="10"/>
  <c r="R93" i="10" s="1"/>
  <c r="C93" i="10"/>
  <c r="U90" i="10"/>
  <c r="G90" i="10"/>
  <c r="E90" i="10"/>
  <c r="R90" i="10" s="1"/>
  <c r="C90" i="10"/>
  <c r="U87" i="10"/>
  <c r="G87" i="10"/>
  <c r="E87" i="10"/>
  <c r="P87" i="10" s="1"/>
  <c r="C87" i="10"/>
  <c r="U84" i="10"/>
  <c r="G84" i="10"/>
  <c r="E84" i="10"/>
  <c r="R84" i="10" s="1"/>
  <c r="C84" i="10"/>
  <c r="U81" i="10"/>
  <c r="G81" i="10"/>
  <c r="E81" i="10"/>
  <c r="Q81" i="10" s="1"/>
  <c r="C81" i="10"/>
  <c r="U78" i="10"/>
  <c r="G78" i="10"/>
  <c r="E78" i="10"/>
  <c r="R78" i="10" s="1"/>
  <c r="C78" i="10"/>
  <c r="U75" i="10"/>
  <c r="G75" i="10"/>
  <c r="E75" i="10"/>
  <c r="R75" i="10" s="1"/>
  <c r="C75" i="10"/>
  <c r="U72" i="10"/>
  <c r="G72" i="10"/>
  <c r="E72" i="10"/>
  <c r="P72" i="10" s="1"/>
  <c r="C72" i="10"/>
  <c r="U69" i="10"/>
  <c r="G69" i="10"/>
  <c r="E69" i="10"/>
  <c r="R69" i="10" s="1"/>
  <c r="C69" i="10"/>
  <c r="U66" i="10"/>
  <c r="G66" i="10"/>
  <c r="E66" i="10"/>
  <c r="Q66" i="10" s="1"/>
  <c r="C66" i="10"/>
  <c r="U63" i="10"/>
  <c r="G63" i="10"/>
  <c r="E63" i="10"/>
  <c r="R63" i="10" s="1"/>
  <c r="C63" i="10"/>
  <c r="U60" i="10"/>
  <c r="G60" i="10"/>
  <c r="E60" i="10"/>
  <c r="R60" i="10" s="1"/>
  <c r="C60" i="10"/>
  <c r="U57" i="10"/>
  <c r="G57" i="10"/>
  <c r="E57" i="10"/>
  <c r="P57" i="10" s="1"/>
  <c r="C57" i="10"/>
  <c r="U54" i="10"/>
  <c r="G54" i="10"/>
  <c r="E54" i="10"/>
  <c r="R54" i="10" s="1"/>
  <c r="C54" i="10"/>
  <c r="U51" i="10"/>
  <c r="G51" i="10"/>
  <c r="E51" i="10"/>
  <c r="Q51" i="10" s="1"/>
  <c r="C51" i="10"/>
  <c r="U48" i="10"/>
  <c r="G48" i="10"/>
  <c r="E48" i="10"/>
  <c r="R48" i="10" s="1"/>
  <c r="C48" i="10"/>
  <c r="U45" i="10"/>
  <c r="G45" i="10"/>
  <c r="E45" i="10"/>
  <c r="R45" i="10" s="1"/>
  <c r="C45" i="10"/>
  <c r="U42" i="10"/>
  <c r="G42" i="10"/>
  <c r="E42" i="10"/>
  <c r="P42" i="10" s="1"/>
  <c r="C42" i="10"/>
  <c r="U39" i="10"/>
  <c r="G39" i="10"/>
  <c r="E39" i="10"/>
  <c r="R39" i="10" s="1"/>
  <c r="C39" i="10"/>
  <c r="U36" i="10"/>
  <c r="G36" i="10"/>
  <c r="E36" i="10"/>
  <c r="Q36" i="10" s="1"/>
  <c r="C36" i="10"/>
  <c r="U33" i="10"/>
  <c r="G33" i="10"/>
  <c r="E33" i="10"/>
  <c r="R33" i="10" s="1"/>
  <c r="C33" i="10"/>
  <c r="U30" i="10"/>
  <c r="G30" i="10"/>
  <c r="E30" i="10"/>
  <c r="R30" i="10" s="1"/>
  <c r="C30" i="10"/>
  <c r="U27" i="10"/>
  <c r="G27" i="10"/>
  <c r="E27" i="10"/>
  <c r="P27" i="10" s="1"/>
  <c r="C27" i="10"/>
  <c r="U24" i="10"/>
  <c r="G24" i="10"/>
  <c r="E24" i="10"/>
  <c r="R24" i="10" s="1"/>
  <c r="C24" i="10"/>
  <c r="U21" i="10"/>
  <c r="G21" i="10"/>
  <c r="E21" i="10"/>
  <c r="Q21" i="10" s="1"/>
  <c r="C21" i="10"/>
  <c r="U18" i="10"/>
  <c r="G18" i="10"/>
  <c r="E18" i="10"/>
  <c r="R18" i="10" s="1"/>
  <c r="C18" i="10"/>
  <c r="U15" i="10"/>
  <c r="G15" i="10"/>
  <c r="E15" i="10"/>
  <c r="R15" i="10" s="1"/>
  <c r="C15" i="10"/>
  <c r="U12" i="10"/>
  <c r="G12" i="10"/>
  <c r="E12" i="10"/>
  <c r="P12" i="10" s="1"/>
  <c r="C12" i="10"/>
  <c r="U9" i="10"/>
  <c r="G9" i="10"/>
  <c r="E9" i="10"/>
  <c r="R9" i="10" s="1"/>
  <c r="C9" i="10"/>
  <c r="U6" i="10"/>
  <c r="G6" i="10"/>
  <c r="E6" i="10"/>
  <c r="Q6" i="10" s="1"/>
  <c r="C6" i="10"/>
  <c r="U3" i="10"/>
  <c r="G3" i="10"/>
  <c r="E3" i="10"/>
  <c r="R3" i="10" s="1"/>
  <c r="C3" i="10"/>
  <c r="U107" i="10"/>
  <c r="G107" i="10"/>
  <c r="E107" i="10"/>
  <c r="P107" i="10" s="1"/>
  <c r="C107" i="10"/>
  <c r="U104" i="10"/>
  <c r="G104" i="10"/>
  <c r="E104" i="10"/>
  <c r="R104" i="10" s="1"/>
  <c r="C104" i="10"/>
  <c r="U101" i="10"/>
  <c r="G101" i="10"/>
  <c r="E101" i="10"/>
  <c r="Q101" i="10" s="1"/>
  <c r="C101" i="10"/>
  <c r="U98" i="10"/>
  <c r="G98" i="10"/>
  <c r="E98" i="10"/>
  <c r="R98" i="10" s="1"/>
  <c r="C98" i="10"/>
  <c r="U95" i="10"/>
  <c r="G95" i="10"/>
  <c r="E95" i="10"/>
  <c r="R95" i="10" s="1"/>
  <c r="C95" i="10"/>
  <c r="U92" i="10"/>
  <c r="G92" i="10"/>
  <c r="E92" i="10"/>
  <c r="P92" i="10" s="1"/>
  <c r="C92" i="10"/>
  <c r="U89" i="10"/>
  <c r="G89" i="10"/>
  <c r="E89" i="10"/>
  <c r="R89" i="10" s="1"/>
  <c r="C89" i="10"/>
  <c r="U86" i="10"/>
  <c r="G86" i="10"/>
  <c r="E86" i="10"/>
  <c r="Q86" i="10" s="1"/>
  <c r="C86" i="10"/>
  <c r="U83" i="10"/>
  <c r="G83" i="10"/>
  <c r="E83" i="10"/>
  <c r="R83" i="10" s="1"/>
  <c r="C83" i="10"/>
  <c r="U80" i="10"/>
  <c r="G80" i="10"/>
  <c r="E80" i="10"/>
  <c r="R80" i="10" s="1"/>
  <c r="C80" i="10"/>
  <c r="U77" i="10"/>
  <c r="G77" i="10"/>
  <c r="E77" i="10"/>
  <c r="P77" i="10" s="1"/>
  <c r="C77" i="10"/>
  <c r="U74" i="10"/>
  <c r="G74" i="10"/>
  <c r="E74" i="10"/>
  <c r="R74" i="10" s="1"/>
  <c r="C74" i="10"/>
  <c r="U71" i="10"/>
  <c r="G71" i="10"/>
  <c r="E71" i="10"/>
  <c r="Q71" i="10" s="1"/>
  <c r="C71" i="10"/>
  <c r="U68" i="10"/>
  <c r="G68" i="10"/>
  <c r="E68" i="10"/>
  <c r="R68" i="10" s="1"/>
  <c r="C68" i="10"/>
  <c r="U65" i="10"/>
  <c r="G65" i="10"/>
  <c r="E65" i="10"/>
  <c r="R65" i="10" s="1"/>
  <c r="C65" i="10"/>
  <c r="U62" i="10"/>
  <c r="G62" i="10"/>
  <c r="E62" i="10"/>
  <c r="P62" i="10" s="1"/>
  <c r="C62" i="10"/>
  <c r="U59" i="10"/>
  <c r="G59" i="10"/>
  <c r="E59" i="10"/>
  <c r="R59" i="10" s="1"/>
  <c r="C59" i="10"/>
  <c r="U56" i="10"/>
  <c r="G56" i="10"/>
  <c r="E56" i="10"/>
  <c r="Q56" i="10" s="1"/>
  <c r="C56" i="10"/>
  <c r="U53" i="10"/>
  <c r="G53" i="10"/>
  <c r="E53" i="10"/>
  <c r="R53" i="10" s="1"/>
  <c r="C53" i="10"/>
  <c r="U50" i="10"/>
  <c r="G50" i="10"/>
  <c r="E50" i="10"/>
  <c r="R50" i="10" s="1"/>
  <c r="C50" i="10"/>
  <c r="U47" i="10"/>
  <c r="G47" i="10"/>
  <c r="E47" i="10"/>
  <c r="P47" i="10" s="1"/>
  <c r="C47" i="10"/>
  <c r="U44" i="10"/>
  <c r="G44" i="10"/>
  <c r="E44" i="10"/>
  <c r="R44" i="10" s="1"/>
  <c r="C44" i="10"/>
  <c r="U41" i="10"/>
  <c r="G41" i="10"/>
  <c r="E41" i="10"/>
  <c r="Q41" i="10" s="1"/>
  <c r="C41" i="10"/>
  <c r="U38" i="10"/>
  <c r="G38" i="10"/>
  <c r="E38" i="10"/>
  <c r="R38" i="10" s="1"/>
  <c r="C38" i="10"/>
  <c r="U35" i="10"/>
  <c r="G35" i="10"/>
  <c r="E35" i="10"/>
  <c r="R35" i="10" s="1"/>
  <c r="C35" i="10"/>
  <c r="U32" i="10"/>
  <c r="G32" i="10"/>
  <c r="E32" i="10"/>
  <c r="P32" i="10" s="1"/>
  <c r="C32" i="10"/>
  <c r="U29" i="10"/>
  <c r="G29" i="10"/>
  <c r="E29" i="10"/>
  <c r="R29" i="10" s="1"/>
  <c r="C29" i="10"/>
  <c r="U26" i="10"/>
  <c r="G26" i="10"/>
  <c r="E26" i="10"/>
  <c r="Q26" i="10" s="1"/>
  <c r="C26" i="10"/>
  <c r="U23" i="10"/>
  <c r="G23" i="10"/>
  <c r="E23" i="10"/>
  <c r="R23" i="10" s="1"/>
  <c r="C23" i="10"/>
  <c r="U20" i="10"/>
  <c r="G20" i="10"/>
  <c r="E20" i="10"/>
  <c r="R20" i="10" s="1"/>
  <c r="C20" i="10"/>
  <c r="U17" i="10"/>
  <c r="G17" i="10"/>
  <c r="E17" i="10"/>
  <c r="P17" i="10" s="1"/>
  <c r="C17" i="10"/>
  <c r="U14" i="10"/>
  <c r="G14" i="10"/>
  <c r="E14" i="10"/>
  <c r="R14" i="10" s="1"/>
  <c r="C14" i="10"/>
  <c r="U11" i="10"/>
  <c r="G11" i="10"/>
  <c r="E11" i="10"/>
  <c r="Q11" i="10" s="1"/>
  <c r="C11" i="10"/>
  <c r="U8" i="10"/>
  <c r="G8" i="10"/>
  <c r="E8" i="10"/>
  <c r="R8" i="10" s="1"/>
  <c r="C8" i="10"/>
  <c r="U5" i="10"/>
  <c r="G5" i="10"/>
  <c r="E5" i="10"/>
  <c r="R5" i="10" s="1"/>
  <c r="C5" i="10"/>
  <c r="U2" i="10"/>
  <c r="E2" i="10"/>
  <c r="P2" i="10" s="1"/>
  <c r="C2" i="10"/>
  <c r="U109" i="10"/>
  <c r="G109" i="10"/>
  <c r="E109" i="10"/>
  <c r="R109" i="10" s="1"/>
  <c r="C109" i="10"/>
  <c r="U106" i="10"/>
  <c r="G106" i="10"/>
  <c r="E106" i="10"/>
  <c r="Q106" i="10" s="1"/>
  <c r="C106" i="10"/>
  <c r="U103" i="10"/>
  <c r="G103" i="10"/>
  <c r="E103" i="10"/>
  <c r="R103" i="10" s="1"/>
  <c r="C103" i="10"/>
  <c r="U100" i="10"/>
  <c r="G100" i="10"/>
  <c r="E100" i="10"/>
  <c r="R100" i="10" s="1"/>
  <c r="C100" i="10"/>
  <c r="U97" i="10"/>
  <c r="G97" i="10"/>
  <c r="E97" i="10"/>
  <c r="P97" i="10" s="1"/>
  <c r="C97" i="10"/>
  <c r="U94" i="10"/>
  <c r="G94" i="10"/>
  <c r="E94" i="10"/>
  <c r="R94" i="10" s="1"/>
  <c r="C94" i="10"/>
  <c r="U91" i="10"/>
  <c r="G91" i="10"/>
  <c r="E91" i="10"/>
  <c r="Q91" i="10" s="1"/>
  <c r="C91" i="10"/>
  <c r="U88" i="10"/>
  <c r="G88" i="10"/>
  <c r="E88" i="10"/>
  <c r="R88" i="10" s="1"/>
  <c r="C88" i="10"/>
  <c r="U85" i="10"/>
  <c r="G85" i="10"/>
  <c r="E85" i="10"/>
  <c r="R85" i="10" s="1"/>
  <c r="C85" i="10"/>
  <c r="U82" i="10"/>
  <c r="G82" i="10"/>
  <c r="E82" i="10"/>
  <c r="P82" i="10" s="1"/>
  <c r="C82" i="10"/>
  <c r="U79" i="10"/>
  <c r="G79" i="10"/>
  <c r="E79" i="10"/>
  <c r="R79" i="10" s="1"/>
  <c r="C79" i="10"/>
  <c r="U76" i="10"/>
  <c r="G76" i="10"/>
  <c r="E76" i="10"/>
  <c r="Q76" i="10" s="1"/>
  <c r="C76" i="10"/>
  <c r="U73" i="10"/>
  <c r="G73" i="10"/>
  <c r="E73" i="10"/>
  <c r="R73" i="10" s="1"/>
  <c r="C73" i="10"/>
  <c r="U70" i="10"/>
  <c r="G70" i="10"/>
  <c r="E70" i="10"/>
  <c r="R70" i="10" s="1"/>
  <c r="C70" i="10"/>
  <c r="U67" i="10"/>
  <c r="G67" i="10"/>
  <c r="E67" i="10"/>
  <c r="P67" i="10" s="1"/>
  <c r="C67" i="10"/>
  <c r="U64" i="10"/>
  <c r="G64" i="10"/>
  <c r="E64" i="10"/>
  <c r="R64" i="10" s="1"/>
  <c r="C64" i="10"/>
  <c r="U61" i="10"/>
  <c r="G61" i="10"/>
  <c r="E61" i="10"/>
  <c r="Q61" i="10" s="1"/>
  <c r="C61" i="10"/>
  <c r="U58" i="10"/>
  <c r="G58" i="10"/>
  <c r="E58" i="10"/>
  <c r="R58" i="10" s="1"/>
  <c r="C58" i="10"/>
  <c r="U55" i="10"/>
  <c r="G55" i="10"/>
  <c r="E55" i="10"/>
  <c r="R55" i="10" s="1"/>
  <c r="C55" i="10"/>
  <c r="U52" i="10"/>
  <c r="G52" i="10"/>
  <c r="E52" i="10"/>
  <c r="P52" i="10" s="1"/>
  <c r="C52" i="10"/>
  <c r="U49" i="10"/>
  <c r="G49" i="10"/>
  <c r="E49" i="10"/>
  <c r="R49" i="10" s="1"/>
  <c r="C49" i="10"/>
  <c r="U46" i="10"/>
  <c r="G46" i="10"/>
  <c r="E46" i="10"/>
  <c r="Q46" i="10" s="1"/>
  <c r="C46" i="10"/>
  <c r="U43" i="10"/>
  <c r="G43" i="10"/>
  <c r="E43" i="10"/>
  <c r="R43" i="10" s="1"/>
  <c r="C43" i="10"/>
  <c r="U40" i="10"/>
  <c r="G40" i="10"/>
  <c r="E40" i="10"/>
  <c r="R40" i="10" s="1"/>
  <c r="C40" i="10"/>
  <c r="U37" i="10"/>
  <c r="G37" i="10"/>
  <c r="E37" i="10"/>
  <c r="P37" i="10" s="1"/>
  <c r="C37" i="10"/>
  <c r="U34" i="10"/>
  <c r="G34" i="10"/>
  <c r="E34" i="10"/>
  <c r="R34" i="10" s="1"/>
  <c r="C34" i="10"/>
  <c r="U31" i="10"/>
  <c r="G31" i="10"/>
  <c r="E31" i="10"/>
  <c r="Q31" i="10" s="1"/>
  <c r="C31" i="10"/>
  <c r="U28" i="10"/>
  <c r="G28" i="10"/>
  <c r="E28" i="10"/>
  <c r="R28" i="10" s="1"/>
  <c r="C28" i="10"/>
  <c r="U25" i="10"/>
  <c r="G25" i="10"/>
  <c r="E25" i="10"/>
  <c r="R25" i="10" s="1"/>
  <c r="C25" i="10"/>
  <c r="U22" i="10"/>
  <c r="G22" i="10"/>
  <c r="E22" i="10"/>
  <c r="P22" i="10" s="1"/>
  <c r="C22" i="10"/>
  <c r="U19" i="10"/>
  <c r="G19" i="10"/>
  <c r="E19" i="10"/>
  <c r="R19" i="10" s="1"/>
  <c r="C19" i="10"/>
  <c r="U16" i="10"/>
  <c r="G16" i="10"/>
  <c r="E16" i="10"/>
  <c r="Q16" i="10" s="1"/>
  <c r="C16" i="10"/>
  <c r="U13" i="10"/>
  <c r="G13" i="10"/>
  <c r="E13" i="10"/>
  <c r="R13" i="10" s="1"/>
  <c r="C13" i="10"/>
  <c r="U10" i="10"/>
  <c r="G10" i="10"/>
  <c r="E10" i="10"/>
  <c r="R10" i="10" s="1"/>
  <c r="C10" i="10"/>
  <c r="U7" i="10"/>
  <c r="G7" i="10"/>
  <c r="E7" i="10"/>
  <c r="P7" i="10" s="1"/>
  <c r="C7" i="10"/>
  <c r="U4" i="10"/>
  <c r="G4" i="10"/>
  <c r="E4" i="10"/>
  <c r="R4" i="10" s="1"/>
  <c r="C4" i="10"/>
  <c r="E3" i="6"/>
  <c r="E2" i="6"/>
  <c r="N2" i="6"/>
  <c r="M217" i="9"/>
  <c r="K217" i="9"/>
  <c r="L217" i="9" s="1"/>
  <c r="H217" i="9"/>
  <c r="E217" i="9"/>
  <c r="C217" i="9"/>
  <c r="M216" i="9"/>
  <c r="K216" i="9"/>
  <c r="L216" i="9" s="1"/>
  <c r="H216" i="9"/>
  <c r="E216" i="9"/>
  <c r="C216" i="9"/>
  <c r="M215" i="9"/>
  <c r="K215" i="9"/>
  <c r="L215" i="9" s="1"/>
  <c r="H215" i="9"/>
  <c r="E215" i="9"/>
  <c r="C215" i="9"/>
  <c r="M214" i="9"/>
  <c r="K214" i="9"/>
  <c r="L214" i="9" s="1"/>
  <c r="H214" i="9"/>
  <c r="E214" i="9"/>
  <c r="C214" i="9"/>
  <c r="M213" i="9"/>
  <c r="K213" i="9"/>
  <c r="L213" i="9" s="1"/>
  <c r="H213" i="9"/>
  <c r="E213" i="9"/>
  <c r="C213" i="9"/>
  <c r="M212" i="9"/>
  <c r="K212" i="9"/>
  <c r="L212" i="9" s="1"/>
  <c r="H212" i="9"/>
  <c r="E212" i="9"/>
  <c r="C212" i="9"/>
  <c r="M211" i="9"/>
  <c r="K211" i="9"/>
  <c r="L211" i="9" s="1"/>
  <c r="H211" i="9"/>
  <c r="E211" i="9"/>
  <c r="C211" i="9"/>
  <c r="M210" i="9"/>
  <c r="K210" i="9"/>
  <c r="L210" i="9" s="1"/>
  <c r="H210" i="9"/>
  <c r="E210" i="9"/>
  <c r="C210" i="9"/>
  <c r="M209" i="9"/>
  <c r="K209" i="9"/>
  <c r="L209" i="9" s="1"/>
  <c r="H209" i="9"/>
  <c r="E209" i="9"/>
  <c r="C209" i="9"/>
  <c r="M208" i="9"/>
  <c r="K208" i="9"/>
  <c r="L208" i="9" s="1"/>
  <c r="H208" i="9"/>
  <c r="E208" i="9"/>
  <c r="C208" i="9"/>
  <c r="M207" i="9"/>
  <c r="K207" i="9"/>
  <c r="L207" i="9" s="1"/>
  <c r="H207" i="9"/>
  <c r="E207" i="9"/>
  <c r="C207" i="9"/>
  <c r="M206" i="9"/>
  <c r="K206" i="9"/>
  <c r="L206" i="9" s="1"/>
  <c r="H206" i="9"/>
  <c r="E206" i="9"/>
  <c r="C206" i="9"/>
  <c r="M205" i="9"/>
  <c r="K205" i="9"/>
  <c r="L205" i="9" s="1"/>
  <c r="H205" i="9"/>
  <c r="E205" i="9"/>
  <c r="C205" i="9"/>
  <c r="M204" i="9"/>
  <c r="K204" i="9"/>
  <c r="L204" i="9" s="1"/>
  <c r="H204" i="9"/>
  <c r="E204" i="9"/>
  <c r="C204" i="9"/>
  <c r="M203" i="9"/>
  <c r="K203" i="9"/>
  <c r="L203" i="9" s="1"/>
  <c r="H203" i="9"/>
  <c r="E203" i="9"/>
  <c r="C203" i="9"/>
  <c r="M202" i="9"/>
  <c r="K202" i="9"/>
  <c r="L202" i="9" s="1"/>
  <c r="H202" i="9"/>
  <c r="E202" i="9"/>
  <c r="C202" i="9"/>
  <c r="M201" i="9"/>
  <c r="K201" i="9"/>
  <c r="L201" i="9" s="1"/>
  <c r="H201" i="9"/>
  <c r="E201" i="9"/>
  <c r="C201" i="9"/>
  <c r="M200" i="9"/>
  <c r="K200" i="9"/>
  <c r="L200" i="9" s="1"/>
  <c r="H200" i="9"/>
  <c r="E200" i="9"/>
  <c r="C200" i="9"/>
  <c r="M199" i="9"/>
  <c r="K199" i="9"/>
  <c r="L199" i="9" s="1"/>
  <c r="H199" i="9"/>
  <c r="E199" i="9"/>
  <c r="C199" i="9"/>
  <c r="M198" i="9"/>
  <c r="K198" i="9"/>
  <c r="L198" i="9" s="1"/>
  <c r="H198" i="9"/>
  <c r="E198" i="9"/>
  <c r="C198" i="9"/>
  <c r="M197" i="9"/>
  <c r="K197" i="9"/>
  <c r="L197" i="9" s="1"/>
  <c r="H197" i="9"/>
  <c r="E197" i="9"/>
  <c r="C197" i="9"/>
  <c r="M196" i="9"/>
  <c r="K196" i="9"/>
  <c r="L196" i="9" s="1"/>
  <c r="H196" i="9"/>
  <c r="E196" i="9"/>
  <c r="C196" i="9"/>
  <c r="M195" i="9"/>
  <c r="K195" i="9"/>
  <c r="L195" i="9" s="1"/>
  <c r="H195" i="9"/>
  <c r="E195" i="9"/>
  <c r="C195" i="9"/>
  <c r="M194" i="9"/>
  <c r="K194" i="9"/>
  <c r="L194" i="9" s="1"/>
  <c r="H194" i="9"/>
  <c r="E194" i="9"/>
  <c r="C194" i="9"/>
  <c r="M193" i="9"/>
  <c r="K193" i="9"/>
  <c r="L193" i="9" s="1"/>
  <c r="H193" i="9"/>
  <c r="E193" i="9"/>
  <c r="C193" i="9"/>
  <c r="M192" i="9"/>
  <c r="K192" i="9"/>
  <c r="L192" i="9" s="1"/>
  <c r="H192" i="9"/>
  <c r="E192" i="9"/>
  <c r="C192" i="9"/>
  <c r="M191" i="9"/>
  <c r="K191" i="9"/>
  <c r="L191" i="9" s="1"/>
  <c r="H191" i="9"/>
  <c r="E191" i="9"/>
  <c r="C191" i="9"/>
  <c r="M190" i="9"/>
  <c r="K190" i="9"/>
  <c r="L190" i="9" s="1"/>
  <c r="H190" i="9"/>
  <c r="E190" i="9"/>
  <c r="C190" i="9"/>
  <c r="M189" i="9"/>
  <c r="K189" i="9"/>
  <c r="L189" i="9" s="1"/>
  <c r="H189" i="9"/>
  <c r="E189" i="9"/>
  <c r="C189" i="9"/>
  <c r="M188" i="9"/>
  <c r="K188" i="9"/>
  <c r="L188" i="9" s="1"/>
  <c r="H188" i="9"/>
  <c r="E188" i="9"/>
  <c r="C188" i="9"/>
  <c r="M187" i="9"/>
  <c r="K187" i="9"/>
  <c r="L187" i="9" s="1"/>
  <c r="H187" i="9"/>
  <c r="E187" i="9"/>
  <c r="C187" i="9"/>
  <c r="M186" i="9"/>
  <c r="K186" i="9"/>
  <c r="L186" i="9" s="1"/>
  <c r="H186" i="9"/>
  <c r="E186" i="9"/>
  <c r="C186" i="9"/>
  <c r="M185" i="9"/>
  <c r="K185" i="9"/>
  <c r="L185" i="9" s="1"/>
  <c r="H185" i="9"/>
  <c r="E185" i="9"/>
  <c r="C185" i="9"/>
  <c r="M184" i="9"/>
  <c r="K184" i="9"/>
  <c r="L184" i="9" s="1"/>
  <c r="H184" i="9"/>
  <c r="E184" i="9"/>
  <c r="C184" i="9"/>
  <c r="M183" i="9"/>
  <c r="K183" i="9"/>
  <c r="L183" i="9" s="1"/>
  <c r="H183" i="9"/>
  <c r="E183" i="9"/>
  <c r="C183" i="9"/>
  <c r="M182" i="9"/>
  <c r="K182" i="9"/>
  <c r="L182" i="9" s="1"/>
  <c r="H182" i="9"/>
  <c r="E182" i="9"/>
  <c r="C182" i="9"/>
  <c r="M181" i="9"/>
  <c r="K181" i="9"/>
  <c r="L181" i="9" s="1"/>
  <c r="H181" i="9"/>
  <c r="E181" i="9"/>
  <c r="C181" i="9"/>
  <c r="M180" i="9"/>
  <c r="K180" i="9"/>
  <c r="L180" i="9" s="1"/>
  <c r="H180" i="9"/>
  <c r="E180" i="9"/>
  <c r="C180" i="9"/>
  <c r="M179" i="9"/>
  <c r="K179" i="9"/>
  <c r="L179" i="9" s="1"/>
  <c r="H179" i="9"/>
  <c r="E179" i="9"/>
  <c r="C179" i="9"/>
  <c r="M178" i="9"/>
  <c r="K178" i="9"/>
  <c r="L178" i="9" s="1"/>
  <c r="H178" i="9"/>
  <c r="E178" i="9"/>
  <c r="C178" i="9"/>
  <c r="M177" i="9"/>
  <c r="K177" i="9"/>
  <c r="L177" i="9" s="1"/>
  <c r="H177" i="9"/>
  <c r="E177" i="9"/>
  <c r="C177" i="9"/>
  <c r="M176" i="9"/>
  <c r="K176" i="9"/>
  <c r="L176" i="9" s="1"/>
  <c r="H176" i="9"/>
  <c r="E176" i="9"/>
  <c r="C176" i="9"/>
  <c r="M175" i="9"/>
  <c r="K175" i="9"/>
  <c r="L175" i="9" s="1"/>
  <c r="H175" i="9"/>
  <c r="E175" i="9"/>
  <c r="C175" i="9"/>
  <c r="M174" i="9"/>
  <c r="K174" i="9"/>
  <c r="L174" i="9" s="1"/>
  <c r="H174" i="9"/>
  <c r="E174" i="9"/>
  <c r="C174" i="9"/>
  <c r="M173" i="9"/>
  <c r="K173" i="9"/>
  <c r="L173" i="9" s="1"/>
  <c r="H173" i="9"/>
  <c r="E173" i="9"/>
  <c r="C173" i="9"/>
  <c r="M172" i="9"/>
  <c r="K172" i="9"/>
  <c r="L172" i="9" s="1"/>
  <c r="H172" i="9"/>
  <c r="E172" i="9"/>
  <c r="C172" i="9"/>
  <c r="M171" i="9"/>
  <c r="K171" i="9"/>
  <c r="L171" i="9" s="1"/>
  <c r="H171" i="9"/>
  <c r="E171" i="9"/>
  <c r="C171" i="9"/>
  <c r="M170" i="9"/>
  <c r="K170" i="9"/>
  <c r="L170" i="9" s="1"/>
  <c r="H170" i="9"/>
  <c r="E170" i="9"/>
  <c r="C170" i="9"/>
  <c r="M169" i="9"/>
  <c r="K169" i="9"/>
  <c r="L169" i="9" s="1"/>
  <c r="H169" i="9"/>
  <c r="E169" i="9"/>
  <c r="C169" i="9"/>
  <c r="M168" i="9"/>
  <c r="K168" i="9"/>
  <c r="L168" i="9" s="1"/>
  <c r="H168" i="9"/>
  <c r="E168" i="9"/>
  <c r="C168" i="9"/>
  <c r="M167" i="9"/>
  <c r="K167" i="9"/>
  <c r="L167" i="9" s="1"/>
  <c r="H167" i="9"/>
  <c r="E167" i="9"/>
  <c r="C167" i="9"/>
  <c r="M166" i="9"/>
  <c r="K166" i="9"/>
  <c r="L166" i="9" s="1"/>
  <c r="H166" i="9"/>
  <c r="E166" i="9"/>
  <c r="C166" i="9"/>
  <c r="M165" i="9"/>
  <c r="K165" i="9"/>
  <c r="L165" i="9" s="1"/>
  <c r="H165" i="9"/>
  <c r="E165" i="9"/>
  <c r="C165" i="9"/>
  <c r="M164" i="9"/>
  <c r="K164" i="9"/>
  <c r="L164" i="9" s="1"/>
  <c r="H164" i="9"/>
  <c r="E164" i="9"/>
  <c r="C164" i="9"/>
  <c r="M163" i="9"/>
  <c r="K163" i="9"/>
  <c r="L163" i="9" s="1"/>
  <c r="H163" i="9"/>
  <c r="E163" i="9"/>
  <c r="C163" i="9"/>
  <c r="M162" i="9"/>
  <c r="K162" i="9"/>
  <c r="L162" i="9" s="1"/>
  <c r="H162" i="9"/>
  <c r="E162" i="9"/>
  <c r="C162" i="9"/>
  <c r="M161" i="9"/>
  <c r="K161" i="9"/>
  <c r="L161" i="9" s="1"/>
  <c r="H161" i="9"/>
  <c r="E161" i="9"/>
  <c r="C161" i="9"/>
  <c r="M160" i="9"/>
  <c r="K160" i="9"/>
  <c r="L160" i="9" s="1"/>
  <c r="H160" i="9"/>
  <c r="E160" i="9"/>
  <c r="C160" i="9"/>
  <c r="M159" i="9"/>
  <c r="K159" i="9"/>
  <c r="L159" i="9" s="1"/>
  <c r="H159" i="9"/>
  <c r="E159" i="9"/>
  <c r="C159" i="9"/>
  <c r="M158" i="9"/>
  <c r="K158" i="9"/>
  <c r="L158" i="9" s="1"/>
  <c r="H158" i="9"/>
  <c r="E158" i="9"/>
  <c r="C158" i="9"/>
  <c r="M157" i="9"/>
  <c r="K157" i="9"/>
  <c r="L157" i="9" s="1"/>
  <c r="H157" i="9"/>
  <c r="E157" i="9"/>
  <c r="C157" i="9"/>
  <c r="M156" i="9"/>
  <c r="K156" i="9"/>
  <c r="L156" i="9" s="1"/>
  <c r="H156" i="9"/>
  <c r="E156" i="9"/>
  <c r="C156" i="9"/>
  <c r="M155" i="9"/>
  <c r="K155" i="9"/>
  <c r="L155" i="9" s="1"/>
  <c r="H155" i="9"/>
  <c r="E155" i="9"/>
  <c r="C155" i="9"/>
  <c r="M154" i="9"/>
  <c r="K154" i="9"/>
  <c r="L154" i="9" s="1"/>
  <c r="H154" i="9"/>
  <c r="E154" i="9"/>
  <c r="C154" i="9"/>
  <c r="M153" i="9"/>
  <c r="K153" i="9"/>
  <c r="L153" i="9" s="1"/>
  <c r="H153" i="9"/>
  <c r="E153" i="9"/>
  <c r="C153" i="9"/>
  <c r="M152" i="9"/>
  <c r="K152" i="9"/>
  <c r="L152" i="9" s="1"/>
  <c r="H152" i="9"/>
  <c r="E152" i="9"/>
  <c r="C152" i="9"/>
  <c r="M151" i="9"/>
  <c r="K151" i="9"/>
  <c r="L151" i="9" s="1"/>
  <c r="H151" i="9"/>
  <c r="E151" i="9"/>
  <c r="C151" i="9"/>
  <c r="M150" i="9"/>
  <c r="K150" i="9"/>
  <c r="L150" i="9" s="1"/>
  <c r="H150" i="9"/>
  <c r="E150" i="9"/>
  <c r="C150" i="9"/>
  <c r="M149" i="9"/>
  <c r="K149" i="9"/>
  <c r="L149" i="9" s="1"/>
  <c r="H149" i="9"/>
  <c r="E149" i="9"/>
  <c r="C149" i="9"/>
  <c r="M148" i="9"/>
  <c r="K148" i="9"/>
  <c r="L148" i="9" s="1"/>
  <c r="H148" i="9"/>
  <c r="E148" i="9"/>
  <c r="C148" i="9"/>
  <c r="M147" i="9"/>
  <c r="K147" i="9"/>
  <c r="L147" i="9" s="1"/>
  <c r="H147" i="9"/>
  <c r="E147" i="9"/>
  <c r="C147" i="9"/>
  <c r="M146" i="9"/>
  <c r="K146" i="9"/>
  <c r="L146" i="9" s="1"/>
  <c r="H146" i="9"/>
  <c r="E146" i="9"/>
  <c r="C146" i="9"/>
  <c r="M145" i="9"/>
  <c r="K145" i="9"/>
  <c r="L145" i="9" s="1"/>
  <c r="H145" i="9"/>
  <c r="E145" i="9"/>
  <c r="C145" i="9"/>
  <c r="M144" i="9"/>
  <c r="K144" i="9"/>
  <c r="L144" i="9" s="1"/>
  <c r="H144" i="9"/>
  <c r="E144" i="9"/>
  <c r="C144" i="9"/>
  <c r="M143" i="9"/>
  <c r="K143" i="9"/>
  <c r="L143" i="9" s="1"/>
  <c r="H143" i="9"/>
  <c r="E143" i="9"/>
  <c r="C143" i="9"/>
  <c r="M142" i="9"/>
  <c r="K142" i="9"/>
  <c r="L142" i="9" s="1"/>
  <c r="H142" i="9"/>
  <c r="E142" i="9"/>
  <c r="C142" i="9"/>
  <c r="M141" i="9"/>
  <c r="K141" i="9"/>
  <c r="L141" i="9" s="1"/>
  <c r="H141" i="9"/>
  <c r="E141" i="9"/>
  <c r="C141" i="9"/>
  <c r="M140" i="9"/>
  <c r="K140" i="9"/>
  <c r="L140" i="9" s="1"/>
  <c r="H140" i="9"/>
  <c r="E140" i="9"/>
  <c r="C140" i="9"/>
  <c r="M139" i="9"/>
  <c r="K139" i="9"/>
  <c r="L139" i="9" s="1"/>
  <c r="H139" i="9"/>
  <c r="E139" i="9"/>
  <c r="C139" i="9"/>
  <c r="M138" i="9"/>
  <c r="K138" i="9"/>
  <c r="L138" i="9" s="1"/>
  <c r="H138" i="9"/>
  <c r="E138" i="9"/>
  <c r="C138" i="9"/>
  <c r="M137" i="9"/>
  <c r="K137" i="9"/>
  <c r="L137" i="9" s="1"/>
  <c r="H137" i="9"/>
  <c r="E137" i="9"/>
  <c r="C137" i="9"/>
  <c r="M136" i="9"/>
  <c r="K136" i="9"/>
  <c r="L136" i="9" s="1"/>
  <c r="H136" i="9"/>
  <c r="E136" i="9"/>
  <c r="C136" i="9"/>
  <c r="M135" i="9"/>
  <c r="K135" i="9"/>
  <c r="L135" i="9" s="1"/>
  <c r="H135" i="9"/>
  <c r="E135" i="9"/>
  <c r="C135" i="9"/>
  <c r="M134" i="9"/>
  <c r="K134" i="9"/>
  <c r="L134" i="9" s="1"/>
  <c r="H134" i="9"/>
  <c r="E134" i="9"/>
  <c r="C134" i="9"/>
  <c r="M133" i="9"/>
  <c r="K133" i="9"/>
  <c r="L133" i="9" s="1"/>
  <c r="H133" i="9"/>
  <c r="E133" i="9"/>
  <c r="C133" i="9"/>
  <c r="M132" i="9"/>
  <c r="K132" i="9"/>
  <c r="L132" i="9" s="1"/>
  <c r="H132" i="9"/>
  <c r="E132" i="9"/>
  <c r="C132" i="9"/>
  <c r="M131" i="9"/>
  <c r="K131" i="9"/>
  <c r="L131" i="9" s="1"/>
  <c r="H131" i="9"/>
  <c r="E131" i="9"/>
  <c r="C131" i="9"/>
  <c r="M130" i="9"/>
  <c r="K130" i="9"/>
  <c r="L130" i="9" s="1"/>
  <c r="H130" i="9"/>
  <c r="E130" i="9"/>
  <c r="C130" i="9"/>
  <c r="M129" i="9"/>
  <c r="K129" i="9"/>
  <c r="L129" i="9" s="1"/>
  <c r="H129" i="9"/>
  <c r="E129" i="9"/>
  <c r="C129" i="9"/>
  <c r="M128" i="9"/>
  <c r="K128" i="9"/>
  <c r="L128" i="9" s="1"/>
  <c r="H128" i="9"/>
  <c r="E128" i="9"/>
  <c r="C128" i="9"/>
  <c r="M127" i="9"/>
  <c r="K127" i="9"/>
  <c r="L127" i="9" s="1"/>
  <c r="H127" i="9"/>
  <c r="E127" i="9"/>
  <c r="C127" i="9"/>
  <c r="M126" i="9"/>
  <c r="K126" i="9"/>
  <c r="L126" i="9" s="1"/>
  <c r="H126" i="9"/>
  <c r="E126" i="9"/>
  <c r="C126" i="9"/>
  <c r="M125" i="9"/>
  <c r="K125" i="9"/>
  <c r="L125" i="9" s="1"/>
  <c r="H125" i="9"/>
  <c r="E125" i="9"/>
  <c r="C125" i="9"/>
  <c r="M124" i="9"/>
  <c r="K124" i="9"/>
  <c r="L124" i="9" s="1"/>
  <c r="H124" i="9"/>
  <c r="E124" i="9"/>
  <c r="C124" i="9"/>
  <c r="M123" i="9"/>
  <c r="K123" i="9"/>
  <c r="L123" i="9" s="1"/>
  <c r="H123" i="9"/>
  <c r="E123" i="9"/>
  <c r="C123" i="9"/>
  <c r="M122" i="9"/>
  <c r="K122" i="9"/>
  <c r="L122" i="9" s="1"/>
  <c r="H122" i="9"/>
  <c r="E122" i="9"/>
  <c r="C122" i="9"/>
  <c r="M121" i="9"/>
  <c r="K121" i="9"/>
  <c r="L121" i="9" s="1"/>
  <c r="H121" i="9"/>
  <c r="E121" i="9"/>
  <c r="C121" i="9"/>
  <c r="M120" i="9"/>
  <c r="K120" i="9"/>
  <c r="L120" i="9" s="1"/>
  <c r="H120" i="9"/>
  <c r="E120" i="9"/>
  <c r="C120" i="9"/>
  <c r="M119" i="9"/>
  <c r="K119" i="9"/>
  <c r="L119" i="9" s="1"/>
  <c r="H119" i="9"/>
  <c r="E119" i="9"/>
  <c r="C119" i="9"/>
  <c r="M118" i="9"/>
  <c r="K118" i="9"/>
  <c r="L118" i="9" s="1"/>
  <c r="H118" i="9"/>
  <c r="E118" i="9"/>
  <c r="C118" i="9"/>
  <c r="M117" i="9"/>
  <c r="K117" i="9"/>
  <c r="L117" i="9" s="1"/>
  <c r="H117" i="9"/>
  <c r="E117" i="9"/>
  <c r="C117" i="9"/>
  <c r="M116" i="9"/>
  <c r="K116" i="9"/>
  <c r="L116" i="9" s="1"/>
  <c r="H116" i="9"/>
  <c r="E116" i="9"/>
  <c r="C116" i="9"/>
  <c r="M115" i="9"/>
  <c r="K115" i="9"/>
  <c r="L115" i="9" s="1"/>
  <c r="H115" i="9"/>
  <c r="E115" i="9"/>
  <c r="C115" i="9"/>
  <c r="M114" i="9"/>
  <c r="K114" i="9"/>
  <c r="L114" i="9" s="1"/>
  <c r="H114" i="9"/>
  <c r="E114" i="9"/>
  <c r="C114" i="9"/>
  <c r="M113" i="9"/>
  <c r="K113" i="9"/>
  <c r="L113" i="9" s="1"/>
  <c r="H113" i="9"/>
  <c r="E113" i="9"/>
  <c r="C113" i="9"/>
  <c r="M112" i="9"/>
  <c r="K112" i="9"/>
  <c r="L112" i="9" s="1"/>
  <c r="H112" i="9"/>
  <c r="E112" i="9"/>
  <c r="C112" i="9"/>
  <c r="M111" i="9"/>
  <c r="K111" i="9"/>
  <c r="L111" i="9" s="1"/>
  <c r="H111" i="9"/>
  <c r="E111" i="9"/>
  <c r="C111" i="9"/>
  <c r="M110" i="9"/>
  <c r="K110" i="9"/>
  <c r="L110" i="9" s="1"/>
  <c r="H110" i="9"/>
  <c r="E110" i="9"/>
  <c r="C110" i="9"/>
  <c r="M109" i="9"/>
  <c r="K109" i="9"/>
  <c r="L109" i="9" s="1"/>
  <c r="H109" i="9"/>
  <c r="E109" i="9"/>
  <c r="C109" i="9"/>
  <c r="M108" i="9"/>
  <c r="K108" i="9"/>
  <c r="L108" i="9" s="1"/>
  <c r="H108" i="9"/>
  <c r="E108" i="9"/>
  <c r="C108" i="9"/>
  <c r="M107" i="9"/>
  <c r="K107" i="9"/>
  <c r="L107" i="9" s="1"/>
  <c r="H107" i="9"/>
  <c r="E107" i="9"/>
  <c r="C107" i="9"/>
  <c r="M106" i="9"/>
  <c r="K106" i="9"/>
  <c r="L106" i="9" s="1"/>
  <c r="H106" i="9"/>
  <c r="E106" i="9"/>
  <c r="C106" i="9"/>
  <c r="M105" i="9"/>
  <c r="K105" i="9"/>
  <c r="L105" i="9" s="1"/>
  <c r="H105" i="9"/>
  <c r="E105" i="9"/>
  <c r="C105" i="9"/>
  <c r="M104" i="9"/>
  <c r="K104" i="9"/>
  <c r="L104" i="9" s="1"/>
  <c r="H104" i="9"/>
  <c r="E104" i="9"/>
  <c r="C104" i="9"/>
  <c r="M103" i="9"/>
  <c r="K103" i="9"/>
  <c r="L103" i="9" s="1"/>
  <c r="H103" i="9"/>
  <c r="E103" i="9"/>
  <c r="C103" i="9"/>
  <c r="M102" i="9"/>
  <c r="K102" i="9"/>
  <c r="L102" i="9" s="1"/>
  <c r="H102" i="9"/>
  <c r="E102" i="9"/>
  <c r="C102" i="9"/>
  <c r="M101" i="9"/>
  <c r="K101" i="9"/>
  <c r="L101" i="9" s="1"/>
  <c r="H101" i="9"/>
  <c r="E101" i="9"/>
  <c r="C101" i="9"/>
  <c r="M100" i="9"/>
  <c r="K100" i="9"/>
  <c r="L100" i="9" s="1"/>
  <c r="H100" i="9"/>
  <c r="E100" i="9"/>
  <c r="C100" i="9"/>
  <c r="M99" i="9"/>
  <c r="K99" i="9"/>
  <c r="L99" i="9" s="1"/>
  <c r="H99" i="9"/>
  <c r="E99" i="9"/>
  <c r="C99" i="9"/>
  <c r="M98" i="9"/>
  <c r="K98" i="9"/>
  <c r="L98" i="9" s="1"/>
  <c r="H98" i="9"/>
  <c r="E98" i="9"/>
  <c r="C98" i="9"/>
  <c r="M97" i="9"/>
  <c r="K97" i="9"/>
  <c r="L97" i="9" s="1"/>
  <c r="H97" i="9"/>
  <c r="E97" i="9"/>
  <c r="C97" i="9"/>
  <c r="M96" i="9"/>
  <c r="K96" i="9"/>
  <c r="L96" i="9" s="1"/>
  <c r="H96" i="9"/>
  <c r="E96" i="9"/>
  <c r="C96" i="9"/>
  <c r="M95" i="9"/>
  <c r="K95" i="9"/>
  <c r="L95" i="9" s="1"/>
  <c r="H95" i="9"/>
  <c r="E95" i="9"/>
  <c r="C95" i="9"/>
  <c r="M94" i="9"/>
  <c r="K94" i="9"/>
  <c r="L94" i="9" s="1"/>
  <c r="H94" i="9"/>
  <c r="E94" i="9"/>
  <c r="C94" i="9"/>
  <c r="M93" i="9"/>
  <c r="K93" i="9"/>
  <c r="L93" i="9" s="1"/>
  <c r="H93" i="9"/>
  <c r="E93" i="9"/>
  <c r="C93" i="9"/>
  <c r="M92" i="9"/>
  <c r="K92" i="9"/>
  <c r="L92" i="9" s="1"/>
  <c r="H92" i="9"/>
  <c r="E92" i="9"/>
  <c r="C92" i="9"/>
  <c r="M91" i="9"/>
  <c r="K91" i="9"/>
  <c r="L91" i="9" s="1"/>
  <c r="H91" i="9"/>
  <c r="E91" i="9"/>
  <c r="C91" i="9"/>
  <c r="M90" i="9"/>
  <c r="K90" i="9"/>
  <c r="L90" i="9" s="1"/>
  <c r="H90" i="9"/>
  <c r="E90" i="9"/>
  <c r="C90" i="9"/>
  <c r="M89" i="9"/>
  <c r="K89" i="9"/>
  <c r="L89" i="9" s="1"/>
  <c r="H89" i="9"/>
  <c r="E89" i="9"/>
  <c r="C89" i="9"/>
  <c r="M88" i="9"/>
  <c r="K88" i="9"/>
  <c r="L88" i="9" s="1"/>
  <c r="H88" i="9"/>
  <c r="E88" i="9"/>
  <c r="C88" i="9"/>
  <c r="M87" i="9"/>
  <c r="K87" i="9"/>
  <c r="L87" i="9" s="1"/>
  <c r="H87" i="9"/>
  <c r="E87" i="9"/>
  <c r="C87" i="9"/>
  <c r="M86" i="9"/>
  <c r="K86" i="9"/>
  <c r="L86" i="9" s="1"/>
  <c r="H86" i="9"/>
  <c r="E86" i="9"/>
  <c r="C86" i="9"/>
  <c r="M85" i="9"/>
  <c r="K85" i="9"/>
  <c r="L85" i="9" s="1"/>
  <c r="H85" i="9"/>
  <c r="E85" i="9"/>
  <c r="C85" i="9"/>
  <c r="M84" i="9"/>
  <c r="K84" i="9"/>
  <c r="L84" i="9" s="1"/>
  <c r="H84" i="9"/>
  <c r="E84" i="9"/>
  <c r="C84" i="9"/>
  <c r="M83" i="9"/>
  <c r="K83" i="9"/>
  <c r="L83" i="9" s="1"/>
  <c r="H83" i="9"/>
  <c r="E83" i="9"/>
  <c r="C83" i="9"/>
  <c r="M82" i="9"/>
  <c r="K82" i="9"/>
  <c r="L82" i="9" s="1"/>
  <c r="H82" i="9"/>
  <c r="E82" i="9"/>
  <c r="C82" i="9"/>
  <c r="M81" i="9"/>
  <c r="K81" i="9"/>
  <c r="L81" i="9" s="1"/>
  <c r="H81" i="9"/>
  <c r="E81" i="9"/>
  <c r="C81" i="9"/>
  <c r="M80" i="9"/>
  <c r="K80" i="9"/>
  <c r="L80" i="9" s="1"/>
  <c r="H80" i="9"/>
  <c r="E80" i="9"/>
  <c r="C80" i="9"/>
  <c r="M79" i="9"/>
  <c r="K79" i="9"/>
  <c r="L79" i="9" s="1"/>
  <c r="H79" i="9"/>
  <c r="E79" i="9"/>
  <c r="C79" i="9"/>
  <c r="M78" i="9"/>
  <c r="K78" i="9"/>
  <c r="L78" i="9" s="1"/>
  <c r="H78" i="9"/>
  <c r="E78" i="9"/>
  <c r="C78" i="9"/>
  <c r="M77" i="9"/>
  <c r="K77" i="9"/>
  <c r="L77" i="9" s="1"/>
  <c r="H77" i="9"/>
  <c r="E77" i="9"/>
  <c r="C77" i="9"/>
  <c r="M76" i="9"/>
  <c r="K76" i="9"/>
  <c r="L76" i="9" s="1"/>
  <c r="H76" i="9"/>
  <c r="E76" i="9"/>
  <c r="C76" i="9"/>
  <c r="M75" i="9"/>
  <c r="K75" i="9"/>
  <c r="L75" i="9" s="1"/>
  <c r="H75" i="9"/>
  <c r="E75" i="9"/>
  <c r="C75" i="9"/>
  <c r="M74" i="9"/>
  <c r="K74" i="9"/>
  <c r="L74" i="9" s="1"/>
  <c r="H74" i="9"/>
  <c r="E74" i="9"/>
  <c r="C74" i="9"/>
  <c r="M73" i="9"/>
  <c r="K73" i="9"/>
  <c r="L73" i="9" s="1"/>
  <c r="H73" i="9"/>
  <c r="E73" i="9"/>
  <c r="C73" i="9"/>
  <c r="M72" i="9"/>
  <c r="K72" i="9"/>
  <c r="L72" i="9" s="1"/>
  <c r="H72" i="9"/>
  <c r="E72" i="9"/>
  <c r="C72" i="9"/>
  <c r="M71" i="9"/>
  <c r="K71" i="9"/>
  <c r="L71" i="9" s="1"/>
  <c r="H71" i="9"/>
  <c r="E71" i="9"/>
  <c r="C71" i="9"/>
  <c r="M70" i="9"/>
  <c r="K70" i="9"/>
  <c r="L70" i="9" s="1"/>
  <c r="H70" i="9"/>
  <c r="E70" i="9"/>
  <c r="C70" i="9"/>
  <c r="M69" i="9"/>
  <c r="K69" i="9"/>
  <c r="L69" i="9" s="1"/>
  <c r="H69" i="9"/>
  <c r="E69" i="9"/>
  <c r="C69" i="9"/>
  <c r="M68" i="9"/>
  <c r="K68" i="9"/>
  <c r="L68" i="9" s="1"/>
  <c r="H68" i="9"/>
  <c r="E68" i="9"/>
  <c r="C68" i="9"/>
  <c r="M67" i="9"/>
  <c r="K67" i="9"/>
  <c r="L67" i="9" s="1"/>
  <c r="H67" i="9"/>
  <c r="E67" i="9"/>
  <c r="C67" i="9"/>
  <c r="M66" i="9"/>
  <c r="K66" i="9"/>
  <c r="L66" i="9" s="1"/>
  <c r="H66" i="9"/>
  <c r="E66" i="9"/>
  <c r="C66" i="9"/>
  <c r="M65" i="9"/>
  <c r="K65" i="9"/>
  <c r="L65" i="9" s="1"/>
  <c r="H65" i="9"/>
  <c r="E65" i="9"/>
  <c r="C65" i="9"/>
  <c r="M64" i="9"/>
  <c r="K64" i="9"/>
  <c r="L64" i="9" s="1"/>
  <c r="H64" i="9"/>
  <c r="E64" i="9"/>
  <c r="C64" i="9"/>
  <c r="M63" i="9"/>
  <c r="K63" i="9"/>
  <c r="L63" i="9" s="1"/>
  <c r="H63" i="9"/>
  <c r="E63" i="9"/>
  <c r="C63" i="9"/>
  <c r="M62" i="9"/>
  <c r="K62" i="9"/>
  <c r="L62" i="9" s="1"/>
  <c r="H62" i="9"/>
  <c r="E62" i="9"/>
  <c r="C62" i="9"/>
  <c r="M61" i="9"/>
  <c r="K61" i="9"/>
  <c r="L61" i="9" s="1"/>
  <c r="H61" i="9"/>
  <c r="E61" i="9"/>
  <c r="C61" i="9"/>
  <c r="M60" i="9"/>
  <c r="K60" i="9"/>
  <c r="L60" i="9" s="1"/>
  <c r="H60" i="9"/>
  <c r="E60" i="9"/>
  <c r="C60" i="9"/>
  <c r="M59" i="9"/>
  <c r="K59" i="9"/>
  <c r="L59" i="9" s="1"/>
  <c r="H59" i="9"/>
  <c r="E59" i="9"/>
  <c r="C59" i="9"/>
  <c r="M58" i="9"/>
  <c r="K58" i="9"/>
  <c r="L58" i="9" s="1"/>
  <c r="H58" i="9"/>
  <c r="E58" i="9"/>
  <c r="C58" i="9"/>
  <c r="M57" i="9"/>
  <c r="K57" i="9"/>
  <c r="L57" i="9" s="1"/>
  <c r="H57" i="9"/>
  <c r="E57" i="9"/>
  <c r="C57" i="9"/>
  <c r="M56" i="9"/>
  <c r="K56" i="9"/>
  <c r="L56" i="9" s="1"/>
  <c r="H56" i="9"/>
  <c r="E56" i="9"/>
  <c r="C56" i="9"/>
  <c r="M55" i="9"/>
  <c r="K55" i="9"/>
  <c r="L55" i="9" s="1"/>
  <c r="H55" i="9"/>
  <c r="E55" i="9"/>
  <c r="C55" i="9"/>
  <c r="M54" i="9"/>
  <c r="K54" i="9"/>
  <c r="L54" i="9" s="1"/>
  <c r="H54" i="9"/>
  <c r="E54" i="9"/>
  <c r="C54" i="9"/>
  <c r="M53" i="9"/>
  <c r="K53" i="9"/>
  <c r="L53" i="9" s="1"/>
  <c r="H53" i="9"/>
  <c r="E53" i="9"/>
  <c r="C53" i="9"/>
  <c r="M52" i="9"/>
  <c r="K52" i="9"/>
  <c r="L52" i="9" s="1"/>
  <c r="H52" i="9"/>
  <c r="E52" i="9"/>
  <c r="C52" i="9"/>
  <c r="M51" i="9"/>
  <c r="K51" i="9"/>
  <c r="L51" i="9" s="1"/>
  <c r="H51" i="9"/>
  <c r="E51" i="9"/>
  <c r="C51" i="9"/>
  <c r="M50" i="9"/>
  <c r="K50" i="9"/>
  <c r="L50" i="9" s="1"/>
  <c r="H50" i="9"/>
  <c r="E50" i="9"/>
  <c r="C50" i="9"/>
  <c r="M49" i="9"/>
  <c r="K49" i="9"/>
  <c r="L49" i="9" s="1"/>
  <c r="H49" i="9"/>
  <c r="E49" i="9"/>
  <c r="C49" i="9"/>
  <c r="M48" i="9"/>
  <c r="K48" i="9"/>
  <c r="L48" i="9" s="1"/>
  <c r="H48" i="9"/>
  <c r="E48" i="9"/>
  <c r="C48" i="9"/>
  <c r="M47" i="9"/>
  <c r="K47" i="9"/>
  <c r="L47" i="9" s="1"/>
  <c r="H47" i="9"/>
  <c r="E47" i="9"/>
  <c r="C47" i="9"/>
  <c r="M46" i="9"/>
  <c r="K46" i="9"/>
  <c r="L46" i="9" s="1"/>
  <c r="H46" i="9"/>
  <c r="E46" i="9"/>
  <c r="C46" i="9"/>
  <c r="M45" i="9"/>
  <c r="K45" i="9"/>
  <c r="L45" i="9" s="1"/>
  <c r="H45" i="9"/>
  <c r="E45" i="9"/>
  <c r="C45" i="9"/>
  <c r="M44" i="9"/>
  <c r="K44" i="9"/>
  <c r="L44" i="9" s="1"/>
  <c r="H44" i="9"/>
  <c r="E44" i="9"/>
  <c r="C44" i="9"/>
  <c r="M43" i="9"/>
  <c r="K43" i="9"/>
  <c r="L43" i="9" s="1"/>
  <c r="H43" i="9"/>
  <c r="E43" i="9"/>
  <c r="C43" i="9"/>
  <c r="M42" i="9"/>
  <c r="K42" i="9"/>
  <c r="L42" i="9" s="1"/>
  <c r="H42" i="9"/>
  <c r="E42" i="9"/>
  <c r="C42" i="9"/>
  <c r="M41" i="9"/>
  <c r="K41" i="9"/>
  <c r="L41" i="9" s="1"/>
  <c r="H41" i="9"/>
  <c r="E41" i="9"/>
  <c r="C41" i="9"/>
  <c r="M40" i="9"/>
  <c r="K40" i="9"/>
  <c r="L40" i="9" s="1"/>
  <c r="H40" i="9"/>
  <c r="E40" i="9"/>
  <c r="C40" i="9"/>
  <c r="M39" i="9"/>
  <c r="K39" i="9"/>
  <c r="L39" i="9" s="1"/>
  <c r="H39" i="9"/>
  <c r="E39" i="9"/>
  <c r="C39" i="9"/>
  <c r="M38" i="9"/>
  <c r="K38" i="9"/>
  <c r="L38" i="9" s="1"/>
  <c r="H38" i="9"/>
  <c r="E38" i="9"/>
  <c r="C38" i="9"/>
  <c r="M37" i="9"/>
  <c r="K37" i="9"/>
  <c r="L37" i="9" s="1"/>
  <c r="H37" i="9"/>
  <c r="E37" i="9"/>
  <c r="C37" i="9"/>
  <c r="M36" i="9"/>
  <c r="K36" i="9"/>
  <c r="L36" i="9" s="1"/>
  <c r="H36" i="9"/>
  <c r="E36" i="9"/>
  <c r="C36" i="9"/>
  <c r="M35" i="9"/>
  <c r="K35" i="9"/>
  <c r="L35" i="9" s="1"/>
  <c r="H35" i="9"/>
  <c r="E35" i="9"/>
  <c r="C35" i="9"/>
  <c r="M34" i="9"/>
  <c r="K34" i="9"/>
  <c r="L34" i="9" s="1"/>
  <c r="H34" i="9"/>
  <c r="E34" i="9"/>
  <c r="C34" i="9"/>
  <c r="M33" i="9"/>
  <c r="K33" i="9"/>
  <c r="L33" i="9" s="1"/>
  <c r="H33" i="9"/>
  <c r="E33" i="9"/>
  <c r="C33" i="9"/>
  <c r="M32" i="9"/>
  <c r="K32" i="9"/>
  <c r="L32" i="9" s="1"/>
  <c r="H32" i="9"/>
  <c r="E32" i="9"/>
  <c r="C32" i="9"/>
  <c r="M31" i="9"/>
  <c r="K31" i="9"/>
  <c r="L31" i="9" s="1"/>
  <c r="H31" i="9"/>
  <c r="E31" i="9"/>
  <c r="C31" i="9"/>
  <c r="M30" i="9"/>
  <c r="K30" i="9"/>
  <c r="L30" i="9" s="1"/>
  <c r="H30" i="9"/>
  <c r="E30" i="9"/>
  <c r="C30" i="9"/>
  <c r="M29" i="9"/>
  <c r="K29" i="9"/>
  <c r="L29" i="9" s="1"/>
  <c r="H29" i="9"/>
  <c r="E29" i="9"/>
  <c r="C29" i="9"/>
  <c r="M28" i="9"/>
  <c r="K28" i="9"/>
  <c r="L28" i="9" s="1"/>
  <c r="H28" i="9"/>
  <c r="E28" i="9"/>
  <c r="C28" i="9"/>
  <c r="M27" i="9"/>
  <c r="K27" i="9"/>
  <c r="L27" i="9" s="1"/>
  <c r="H27" i="9"/>
  <c r="E27" i="9"/>
  <c r="C27" i="9"/>
  <c r="M26" i="9"/>
  <c r="K26" i="9"/>
  <c r="L26" i="9" s="1"/>
  <c r="H26" i="9"/>
  <c r="E26" i="9"/>
  <c r="C26" i="9"/>
  <c r="M25" i="9"/>
  <c r="K25" i="9"/>
  <c r="L25" i="9" s="1"/>
  <c r="H25" i="9"/>
  <c r="E25" i="9"/>
  <c r="C25" i="9"/>
  <c r="M24" i="9"/>
  <c r="K24" i="9"/>
  <c r="L24" i="9" s="1"/>
  <c r="H24" i="9"/>
  <c r="E24" i="9"/>
  <c r="C24" i="9"/>
  <c r="M23" i="9"/>
  <c r="K23" i="9"/>
  <c r="L23" i="9" s="1"/>
  <c r="H23" i="9"/>
  <c r="E23" i="9"/>
  <c r="C23" i="9"/>
  <c r="M22" i="9"/>
  <c r="K22" i="9"/>
  <c r="L22" i="9" s="1"/>
  <c r="H22" i="9"/>
  <c r="E22" i="9"/>
  <c r="C22" i="9"/>
  <c r="M21" i="9"/>
  <c r="K21" i="9"/>
  <c r="L21" i="9" s="1"/>
  <c r="H21" i="9"/>
  <c r="E21" i="9"/>
  <c r="C21" i="9"/>
  <c r="M20" i="9"/>
  <c r="K20" i="9"/>
  <c r="L20" i="9" s="1"/>
  <c r="H20" i="9"/>
  <c r="E20" i="9"/>
  <c r="C20" i="9"/>
  <c r="M19" i="9"/>
  <c r="K19" i="9"/>
  <c r="L19" i="9" s="1"/>
  <c r="H19" i="9"/>
  <c r="E19" i="9"/>
  <c r="C19" i="9"/>
  <c r="M18" i="9"/>
  <c r="K18" i="9"/>
  <c r="L18" i="9" s="1"/>
  <c r="H18" i="9"/>
  <c r="E18" i="9"/>
  <c r="C18" i="9"/>
  <c r="M17" i="9"/>
  <c r="K17" i="9"/>
  <c r="L17" i="9" s="1"/>
  <c r="H17" i="9"/>
  <c r="E17" i="9"/>
  <c r="C17" i="9"/>
  <c r="M16" i="9"/>
  <c r="K16" i="9"/>
  <c r="L16" i="9" s="1"/>
  <c r="H16" i="9"/>
  <c r="E16" i="9"/>
  <c r="C16" i="9"/>
  <c r="M15" i="9"/>
  <c r="K15" i="9"/>
  <c r="L15" i="9" s="1"/>
  <c r="H15" i="9"/>
  <c r="E15" i="9"/>
  <c r="C15" i="9"/>
  <c r="M14" i="9"/>
  <c r="K14" i="9"/>
  <c r="L14" i="9" s="1"/>
  <c r="H14" i="9"/>
  <c r="E14" i="9"/>
  <c r="C14" i="9"/>
  <c r="M13" i="9"/>
  <c r="K13" i="9"/>
  <c r="L13" i="9" s="1"/>
  <c r="H13" i="9"/>
  <c r="E13" i="9"/>
  <c r="C13" i="9"/>
  <c r="M12" i="9"/>
  <c r="K12" i="9"/>
  <c r="L12" i="9" s="1"/>
  <c r="H12" i="9"/>
  <c r="E12" i="9"/>
  <c r="C12" i="9"/>
  <c r="M11" i="9"/>
  <c r="K11" i="9"/>
  <c r="L11" i="9" s="1"/>
  <c r="H11" i="9"/>
  <c r="E11" i="9"/>
  <c r="C11" i="9"/>
  <c r="M10" i="9"/>
  <c r="K10" i="9"/>
  <c r="L10" i="9" s="1"/>
  <c r="H10" i="9"/>
  <c r="E10" i="9"/>
  <c r="C10" i="9"/>
  <c r="M9" i="9"/>
  <c r="K9" i="9"/>
  <c r="L9" i="9" s="1"/>
  <c r="H9" i="9"/>
  <c r="E9" i="9"/>
  <c r="C9" i="9"/>
  <c r="M8" i="9"/>
  <c r="K8" i="9"/>
  <c r="L8" i="9" s="1"/>
  <c r="H8" i="9"/>
  <c r="E8" i="9"/>
  <c r="C8" i="9"/>
  <c r="M7" i="9"/>
  <c r="K7" i="9"/>
  <c r="L7" i="9" s="1"/>
  <c r="H7" i="9"/>
  <c r="E7" i="9"/>
  <c r="C7" i="9"/>
  <c r="M6" i="9"/>
  <c r="K6" i="9"/>
  <c r="L6" i="9" s="1"/>
  <c r="H6" i="9"/>
  <c r="E6" i="9"/>
  <c r="C6" i="9"/>
  <c r="M5" i="9"/>
  <c r="K5" i="9"/>
  <c r="L5" i="9" s="1"/>
  <c r="H5" i="9"/>
  <c r="E5" i="9"/>
  <c r="C5" i="9"/>
  <c r="M4" i="9"/>
  <c r="K4" i="9"/>
  <c r="L4" i="9" s="1"/>
  <c r="H4" i="9"/>
  <c r="E4" i="9"/>
  <c r="C4" i="9"/>
  <c r="M3" i="9"/>
  <c r="K3" i="9"/>
  <c r="L3" i="9" s="1"/>
  <c r="H3" i="9"/>
  <c r="E3" i="9"/>
  <c r="C3" i="9"/>
  <c r="M2" i="9"/>
  <c r="K2" i="9"/>
  <c r="L2" i="9" s="1"/>
  <c r="H2" i="9"/>
  <c r="E2" i="9"/>
  <c r="C2" i="9"/>
  <c r="P214" i="8"/>
  <c r="H214" i="8"/>
  <c r="L214" i="8" s="1"/>
  <c r="E214" i="8"/>
  <c r="C214" i="8"/>
  <c r="P208" i="8"/>
  <c r="H208" i="8"/>
  <c r="L208" i="8" s="1"/>
  <c r="E208" i="8"/>
  <c r="C208" i="8"/>
  <c r="P202" i="8"/>
  <c r="H202" i="8"/>
  <c r="L202" i="8" s="1"/>
  <c r="E202" i="8"/>
  <c r="C202" i="8"/>
  <c r="P196" i="8"/>
  <c r="H196" i="8"/>
  <c r="L196" i="8" s="1"/>
  <c r="E196" i="8"/>
  <c r="C196" i="8"/>
  <c r="P190" i="8"/>
  <c r="H190" i="8"/>
  <c r="L190" i="8" s="1"/>
  <c r="E190" i="8"/>
  <c r="C190" i="8"/>
  <c r="P184" i="8"/>
  <c r="H184" i="8"/>
  <c r="L184" i="8" s="1"/>
  <c r="E184" i="8"/>
  <c r="C184" i="8"/>
  <c r="P178" i="8"/>
  <c r="H178" i="8"/>
  <c r="L178" i="8" s="1"/>
  <c r="E178" i="8"/>
  <c r="C178" i="8"/>
  <c r="P172" i="8"/>
  <c r="H172" i="8"/>
  <c r="L172" i="8" s="1"/>
  <c r="E172" i="8"/>
  <c r="C172" i="8"/>
  <c r="P166" i="8"/>
  <c r="H166" i="8"/>
  <c r="L166" i="8" s="1"/>
  <c r="E166" i="8"/>
  <c r="C166" i="8"/>
  <c r="P160" i="8"/>
  <c r="H160" i="8"/>
  <c r="L160" i="8" s="1"/>
  <c r="E160" i="8"/>
  <c r="C160" i="8"/>
  <c r="P154" i="8"/>
  <c r="H154" i="8"/>
  <c r="L154" i="8" s="1"/>
  <c r="E154" i="8"/>
  <c r="C154" i="8"/>
  <c r="P148" i="8"/>
  <c r="H148" i="8"/>
  <c r="L148" i="8" s="1"/>
  <c r="E148" i="8"/>
  <c r="C148" i="8"/>
  <c r="P142" i="8"/>
  <c r="H142" i="8"/>
  <c r="L142" i="8" s="1"/>
  <c r="E142" i="8"/>
  <c r="C142" i="8"/>
  <c r="P136" i="8"/>
  <c r="H136" i="8"/>
  <c r="L136" i="8" s="1"/>
  <c r="E136" i="8"/>
  <c r="C136" i="8"/>
  <c r="P130" i="8"/>
  <c r="H130" i="8"/>
  <c r="L130" i="8" s="1"/>
  <c r="E130" i="8"/>
  <c r="C130" i="8"/>
  <c r="P124" i="8"/>
  <c r="H124" i="8"/>
  <c r="L124" i="8" s="1"/>
  <c r="E124" i="8"/>
  <c r="C124" i="8"/>
  <c r="P118" i="8"/>
  <c r="H118" i="8"/>
  <c r="L118" i="8" s="1"/>
  <c r="E118" i="8"/>
  <c r="C118" i="8"/>
  <c r="P112" i="8"/>
  <c r="H112" i="8"/>
  <c r="L112" i="8" s="1"/>
  <c r="E112" i="8"/>
  <c r="C112" i="8"/>
  <c r="P106" i="8"/>
  <c r="H106" i="8"/>
  <c r="L106" i="8" s="1"/>
  <c r="E106" i="8"/>
  <c r="C106" i="8"/>
  <c r="P100" i="8"/>
  <c r="H100" i="8"/>
  <c r="L100" i="8" s="1"/>
  <c r="E100" i="8"/>
  <c r="C100" i="8"/>
  <c r="P94" i="8"/>
  <c r="H94" i="8"/>
  <c r="L94" i="8" s="1"/>
  <c r="E94" i="8"/>
  <c r="C94" i="8"/>
  <c r="P88" i="8"/>
  <c r="H88" i="8"/>
  <c r="L88" i="8" s="1"/>
  <c r="E88" i="8"/>
  <c r="C88" i="8"/>
  <c r="P82" i="8"/>
  <c r="H82" i="8"/>
  <c r="L82" i="8" s="1"/>
  <c r="E82" i="8"/>
  <c r="C82" i="8"/>
  <c r="P76" i="8"/>
  <c r="H76" i="8"/>
  <c r="L76" i="8" s="1"/>
  <c r="E76" i="8"/>
  <c r="C76" i="8"/>
  <c r="P70" i="8"/>
  <c r="H70" i="8"/>
  <c r="L70" i="8" s="1"/>
  <c r="E70" i="8"/>
  <c r="C70" i="8"/>
  <c r="P64" i="8"/>
  <c r="H64" i="8"/>
  <c r="L64" i="8" s="1"/>
  <c r="E64" i="8"/>
  <c r="C64" i="8"/>
  <c r="P58" i="8"/>
  <c r="H58" i="8"/>
  <c r="L58" i="8" s="1"/>
  <c r="E58" i="8"/>
  <c r="C58" i="8"/>
  <c r="P52" i="8"/>
  <c r="H52" i="8"/>
  <c r="L52" i="8" s="1"/>
  <c r="E52" i="8"/>
  <c r="C52" i="8"/>
  <c r="P46" i="8"/>
  <c r="H46" i="8"/>
  <c r="L46" i="8" s="1"/>
  <c r="E46" i="8"/>
  <c r="C46" i="8"/>
  <c r="P40" i="8"/>
  <c r="H40" i="8"/>
  <c r="L40" i="8" s="1"/>
  <c r="E40" i="8"/>
  <c r="C40" i="8"/>
  <c r="P34" i="8"/>
  <c r="H34" i="8"/>
  <c r="L34" i="8" s="1"/>
  <c r="E34" i="8"/>
  <c r="C34" i="8"/>
  <c r="P28" i="8"/>
  <c r="H28" i="8"/>
  <c r="L28" i="8" s="1"/>
  <c r="E28" i="8"/>
  <c r="C28" i="8"/>
  <c r="P22" i="8"/>
  <c r="H22" i="8"/>
  <c r="L22" i="8" s="1"/>
  <c r="E22" i="8"/>
  <c r="C22" i="8"/>
  <c r="P16" i="8"/>
  <c r="H16" i="8"/>
  <c r="L16" i="8" s="1"/>
  <c r="E16" i="8"/>
  <c r="C16" i="8"/>
  <c r="P10" i="8"/>
  <c r="H10" i="8"/>
  <c r="L10" i="8" s="1"/>
  <c r="E10" i="8"/>
  <c r="C10" i="8"/>
  <c r="P4" i="8"/>
  <c r="H4" i="8"/>
  <c r="L4" i="8" s="1"/>
  <c r="E4" i="8"/>
  <c r="C4" i="8"/>
  <c r="P215" i="8"/>
  <c r="H215" i="8"/>
  <c r="L215" i="8" s="1"/>
  <c r="E215" i="8"/>
  <c r="C215" i="8"/>
  <c r="P209" i="8"/>
  <c r="H209" i="8"/>
  <c r="L209" i="8" s="1"/>
  <c r="E209" i="8"/>
  <c r="C209" i="8"/>
  <c r="P203" i="8"/>
  <c r="H203" i="8"/>
  <c r="L203" i="8" s="1"/>
  <c r="E203" i="8"/>
  <c r="C203" i="8"/>
  <c r="P197" i="8"/>
  <c r="H197" i="8"/>
  <c r="L197" i="8" s="1"/>
  <c r="E197" i="8"/>
  <c r="C197" i="8"/>
  <c r="P191" i="8"/>
  <c r="H191" i="8"/>
  <c r="L191" i="8" s="1"/>
  <c r="E191" i="8"/>
  <c r="C191" i="8"/>
  <c r="P185" i="8"/>
  <c r="H185" i="8"/>
  <c r="L185" i="8" s="1"/>
  <c r="E185" i="8"/>
  <c r="C185" i="8"/>
  <c r="P179" i="8"/>
  <c r="H179" i="8"/>
  <c r="L179" i="8" s="1"/>
  <c r="E179" i="8"/>
  <c r="C179" i="8"/>
  <c r="P173" i="8"/>
  <c r="H173" i="8"/>
  <c r="L173" i="8" s="1"/>
  <c r="E173" i="8"/>
  <c r="C173" i="8"/>
  <c r="P167" i="8"/>
  <c r="H167" i="8"/>
  <c r="L167" i="8" s="1"/>
  <c r="E167" i="8"/>
  <c r="C167" i="8"/>
  <c r="P161" i="8"/>
  <c r="H161" i="8"/>
  <c r="L161" i="8" s="1"/>
  <c r="E161" i="8"/>
  <c r="C161" i="8"/>
  <c r="P155" i="8"/>
  <c r="H155" i="8"/>
  <c r="L155" i="8" s="1"/>
  <c r="E155" i="8"/>
  <c r="C155" i="8"/>
  <c r="P149" i="8"/>
  <c r="H149" i="8"/>
  <c r="L149" i="8" s="1"/>
  <c r="E149" i="8"/>
  <c r="C149" i="8"/>
  <c r="P143" i="8"/>
  <c r="H143" i="8"/>
  <c r="L143" i="8" s="1"/>
  <c r="E143" i="8"/>
  <c r="C143" i="8"/>
  <c r="P137" i="8"/>
  <c r="H137" i="8"/>
  <c r="L137" i="8" s="1"/>
  <c r="E137" i="8"/>
  <c r="C137" i="8"/>
  <c r="P131" i="8"/>
  <c r="H131" i="8"/>
  <c r="L131" i="8" s="1"/>
  <c r="E131" i="8"/>
  <c r="C131" i="8"/>
  <c r="P125" i="8"/>
  <c r="H125" i="8"/>
  <c r="L125" i="8" s="1"/>
  <c r="E125" i="8"/>
  <c r="C125" i="8"/>
  <c r="P119" i="8"/>
  <c r="H119" i="8"/>
  <c r="L119" i="8" s="1"/>
  <c r="E119" i="8"/>
  <c r="C119" i="8"/>
  <c r="P113" i="8"/>
  <c r="H113" i="8"/>
  <c r="L113" i="8" s="1"/>
  <c r="E113" i="8"/>
  <c r="C113" i="8"/>
  <c r="P107" i="8"/>
  <c r="H107" i="8"/>
  <c r="L107" i="8" s="1"/>
  <c r="E107" i="8"/>
  <c r="C107" i="8"/>
  <c r="P101" i="8"/>
  <c r="H101" i="8"/>
  <c r="L101" i="8" s="1"/>
  <c r="E101" i="8"/>
  <c r="C101" i="8"/>
  <c r="P95" i="8"/>
  <c r="H95" i="8"/>
  <c r="L95" i="8" s="1"/>
  <c r="E95" i="8"/>
  <c r="C95" i="8"/>
  <c r="P89" i="8"/>
  <c r="H89" i="8"/>
  <c r="L89" i="8" s="1"/>
  <c r="E89" i="8"/>
  <c r="C89" i="8"/>
  <c r="P83" i="8"/>
  <c r="H83" i="8"/>
  <c r="L83" i="8" s="1"/>
  <c r="E83" i="8"/>
  <c r="C83" i="8"/>
  <c r="P77" i="8"/>
  <c r="H77" i="8"/>
  <c r="L77" i="8" s="1"/>
  <c r="E77" i="8"/>
  <c r="C77" i="8"/>
  <c r="P71" i="8"/>
  <c r="H71" i="8"/>
  <c r="L71" i="8" s="1"/>
  <c r="E71" i="8"/>
  <c r="C71" i="8"/>
  <c r="P65" i="8"/>
  <c r="H65" i="8"/>
  <c r="L65" i="8" s="1"/>
  <c r="E65" i="8"/>
  <c r="C65" i="8"/>
  <c r="P59" i="8"/>
  <c r="H59" i="8"/>
  <c r="L59" i="8" s="1"/>
  <c r="E59" i="8"/>
  <c r="C59" i="8"/>
  <c r="P53" i="8"/>
  <c r="H53" i="8"/>
  <c r="L53" i="8" s="1"/>
  <c r="E53" i="8"/>
  <c r="C53" i="8"/>
  <c r="P47" i="8"/>
  <c r="H47" i="8"/>
  <c r="L47" i="8" s="1"/>
  <c r="E47" i="8"/>
  <c r="C47" i="8"/>
  <c r="P41" i="8"/>
  <c r="H41" i="8"/>
  <c r="L41" i="8" s="1"/>
  <c r="E41" i="8"/>
  <c r="C41" i="8"/>
  <c r="P35" i="8"/>
  <c r="H35" i="8"/>
  <c r="L35" i="8" s="1"/>
  <c r="E35" i="8"/>
  <c r="C35" i="8"/>
  <c r="P29" i="8"/>
  <c r="H29" i="8"/>
  <c r="L29" i="8" s="1"/>
  <c r="E29" i="8"/>
  <c r="C29" i="8"/>
  <c r="P23" i="8"/>
  <c r="H23" i="8"/>
  <c r="L23" i="8" s="1"/>
  <c r="E23" i="8"/>
  <c r="C23" i="8"/>
  <c r="P17" i="8"/>
  <c r="H17" i="8"/>
  <c r="L17" i="8" s="1"/>
  <c r="E17" i="8"/>
  <c r="C17" i="8"/>
  <c r="P11" i="8"/>
  <c r="H11" i="8"/>
  <c r="L11" i="8" s="1"/>
  <c r="E11" i="8"/>
  <c r="C11" i="8"/>
  <c r="P5" i="8"/>
  <c r="H5" i="8"/>
  <c r="L5" i="8" s="1"/>
  <c r="E5" i="8"/>
  <c r="C5" i="8"/>
  <c r="P212" i="8"/>
  <c r="H212" i="8"/>
  <c r="L212" i="8" s="1"/>
  <c r="E212" i="8"/>
  <c r="C212" i="8"/>
  <c r="P206" i="8"/>
  <c r="H206" i="8"/>
  <c r="L206" i="8" s="1"/>
  <c r="E206" i="8"/>
  <c r="C206" i="8"/>
  <c r="P200" i="8"/>
  <c r="H200" i="8"/>
  <c r="L200" i="8" s="1"/>
  <c r="E200" i="8"/>
  <c r="C200" i="8"/>
  <c r="P194" i="8"/>
  <c r="H194" i="8"/>
  <c r="L194" i="8" s="1"/>
  <c r="E194" i="8"/>
  <c r="C194" i="8"/>
  <c r="P188" i="8"/>
  <c r="H188" i="8"/>
  <c r="L188" i="8" s="1"/>
  <c r="E188" i="8"/>
  <c r="C188" i="8"/>
  <c r="P182" i="8"/>
  <c r="H182" i="8"/>
  <c r="L182" i="8" s="1"/>
  <c r="E182" i="8"/>
  <c r="C182" i="8"/>
  <c r="P176" i="8"/>
  <c r="H176" i="8"/>
  <c r="L176" i="8" s="1"/>
  <c r="E176" i="8"/>
  <c r="C176" i="8"/>
  <c r="P170" i="8"/>
  <c r="H170" i="8"/>
  <c r="L170" i="8" s="1"/>
  <c r="E170" i="8"/>
  <c r="C170" i="8"/>
  <c r="P164" i="8"/>
  <c r="H164" i="8"/>
  <c r="L164" i="8" s="1"/>
  <c r="E164" i="8"/>
  <c r="C164" i="8"/>
  <c r="P158" i="8"/>
  <c r="H158" i="8"/>
  <c r="L158" i="8" s="1"/>
  <c r="E158" i="8"/>
  <c r="C158" i="8"/>
  <c r="P152" i="8"/>
  <c r="H152" i="8"/>
  <c r="L152" i="8" s="1"/>
  <c r="E152" i="8"/>
  <c r="C152" i="8"/>
  <c r="P146" i="8"/>
  <c r="H146" i="8"/>
  <c r="L146" i="8" s="1"/>
  <c r="E146" i="8"/>
  <c r="C146" i="8"/>
  <c r="P140" i="8"/>
  <c r="H140" i="8"/>
  <c r="L140" i="8" s="1"/>
  <c r="E140" i="8"/>
  <c r="C140" i="8"/>
  <c r="P134" i="8"/>
  <c r="H134" i="8"/>
  <c r="L134" i="8" s="1"/>
  <c r="E134" i="8"/>
  <c r="C134" i="8"/>
  <c r="P128" i="8"/>
  <c r="H128" i="8"/>
  <c r="L128" i="8" s="1"/>
  <c r="E128" i="8"/>
  <c r="C128" i="8"/>
  <c r="P122" i="8"/>
  <c r="H122" i="8"/>
  <c r="L122" i="8" s="1"/>
  <c r="E122" i="8"/>
  <c r="C122" i="8"/>
  <c r="P116" i="8"/>
  <c r="H116" i="8"/>
  <c r="L116" i="8" s="1"/>
  <c r="E116" i="8"/>
  <c r="C116" i="8"/>
  <c r="P110" i="8"/>
  <c r="H110" i="8"/>
  <c r="L110" i="8" s="1"/>
  <c r="E110" i="8"/>
  <c r="C110" i="8"/>
  <c r="P104" i="8"/>
  <c r="H104" i="8"/>
  <c r="L104" i="8" s="1"/>
  <c r="E104" i="8"/>
  <c r="C104" i="8"/>
  <c r="P98" i="8"/>
  <c r="H98" i="8"/>
  <c r="L98" i="8" s="1"/>
  <c r="E98" i="8"/>
  <c r="C98" i="8"/>
  <c r="P92" i="8"/>
  <c r="H92" i="8"/>
  <c r="L92" i="8" s="1"/>
  <c r="E92" i="8"/>
  <c r="C92" i="8"/>
  <c r="P86" i="8"/>
  <c r="H86" i="8"/>
  <c r="L86" i="8" s="1"/>
  <c r="E86" i="8"/>
  <c r="C86" i="8"/>
  <c r="P80" i="8"/>
  <c r="H80" i="8"/>
  <c r="L80" i="8" s="1"/>
  <c r="E80" i="8"/>
  <c r="C80" i="8"/>
  <c r="P74" i="8"/>
  <c r="H74" i="8"/>
  <c r="L74" i="8" s="1"/>
  <c r="E74" i="8"/>
  <c r="C74" i="8"/>
  <c r="P68" i="8"/>
  <c r="H68" i="8"/>
  <c r="L68" i="8" s="1"/>
  <c r="E68" i="8"/>
  <c r="C68" i="8"/>
  <c r="P62" i="8"/>
  <c r="H62" i="8"/>
  <c r="L62" i="8" s="1"/>
  <c r="E62" i="8"/>
  <c r="C62" i="8"/>
  <c r="P56" i="8"/>
  <c r="H56" i="8"/>
  <c r="L56" i="8" s="1"/>
  <c r="E56" i="8"/>
  <c r="C56" i="8"/>
  <c r="P50" i="8"/>
  <c r="H50" i="8"/>
  <c r="L50" i="8" s="1"/>
  <c r="E50" i="8"/>
  <c r="C50" i="8"/>
  <c r="P44" i="8"/>
  <c r="H44" i="8"/>
  <c r="L44" i="8" s="1"/>
  <c r="E44" i="8"/>
  <c r="C44" i="8"/>
  <c r="P38" i="8"/>
  <c r="H38" i="8"/>
  <c r="L38" i="8" s="1"/>
  <c r="E38" i="8"/>
  <c r="C38" i="8"/>
  <c r="P32" i="8"/>
  <c r="H32" i="8"/>
  <c r="L32" i="8" s="1"/>
  <c r="E32" i="8"/>
  <c r="C32" i="8"/>
  <c r="P26" i="8"/>
  <c r="H26" i="8"/>
  <c r="L26" i="8" s="1"/>
  <c r="E26" i="8"/>
  <c r="C26" i="8"/>
  <c r="P20" i="8"/>
  <c r="H20" i="8"/>
  <c r="L20" i="8" s="1"/>
  <c r="E20" i="8"/>
  <c r="C20" i="8"/>
  <c r="P14" i="8"/>
  <c r="H14" i="8"/>
  <c r="L14" i="8" s="1"/>
  <c r="E14" i="8"/>
  <c r="C14" i="8"/>
  <c r="P8" i="8"/>
  <c r="H8" i="8"/>
  <c r="L8" i="8" s="1"/>
  <c r="E8" i="8"/>
  <c r="C8" i="8"/>
  <c r="P2" i="8"/>
  <c r="H2" i="8"/>
  <c r="L2" i="8" s="1"/>
  <c r="E2" i="8"/>
  <c r="C2" i="8"/>
  <c r="P213" i="8"/>
  <c r="H213" i="8"/>
  <c r="L213" i="8" s="1"/>
  <c r="E213" i="8"/>
  <c r="C213" i="8"/>
  <c r="P207" i="8"/>
  <c r="H207" i="8"/>
  <c r="L207" i="8" s="1"/>
  <c r="E207" i="8"/>
  <c r="C207" i="8"/>
  <c r="P201" i="8"/>
  <c r="H201" i="8"/>
  <c r="L201" i="8" s="1"/>
  <c r="E201" i="8"/>
  <c r="C201" i="8"/>
  <c r="P195" i="8"/>
  <c r="H195" i="8"/>
  <c r="L195" i="8" s="1"/>
  <c r="E195" i="8"/>
  <c r="C195" i="8"/>
  <c r="P189" i="8"/>
  <c r="H189" i="8"/>
  <c r="L189" i="8" s="1"/>
  <c r="E189" i="8"/>
  <c r="C189" i="8"/>
  <c r="P183" i="8"/>
  <c r="H183" i="8"/>
  <c r="L183" i="8" s="1"/>
  <c r="E183" i="8"/>
  <c r="C183" i="8"/>
  <c r="P177" i="8"/>
  <c r="H177" i="8"/>
  <c r="L177" i="8" s="1"/>
  <c r="E177" i="8"/>
  <c r="C177" i="8"/>
  <c r="P171" i="8"/>
  <c r="H171" i="8"/>
  <c r="L171" i="8" s="1"/>
  <c r="E171" i="8"/>
  <c r="C171" i="8"/>
  <c r="P165" i="8"/>
  <c r="H165" i="8"/>
  <c r="L165" i="8" s="1"/>
  <c r="E165" i="8"/>
  <c r="C165" i="8"/>
  <c r="P159" i="8"/>
  <c r="H159" i="8"/>
  <c r="L159" i="8" s="1"/>
  <c r="E159" i="8"/>
  <c r="C159" i="8"/>
  <c r="P153" i="8"/>
  <c r="H153" i="8"/>
  <c r="L153" i="8" s="1"/>
  <c r="E153" i="8"/>
  <c r="C153" i="8"/>
  <c r="P147" i="8"/>
  <c r="H147" i="8"/>
  <c r="L147" i="8" s="1"/>
  <c r="E147" i="8"/>
  <c r="C147" i="8"/>
  <c r="P141" i="8"/>
  <c r="H141" i="8"/>
  <c r="L141" i="8" s="1"/>
  <c r="E141" i="8"/>
  <c r="C141" i="8"/>
  <c r="P135" i="8"/>
  <c r="H135" i="8"/>
  <c r="L135" i="8" s="1"/>
  <c r="E135" i="8"/>
  <c r="C135" i="8"/>
  <c r="P129" i="8"/>
  <c r="H129" i="8"/>
  <c r="L129" i="8" s="1"/>
  <c r="E129" i="8"/>
  <c r="C129" i="8"/>
  <c r="P123" i="8"/>
  <c r="H123" i="8"/>
  <c r="L123" i="8" s="1"/>
  <c r="E123" i="8"/>
  <c r="C123" i="8"/>
  <c r="P117" i="8"/>
  <c r="H117" i="8"/>
  <c r="L117" i="8" s="1"/>
  <c r="E117" i="8"/>
  <c r="C117" i="8"/>
  <c r="P111" i="8"/>
  <c r="H111" i="8"/>
  <c r="L111" i="8" s="1"/>
  <c r="E111" i="8"/>
  <c r="C111" i="8"/>
  <c r="P105" i="8"/>
  <c r="H105" i="8"/>
  <c r="L105" i="8" s="1"/>
  <c r="E105" i="8"/>
  <c r="C105" i="8"/>
  <c r="P99" i="8"/>
  <c r="H99" i="8"/>
  <c r="L99" i="8" s="1"/>
  <c r="E99" i="8"/>
  <c r="C99" i="8"/>
  <c r="P93" i="8"/>
  <c r="H93" i="8"/>
  <c r="L93" i="8" s="1"/>
  <c r="E93" i="8"/>
  <c r="C93" i="8"/>
  <c r="P87" i="8"/>
  <c r="H87" i="8"/>
  <c r="L87" i="8" s="1"/>
  <c r="E87" i="8"/>
  <c r="C87" i="8"/>
  <c r="P81" i="8"/>
  <c r="H81" i="8"/>
  <c r="L81" i="8" s="1"/>
  <c r="E81" i="8"/>
  <c r="C81" i="8"/>
  <c r="P75" i="8"/>
  <c r="H75" i="8"/>
  <c r="L75" i="8" s="1"/>
  <c r="E75" i="8"/>
  <c r="C75" i="8"/>
  <c r="P69" i="8"/>
  <c r="H69" i="8"/>
  <c r="L69" i="8" s="1"/>
  <c r="E69" i="8"/>
  <c r="C69" i="8"/>
  <c r="P63" i="8"/>
  <c r="H63" i="8"/>
  <c r="L63" i="8" s="1"/>
  <c r="E63" i="8"/>
  <c r="C63" i="8"/>
  <c r="P57" i="8"/>
  <c r="H57" i="8"/>
  <c r="L57" i="8" s="1"/>
  <c r="E57" i="8"/>
  <c r="C57" i="8"/>
  <c r="P51" i="8"/>
  <c r="H51" i="8"/>
  <c r="L51" i="8" s="1"/>
  <c r="E51" i="8"/>
  <c r="C51" i="8"/>
  <c r="P45" i="8"/>
  <c r="H45" i="8"/>
  <c r="L45" i="8" s="1"/>
  <c r="E45" i="8"/>
  <c r="C45" i="8"/>
  <c r="P39" i="8"/>
  <c r="H39" i="8"/>
  <c r="L39" i="8" s="1"/>
  <c r="E39" i="8"/>
  <c r="C39" i="8"/>
  <c r="P33" i="8"/>
  <c r="H33" i="8"/>
  <c r="L33" i="8" s="1"/>
  <c r="E33" i="8"/>
  <c r="C33" i="8"/>
  <c r="P27" i="8"/>
  <c r="H27" i="8"/>
  <c r="L27" i="8" s="1"/>
  <c r="E27" i="8"/>
  <c r="C27" i="8"/>
  <c r="P21" i="8"/>
  <c r="H21" i="8"/>
  <c r="L21" i="8" s="1"/>
  <c r="E21" i="8"/>
  <c r="C21" i="8"/>
  <c r="P15" i="8"/>
  <c r="H15" i="8"/>
  <c r="L15" i="8" s="1"/>
  <c r="E15" i="8"/>
  <c r="C15" i="8"/>
  <c r="P9" i="8"/>
  <c r="H9" i="8"/>
  <c r="L9" i="8" s="1"/>
  <c r="E9" i="8"/>
  <c r="C9" i="8"/>
  <c r="P3" i="8"/>
  <c r="H3" i="8"/>
  <c r="L3" i="8" s="1"/>
  <c r="E3" i="8"/>
  <c r="C3" i="8"/>
  <c r="P216" i="8"/>
  <c r="H216" i="8"/>
  <c r="L216" i="8" s="1"/>
  <c r="E216" i="8"/>
  <c r="C216" i="8"/>
  <c r="P210" i="8"/>
  <c r="H210" i="8"/>
  <c r="L210" i="8" s="1"/>
  <c r="E210" i="8"/>
  <c r="C210" i="8"/>
  <c r="P204" i="8"/>
  <c r="H204" i="8"/>
  <c r="L204" i="8" s="1"/>
  <c r="E204" i="8"/>
  <c r="C204" i="8"/>
  <c r="P198" i="8"/>
  <c r="H198" i="8"/>
  <c r="L198" i="8" s="1"/>
  <c r="E198" i="8"/>
  <c r="C198" i="8"/>
  <c r="P192" i="8"/>
  <c r="H192" i="8"/>
  <c r="L192" i="8" s="1"/>
  <c r="E192" i="8"/>
  <c r="C192" i="8"/>
  <c r="P186" i="8"/>
  <c r="H186" i="8"/>
  <c r="L186" i="8" s="1"/>
  <c r="E186" i="8"/>
  <c r="C186" i="8"/>
  <c r="P180" i="8"/>
  <c r="H180" i="8"/>
  <c r="L180" i="8" s="1"/>
  <c r="E180" i="8"/>
  <c r="C180" i="8"/>
  <c r="P174" i="8"/>
  <c r="H174" i="8"/>
  <c r="L174" i="8" s="1"/>
  <c r="E174" i="8"/>
  <c r="C174" i="8"/>
  <c r="P168" i="8"/>
  <c r="H168" i="8"/>
  <c r="L168" i="8" s="1"/>
  <c r="E168" i="8"/>
  <c r="C168" i="8"/>
  <c r="P162" i="8"/>
  <c r="H162" i="8"/>
  <c r="L162" i="8" s="1"/>
  <c r="E162" i="8"/>
  <c r="C162" i="8"/>
  <c r="P156" i="8"/>
  <c r="H156" i="8"/>
  <c r="L156" i="8" s="1"/>
  <c r="E156" i="8"/>
  <c r="C156" i="8"/>
  <c r="P150" i="8"/>
  <c r="H150" i="8"/>
  <c r="L150" i="8" s="1"/>
  <c r="E150" i="8"/>
  <c r="C150" i="8"/>
  <c r="P144" i="8"/>
  <c r="H144" i="8"/>
  <c r="L144" i="8" s="1"/>
  <c r="E144" i="8"/>
  <c r="C144" i="8"/>
  <c r="P138" i="8"/>
  <c r="H138" i="8"/>
  <c r="L138" i="8" s="1"/>
  <c r="E138" i="8"/>
  <c r="C138" i="8"/>
  <c r="P132" i="8"/>
  <c r="H132" i="8"/>
  <c r="L132" i="8" s="1"/>
  <c r="E132" i="8"/>
  <c r="C132" i="8"/>
  <c r="P126" i="8"/>
  <c r="H126" i="8"/>
  <c r="L126" i="8" s="1"/>
  <c r="E126" i="8"/>
  <c r="C126" i="8"/>
  <c r="P120" i="8"/>
  <c r="H120" i="8"/>
  <c r="L120" i="8" s="1"/>
  <c r="E120" i="8"/>
  <c r="C120" i="8"/>
  <c r="P114" i="8"/>
  <c r="H114" i="8"/>
  <c r="L114" i="8" s="1"/>
  <c r="E114" i="8"/>
  <c r="C114" i="8"/>
  <c r="P108" i="8"/>
  <c r="H108" i="8"/>
  <c r="L108" i="8" s="1"/>
  <c r="E108" i="8"/>
  <c r="C108" i="8"/>
  <c r="P102" i="8"/>
  <c r="H102" i="8"/>
  <c r="L102" i="8" s="1"/>
  <c r="E102" i="8"/>
  <c r="C102" i="8"/>
  <c r="P96" i="8"/>
  <c r="H96" i="8"/>
  <c r="L96" i="8" s="1"/>
  <c r="E96" i="8"/>
  <c r="C96" i="8"/>
  <c r="P90" i="8"/>
  <c r="H90" i="8"/>
  <c r="L90" i="8" s="1"/>
  <c r="E90" i="8"/>
  <c r="C90" i="8"/>
  <c r="P84" i="8"/>
  <c r="H84" i="8"/>
  <c r="L84" i="8" s="1"/>
  <c r="E84" i="8"/>
  <c r="C84" i="8"/>
  <c r="P78" i="8"/>
  <c r="H78" i="8"/>
  <c r="L78" i="8" s="1"/>
  <c r="E78" i="8"/>
  <c r="C78" i="8"/>
  <c r="P72" i="8"/>
  <c r="H72" i="8"/>
  <c r="L72" i="8" s="1"/>
  <c r="E72" i="8"/>
  <c r="C72" i="8"/>
  <c r="P66" i="8"/>
  <c r="H66" i="8"/>
  <c r="L66" i="8" s="1"/>
  <c r="E66" i="8"/>
  <c r="C66" i="8"/>
  <c r="P60" i="8"/>
  <c r="H60" i="8"/>
  <c r="L60" i="8" s="1"/>
  <c r="E60" i="8"/>
  <c r="C60" i="8"/>
  <c r="P54" i="8"/>
  <c r="H54" i="8"/>
  <c r="L54" i="8" s="1"/>
  <c r="E54" i="8"/>
  <c r="C54" i="8"/>
  <c r="P48" i="8"/>
  <c r="H48" i="8"/>
  <c r="L48" i="8" s="1"/>
  <c r="E48" i="8"/>
  <c r="C48" i="8"/>
  <c r="P42" i="8"/>
  <c r="H42" i="8"/>
  <c r="L42" i="8" s="1"/>
  <c r="E42" i="8"/>
  <c r="C42" i="8"/>
  <c r="P36" i="8"/>
  <c r="H36" i="8"/>
  <c r="L36" i="8" s="1"/>
  <c r="E36" i="8"/>
  <c r="C36" i="8"/>
  <c r="P30" i="8"/>
  <c r="H30" i="8"/>
  <c r="L30" i="8" s="1"/>
  <c r="E30" i="8"/>
  <c r="C30" i="8"/>
  <c r="P24" i="8"/>
  <c r="H24" i="8"/>
  <c r="L24" i="8" s="1"/>
  <c r="E24" i="8"/>
  <c r="C24" i="8"/>
  <c r="P18" i="8"/>
  <c r="H18" i="8"/>
  <c r="L18" i="8" s="1"/>
  <c r="E18" i="8"/>
  <c r="C18" i="8"/>
  <c r="P12" i="8"/>
  <c r="H12" i="8"/>
  <c r="L12" i="8" s="1"/>
  <c r="E12" i="8"/>
  <c r="C12" i="8"/>
  <c r="P6" i="8"/>
  <c r="H6" i="8"/>
  <c r="L6" i="8" s="1"/>
  <c r="E6" i="8"/>
  <c r="C6" i="8"/>
  <c r="P217" i="8"/>
  <c r="H217" i="8"/>
  <c r="L217" i="8" s="1"/>
  <c r="E217" i="8"/>
  <c r="C217" i="8"/>
  <c r="P211" i="8"/>
  <c r="H211" i="8"/>
  <c r="L211" i="8" s="1"/>
  <c r="E211" i="8"/>
  <c r="C211" i="8"/>
  <c r="P205" i="8"/>
  <c r="H205" i="8"/>
  <c r="L205" i="8" s="1"/>
  <c r="E205" i="8"/>
  <c r="C205" i="8"/>
  <c r="P199" i="8"/>
  <c r="H199" i="8"/>
  <c r="L199" i="8" s="1"/>
  <c r="E199" i="8"/>
  <c r="C199" i="8"/>
  <c r="P193" i="8"/>
  <c r="H193" i="8"/>
  <c r="L193" i="8" s="1"/>
  <c r="E193" i="8"/>
  <c r="C193" i="8"/>
  <c r="P187" i="8"/>
  <c r="H187" i="8"/>
  <c r="L187" i="8" s="1"/>
  <c r="E187" i="8"/>
  <c r="C187" i="8"/>
  <c r="P181" i="8"/>
  <c r="H181" i="8"/>
  <c r="L181" i="8" s="1"/>
  <c r="E181" i="8"/>
  <c r="C181" i="8"/>
  <c r="P175" i="8"/>
  <c r="H175" i="8"/>
  <c r="L175" i="8" s="1"/>
  <c r="E175" i="8"/>
  <c r="C175" i="8"/>
  <c r="P169" i="8"/>
  <c r="H169" i="8"/>
  <c r="L169" i="8" s="1"/>
  <c r="E169" i="8"/>
  <c r="C169" i="8"/>
  <c r="P163" i="8"/>
  <c r="H163" i="8"/>
  <c r="L163" i="8" s="1"/>
  <c r="E163" i="8"/>
  <c r="C163" i="8"/>
  <c r="P157" i="8"/>
  <c r="H157" i="8"/>
  <c r="L157" i="8" s="1"/>
  <c r="E157" i="8"/>
  <c r="C157" i="8"/>
  <c r="P151" i="8"/>
  <c r="H151" i="8"/>
  <c r="L151" i="8" s="1"/>
  <c r="E151" i="8"/>
  <c r="C151" i="8"/>
  <c r="P145" i="8"/>
  <c r="H145" i="8"/>
  <c r="L145" i="8" s="1"/>
  <c r="E145" i="8"/>
  <c r="C145" i="8"/>
  <c r="P139" i="8"/>
  <c r="H139" i="8"/>
  <c r="L139" i="8" s="1"/>
  <c r="E139" i="8"/>
  <c r="C139" i="8"/>
  <c r="P133" i="8"/>
  <c r="H133" i="8"/>
  <c r="L133" i="8" s="1"/>
  <c r="E133" i="8"/>
  <c r="C133" i="8"/>
  <c r="P127" i="8"/>
  <c r="H127" i="8"/>
  <c r="L127" i="8" s="1"/>
  <c r="E127" i="8"/>
  <c r="C127" i="8"/>
  <c r="P121" i="8"/>
  <c r="H121" i="8"/>
  <c r="L121" i="8" s="1"/>
  <c r="E121" i="8"/>
  <c r="C121" i="8"/>
  <c r="P115" i="8"/>
  <c r="H115" i="8"/>
  <c r="L115" i="8" s="1"/>
  <c r="E115" i="8"/>
  <c r="C115" i="8"/>
  <c r="P109" i="8"/>
  <c r="H109" i="8"/>
  <c r="L109" i="8" s="1"/>
  <c r="E109" i="8"/>
  <c r="C109" i="8"/>
  <c r="P103" i="8"/>
  <c r="H103" i="8"/>
  <c r="L103" i="8" s="1"/>
  <c r="E103" i="8"/>
  <c r="C103" i="8"/>
  <c r="P97" i="8"/>
  <c r="H97" i="8"/>
  <c r="L97" i="8" s="1"/>
  <c r="E97" i="8"/>
  <c r="C97" i="8"/>
  <c r="P91" i="8"/>
  <c r="H91" i="8"/>
  <c r="L91" i="8" s="1"/>
  <c r="E91" i="8"/>
  <c r="C91" i="8"/>
  <c r="P85" i="8"/>
  <c r="H85" i="8"/>
  <c r="L85" i="8" s="1"/>
  <c r="E85" i="8"/>
  <c r="C85" i="8"/>
  <c r="P79" i="8"/>
  <c r="H79" i="8"/>
  <c r="L79" i="8" s="1"/>
  <c r="E79" i="8"/>
  <c r="C79" i="8"/>
  <c r="P73" i="8"/>
  <c r="H73" i="8"/>
  <c r="L73" i="8" s="1"/>
  <c r="E73" i="8"/>
  <c r="C73" i="8"/>
  <c r="P67" i="8"/>
  <c r="H67" i="8"/>
  <c r="L67" i="8" s="1"/>
  <c r="E67" i="8"/>
  <c r="C67" i="8"/>
  <c r="P61" i="8"/>
  <c r="H61" i="8"/>
  <c r="L61" i="8" s="1"/>
  <c r="E61" i="8"/>
  <c r="C61" i="8"/>
  <c r="P55" i="8"/>
  <c r="H55" i="8"/>
  <c r="L55" i="8" s="1"/>
  <c r="E55" i="8"/>
  <c r="C55" i="8"/>
  <c r="P49" i="8"/>
  <c r="H49" i="8"/>
  <c r="L49" i="8" s="1"/>
  <c r="E49" i="8"/>
  <c r="C49" i="8"/>
  <c r="P43" i="8"/>
  <c r="H43" i="8"/>
  <c r="L43" i="8" s="1"/>
  <c r="E43" i="8"/>
  <c r="C43" i="8"/>
  <c r="P37" i="8"/>
  <c r="H37" i="8"/>
  <c r="L37" i="8" s="1"/>
  <c r="E37" i="8"/>
  <c r="C37" i="8"/>
  <c r="P31" i="8"/>
  <c r="H31" i="8"/>
  <c r="L31" i="8" s="1"/>
  <c r="E31" i="8"/>
  <c r="C31" i="8"/>
  <c r="P25" i="8"/>
  <c r="H25" i="8"/>
  <c r="L25" i="8" s="1"/>
  <c r="E25" i="8"/>
  <c r="C25" i="8"/>
  <c r="P19" i="8"/>
  <c r="H19" i="8"/>
  <c r="L19" i="8" s="1"/>
  <c r="E19" i="8"/>
  <c r="C19" i="8"/>
  <c r="P13" i="8"/>
  <c r="H13" i="8"/>
  <c r="L13" i="8" s="1"/>
  <c r="E13" i="8"/>
  <c r="C13" i="8"/>
  <c r="P7" i="8"/>
  <c r="H7" i="8"/>
  <c r="L7" i="8" s="1"/>
  <c r="E7" i="8"/>
  <c r="C7" i="8"/>
  <c r="J2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I2" i="7"/>
  <c r="I4" i="7"/>
  <c r="I3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T8" i="6"/>
  <c r="T10" i="6"/>
  <c r="T11" i="6" s="1"/>
  <c r="U7" i="6"/>
  <c r="U8" i="6" s="1"/>
  <c r="V7" i="6"/>
  <c r="V8" i="6" s="1"/>
  <c r="Y10" i="6"/>
  <c r="Y11" i="6" s="1"/>
  <c r="X10" i="6"/>
  <c r="X11" i="6" s="1"/>
  <c r="W10" i="6"/>
  <c r="W11" i="6" s="1"/>
  <c r="V10" i="6"/>
  <c r="V11" i="6" s="1"/>
  <c r="U10" i="6"/>
  <c r="U11" i="6" s="1"/>
  <c r="T12" i="6"/>
  <c r="Y12" i="6"/>
  <c r="X12" i="6"/>
  <c r="W12" i="6"/>
  <c r="V12" i="6"/>
  <c r="U12" i="6"/>
  <c r="Y9" i="6"/>
  <c r="X9" i="6"/>
  <c r="W9" i="6"/>
  <c r="V9" i="6"/>
  <c r="U9" i="6"/>
  <c r="T9" i="6"/>
  <c r="Y7" i="6"/>
  <c r="Y8" i="6" s="1"/>
  <c r="X7" i="6"/>
  <c r="X8" i="6" s="1"/>
  <c r="W7" i="6"/>
  <c r="W8" i="6" s="1"/>
  <c r="N37" i="6"/>
  <c r="H37" i="6"/>
  <c r="E37" i="6"/>
  <c r="C37" i="6"/>
  <c r="N73" i="6"/>
  <c r="H73" i="6"/>
  <c r="E73" i="6"/>
  <c r="C73" i="6"/>
  <c r="N181" i="6"/>
  <c r="H181" i="6"/>
  <c r="E181" i="6"/>
  <c r="C181" i="6"/>
  <c r="N217" i="6"/>
  <c r="H217" i="6"/>
  <c r="E217" i="6"/>
  <c r="C217" i="6"/>
  <c r="N109" i="6"/>
  <c r="H109" i="6"/>
  <c r="E109" i="6"/>
  <c r="C109" i="6"/>
  <c r="N145" i="6"/>
  <c r="H145" i="6"/>
  <c r="E145" i="6"/>
  <c r="C145" i="6"/>
  <c r="N36" i="6"/>
  <c r="H36" i="6"/>
  <c r="E36" i="6"/>
  <c r="C36" i="6"/>
  <c r="N72" i="6"/>
  <c r="H72" i="6"/>
  <c r="E72" i="6"/>
  <c r="C72" i="6"/>
  <c r="N180" i="6"/>
  <c r="H180" i="6"/>
  <c r="E180" i="6"/>
  <c r="C180" i="6"/>
  <c r="N216" i="6"/>
  <c r="H216" i="6"/>
  <c r="E216" i="6"/>
  <c r="C216" i="6"/>
  <c r="N108" i="6"/>
  <c r="H108" i="6"/>
  <c r="E108" i="6"/>
  <c r="C108" i="6"/>
  <c r="N144" i="6"/>
  <c r="H144" i="6"/>
  <c r="E144" i="6"/>
  <c r="C144" i="6"/>
  <c r="N35" i="6"/>
  <c r="H35" i="6"/>
  <c r="E35" i="6"/>
  <c r="C35" i="6"/>
  <c r="N71" i="6"/>
  <c r="H71" i="6"/>
  <c r="E71" i="6"/>
  <c r="C71" i="6"/>
  <c r="N179" i="6"/>
  <c r="H179" i="6"/>
  <c r="E179" i="6"/>
  <c r="C179" i="6"/>
  <c r="N215" i="6"/>
  <c r="H215" i="6"/>
  <c r="E215" i="6"/>
  <c r="C215" i="6"/>
  <c r="N107" i="6"/>
  <c r="H107" i="6"/>
  <c r="E107" i="6"/>
  <c r="C107" i="6"/>
  <c r="N143" i="6"/>
  <c r="H143" i="6"/>
  <c r="E143" i="6"/>
  <c r="C143" i="6"/>
  <c r="N34" i="6"/>
  <c r="H34" i="6"/>
  <c r="E34" i="6"/>
  <c r="C34" i="6"/>
  <c r="N70" i="6"/>
  <c r="H70" i="6"/>
  <c r="E70" i="6"/>
  <c r="C70" i="6"/>
  <c r="N178" i="6"/>
  <c r="H178" i="6"/>
  <c r="E178" i="6"/>
  <c r="C178" i="6"/>
  <c r="N214" i="6"/>
  <c r="H214" i="6"/>
  <c r="E214" i="6"/>
  <c r="C214" i="6"/>
  <c r="N106" i="6"/>
  <c r="H106" i="6"/>
  <c r="E106" i="6"/>
  <c r="C106" i="6"/>
  <c r="N142" i="6"/>
  <c r="H142" i="6"/>
  <c r="E142" i="6"/>
  <c r="C142" i="6"/>
  <c r="N33" i="6"/>
  <c r="H33" i="6"/>
  <c r="E33" i="6"/>
  <c r="C33" i="6"/>
  <c r="N69" i="6"/>
  <c r="H69" i="6"/>
  <c r="E69" i="6"/>
  <c r="C69" i="6"/>
  <c r="N177" i="6"/>
  <c r="H177" i="6"/>
  <c r="E177" i="6"/>
  <c r="C177" i="6"/>
  <c r="N213" i="6"/>
  <c r="H213" i="6"/>
  <c r="E213" i="6"/>
  <c r="C213" i="6"/>
  <c r="N105" i="6"/>
  <c r="H105" i="6"/>
  <c r="E105" i="6"/>
  <c r="C105" i="6"/>
  <c r="N141" i="6"/>
  <c r="H141" i="6"/>
  <c r="E141" i="6"/>
  <c r="C141" i="6"/>
  <c r="N32" i="6"/>
  <c r="H32" i="6"/>
  <c r="E32" i="6"/>
  <c r="C32" i="6"/>
  <c r="N68" i="6"/>
  <c r="H68" i="6"/>
  <c r="E68" i="6"/>
  <c r="C68" i="6"/>
  <c r="N176" i="6"/>
  <c r="H176" i="6"/>
  <c r="E176" i="6"/>
  <c r="C176" i="6"/>
  <c r="N212" i="6"/>
  <c r="H212" i="6"/>
  <c r="E212" i="6"/>
  <c r="C212" i="6"/>
  <c r="N104" i="6"/>
  <c r="H104" i="6"/>
  <c r="E104" i="6"/>
  <c r="C104" i="6"/>
  <c r="N140" i="6"/>
  <c r="H140" i="6"/>
  <c r="E140" i="6"/>
  <c r="C140" i="6"/>
  <c r="N31" i="6"/>
  <c r="H31" i="6"/>
  <c r="E31" i="6"/>
  <c r="C31" i="6"/>
  <c r="N67" i="6"/>
  <c r="H67" i="6"/>
  <c r="E67" i="6"/>
  <c r="C67" i="6"/>
  <c r="N175" i="6"/>
  <c r="H175" i="6"/>
  <c r="E175" i="6"/>
  <c r="C175" i="6"/>
  <c r="N211" i="6"/>
  <c r="H211" i="6"/>
  <c r="E211" i="6"/>
  <c r="C211" i="6"/>
  <c r="N103" i="6"/>
  <c r="H103" i="6"/>
  <c r="E103" i="6"/>
  <c r="C103" i="6"/>
  <c r="N139" i="6"/>
  <c r="H139" i="6"/>
  <c r="E139" i="6"/>
  <c r="C139" i="6"/>
  <c r="N30" i="6"/>
  <c r="H30" i="6"/>
  <c r="E30" i="6"/>
  <c r="C30" i="6"/>
  <c r="N66" i="6"/>
  <c r="H66" i="6"/>
  <c r="E66" i="6"/>
  <c r="C66" i="6"/>
  <c r="N174" i="6"/>
  <c r="H174" i="6"/>
  <c r="E174" i="6"/>
  <c r="C174" i="6"/>
  <c r="N210" i="6"/>
  <c r="H210" i="6"/>
  <c r="E210" i="6"/>
  <c r="C210" i="6"/>
  <c r="N102" i="6"/>
  <c r="H102" i="6"/>
  <c r="E102" i="6"/>
  <c r="C102" i="6"/>
  <c r="N138" i="6"/>
  <c r="H138" i="6"/>
  <c r="E138" i="6"/>
  <c r="C138" i="6"/>
  <c r="N29" i="6"/>
  <c r="H29" i="6"/>
  <c r="E29" i="6"/>
  <c r="C29" i="6"/>
  <c r="N65" i="6"/>
  <c r="H65" i="6"/>
  <c r="E65" i="6"/>
  <c r="C65" i="6"/>
  <c r="N173" i="6"/>
  <c r="H173" i="6"/>
  <c r="E173" i="6"/>
  <c r="C173" i="6"/>
  <c r="N209" i="6"/>
  <c r="H209" i="6"/>
  <c r="E209" i="6"/>
  <c r="C209" i="6"/>
  <c r="N101" i="6"/>
  <c r="H101" i="6"/>
  <c r="E101" i="6"/>
  <c r="C101" i="6"/>
  <c r="N137" i="6"/>
  <c r="H137" i="6"/>
  <c r="E137" i="6"/>
  <c r="C137" i="6"/>
  <c r="N28" i="6"/>
  <c r="H28" i="6"/>
  <c r="E28" i="6"/>
  <c r="C28" i="6"/>
  <c r="N64" i="6"/>
  <c r="H64" i="6"/>
  <c r="E64" i="6"/>
  <c r="C64" i="6"/>
  <c r="N172" i="6"/>
  <c r="H172" i="6"/>
  <c r="E172" i="6"/>
  <c r="C172" i="6"/>
  <c r="N208" i="6"/>
  <c r="H208" i="6"/>
  <c r="E208" i="6"/>
  <c r="C208" i="6"/>
  <c r="N100" i="6"/>
  <c r="H100" i="6"/>
  <c r="E100" i="6"/>
  <c r="C100" i="6"/>
  <c r="N136" i="6"/>
  <c r="H136" i="6"/>
  <c r="E136" i="6"/>
  <c r="C136" i="6"/>
  <c r="N27" i="6"/>
  <c r="H27" i="6"/>
  <c r="E27" i="6"/>
  <c r="C27" i="6"/>
  <c r="N63" i="6"/>
  <c r="H63" i="6"/>
  <c r="E63" i="6"/>
  <c r="C63" i="6"/>
  <c r="N171" i="6"/>
  <c r="H171" i="6"/>
  <c r="E171" i="6"/>
  <c r="C171" i="6"/>
  <c r="N207" i="6"/>
  <c r="H207" i="6"/>
  <c r="E207" i="6"/>
  <c r="C207" i="6"/>
  <c r="N99" i="6"/>
  <c r="H99" i="6"/>
  <c r="E99" i="6"/>
  <c r="C99" i="6"/>
  <c r="N135" i="6"/>
  <c r="H135" i="6"/>
  <c r="E135" i="6"/>
  <c r="C135" i="6"/>
  <c r="N26" i="6"/>
  <c r="H26" i="6"/>
  <c r="E26" i="6"/>
  <c r="C26" i="6"/>
  <c r="N62" i="6"/>
  <c r="H62" i="6"/>
  <c r="E62" i="6"/>
  <c r="C62" i="6"/>
  <c r="N170" i="6"/>
  <c r="H170" i="6"/>
  <c r="E170" i="6"/>
  <c r="C170" i="6"/>
  <c r="N206" i="6"/>
  <c r="H206" i="6"/>
  <c r="E206" i="6"/>
  <c r="C206" i="6"/>
  <c r="N98" i="6"/>
  <c r="H98" i="6"/>
  <c r="E98" i="6"/>
  <c r="C98" i="6"/>
  <c r="N134" i="6"/>
  <c r="H134" i="6"/>
  <c r="E134" i="6"/>
  <c r="C134" i="6"/>
  <c r="N25" i="6"/>
  <c r="H25" i="6"/>
  <c r="E25" i="6"/>
  <c r="C25" i="6"/>
  <c r="N61" i="6"/>
  <c r="H61" i="6"/>
  <c r="E61" i="6"/>
  <c r="C61" i="6"/>
  <c r="N169" i="6"/>
  <c r="H169" i="6"/>
  <c r="E169" i="6"/>
  <c r="C169" i="6"/>
  <c r="N205" i="6"/>
  <c r="H205" i="6"/>
  <c r="E205" i="6"/>
  <c r="C205" i="6"/>
  <c r="N97" i="6"/>
  <c r="H97" i="6"/>
  <c r="E97" i="6"/>
  <c r="C97" i="6"/>
  <c r="N133" i="6"/>
  <c r="H133" i="6"/>
  <c r="E133" i="6"/>
  <c r="C133" i="6"/>
  <c r="N24" i="6"/>
  <c r="H24" i="6"/>
  <c r="E24" i="6"/>
  <c r="C24" i="6"/>
  <c r="N60" i="6"/>
  <c r="H60" i="6"/>
  <c r="E60" i="6"/>
  <c r="C60" i="6"/>
  <c r="N168" i="6"/>
  <c r="H168" i="6"/>
  <c r="E168" i="6"/>
  <c r="C168" i="6"/>
  <c r="N204" i="6"/>
  <c r="H204" i="6"/>
  <c r="E204" i="6"/>
  <c r="C204" i="6"/>
  <c r="N96" i="6"/>
  <c r="H96" i="6"/>
  <c r="E96" i="6"/>
  <c r="C96" i="6"/>
  <c r="N132" i="6"/>
  <c r="H132" i="6"/>
  <c r="E132" i="6"/>
  <c r="C132" i="6"/>
  <c r="N23" i="6"/>
  <c r="H23" i="6"/>
  <c r="E23" i="6"/>
  <c r="C23" i="6"/>
  <c r="N59" i="6"/>
  <c r="H59" i="6"/>
  <c r="E59" i="6"/>
  <c r="C59" i="6"/>
  <c r="N167" i="6"/>
  <c r="H167" i="6"/>
  <c r="E167" i="6"/>
  <c r="C167" i="6"/>
  <c r="N203" i="6"/>
  <c r="H203" i="6"/>
  <c r="E203" i="6"/>
  <c r="C203" i="6"/>
  <c r="N95" i="6"/>
  <c r="H95" i="6"/>
  <c r="E95" i="6"/>
  <c r="C95" i="6"/>
  <c r="N131" i="6"/>
  <c r="H131" i="6"/>
  <c r="E131" i="6"/>
  <c r="C131" i="6"/>
  <c r="N22" i="6"/>
  <c r="H22" i="6"/>
  <c r="E22" i="6"/>
  <c r="C22" i="6"/>
  <c r="N58" i="6"/>
  <c r="H58" i="6"/>
  <c r="E58" i="6"/>
  <c r="C58" i="6"/>
  <c r="N166" i="6"/>
  <c r="H166" i="6"/>
  <c r="E166" i="6"/>
  <c r="C166" i="6"/>
  <c r="N202" i="6"/>
  <c r="H202" i="6"/>
  <c r="E202" i="6"/>
  <c r="C202" i="6"/>
  <c r="N94" i="6"/>
  <c r="H94" i="6"/>
  <c r="E94" i="6"/>
  <c r="C94" i="6"/>
  <c r="N130" i="6"/>
  <c r="H130" i="6"/>
  <c r="E130" i="6"/>
  <c r="C130" i="6"/>
  <c r="N21" i="6"/>
  <c r="H21" i="6"/>
  <c r="E21" i="6"/>
  <c r="C21" i="6"/>
  <c r="N57" i="6"/>
  <c r="H57" i="6"/>
  <c r="E57" i="6"/>
  <c r="C57" i="6"/>
  <c r="N165" i="6"/>
  <c r="H165" i="6"/>
  <c r="E165" i="6"/>
  <c r="C165" i="6"/>
  <c r="N201" i="6"/>
  <c r="H201" i="6"/>
  <c r="E201" i="6"/>
  <c r="C201" i="6"/>
  <c r="N93" i="6"/>
  <c r="H93" i="6"/>
  <c r="E93" i="6"/>
  <c r="C93" i="6"/>
  <c r="N129" i="6"/>
  <c r="H129" i="6"/>
  <c r="E129" i="6"/>
  <c r="C129" i="6"/>
  <c r="N20" i="6"/>
  <c r="H20" i="6"/>
  <c r="E20" i="6"/>
  <c r="C20" i="6"/>
  <c r="N56" i="6"/>
  <c r="H56" i="6"/>
  <c r="E56" i="6"/>
  <c r="C56" i="6"/>
  <c r="N164" i="6"/>
  <c r="H164" i="6"/>
  <c r="E164" i="6"/>
  <c r="C164" i="6"/>
  <c r="N200" i="6"/>
  <c r="H200" i="6"/>
  <c r="E200" i="6"/>
  <c r="C200" i="6"/>
  <c r="N92" i="6"/>
  <c r="H92" i="6"/>
  <c r="E92" i="6"/>
  <c r="C92" i="6"/>
  <c r="N128" i="6"/>
  <c r="H128" i="6"/>
  <c r="E128" i="6"/>
  <c r="C128" i="6"/>
  <c r="N19" i="6"/>
  <c r="H19" i="6"/>
  <c r="E19" i="6"/>
  <c r="C19" i="6"/>
  <c r="N55" i="6"/>
  <c r="H55" i="6"/>
  <c r="E55" i="6"/>
  <c r="C55" i="6"/>
  <c r="N163" i="6"/>
  <c r="H163" i="6"/>
  <c r="E163" i="6"/>
  <c r="C163" i="6"/>
  <c r="N199" i="6"/>
  <c r="H199" i="6"/>
  <c r="E199" i="6"/>
  <c r="C199" i="6"/>
  <c r="N91" i="6"/>
  <c r="H91" i="6"/>
  <c r="E91" i="6"/>
  <c r="C91" i="6"/>
  <c r="N127" i="6"/>
  <c r="H127" i="6"/>
  <c r="E127" i="6"/>
  <c r="C127" i="6"/>
  <c r="N18" i="6"/>
  <c r="H18" i="6"/>
  <c r="E18" i="6"/>
  <c r="C18" i="6"/>
  <c r="N54" i="6"/>
  <c r="H54" i="6"/>
  <c r="E54" i="6"/>
  <c r="C54" i="6"/>
  <c r="N162" i="6"/>
  <c r="H162" i="6"/>
  <c r="E162" i="6"/>
  <c r="C162" i="6"/>
  <c r="N198" i="6"/>
  <c r="H198" i="6"/>
  <c r="E198" i="6"/>
  <c r="C198" i="6"/>
  <c r="N90" i="6"/>
  <c r="H90" i="6"/>
  <c r="E90" i="6"/>
  <c r="C90" i="6"/>
  <c r="N126" i="6"/>
  <c r="H126" i="6"/>
  <c r="E126" i="6"/>
  <c r="C126" i="6"/>
  <c r="N17" i="6"/>
  <c r="H17" i="6"/>
  <c r="E17" i="6"/>
  <c r="C17" i="6"/>
  <c r="N53" i="6"/>
  <c r="H53" i="6"/>
  <c r="E53" i="6"/>
  <c r="C53" i="6"/>
  <c r="N161" i="6"/>
  <c r="H161" i="6"/>
  <c r="E161" i="6"/>
  <c r="C161" i="6"/>
  <c r="N197" i="6"/>
  <c r="H197" i="6"/>
  <c r="E197" i="6"/>
  <c r="C197" i="6"/>
  <c r="N89" i="6"/>
  <c r="H89" i="6"/>
  <c r="E89" i="6"/>
  <c r="C89" i="6"/>
  <c r="N125" i="6"/>
  <c r="H125" i="6"/>
  <c r="E125" i="6"/>
  <c r="C125" i="6"/>
  <c r="N16" i="6"/>
  <c r="H16" i="6"/>
  <c r="E16" i="6"/>
  <c r="C16" i="6"/>
  <c r="N52" i="6"/>
  <c r="H52" i="6"/>
  <c r="E52" i="6"/>
  <c r="C52" i="6"/>
  <c r="N160" i="6"/>
  <c r="H160" i="6"/>
  <c r="E160" i="6"/>
  <c r="C160" i="6"/>
  <c r="N196" i="6"/>
  <c r="H196" i="6"/>
  <c r="E196" i="6"/>
  <c r="C196" i="6"/>
  <c r="N88" i="6"/>
  <c r="H88" i="6"/>
  <c r="E88" i="6"/>
  <c r="C88" i="6"/>
  <c r="N124" i="6"/>
  <c r="H124" i="6"/>
  <c r="E124" i="6"/>
  <c r="C124" i="6"/>
  <c r="N15" i="6"/>
  <c r="H15" i="6"/>
  <c r="E15" i="6"/>
  <c r="C15" i="6"/>
  <c r="N51" i="6"/>
  <c r="H51" i="6"/>
  <c r="E51" i="6"/>
  <c r="C51" i="6"/>
  <c r="N159" i="6"/>
  <c r="H159" i="6"/>
  <c r="E159" i="6"/>
  <c r="C159" i="6"/>
  <c r="N195" i="6"/>
  <c r="H195" i="6"/>
  <c r="E195" i="6"/>
  <c r="C195" i="6"/>
  <c r="N87" i="6"/>
  <c r="H87" i="6"/>
  <c r="E87" i="6"/>
  <c r="C87" i="6"/>
  <c r="N123" i="6"/>
  <c r="H123" i="6"/>
  <c r="E123" i="6"/>
  <c r="C123" i="6"/>
  <c r="N14" i="6"/>
  <c r="H14" i="6"/>
  <c r="E14" i="6"/>
  <c r="C14" i="6"/>
  <c r="N50" i="6"/>
  <c r="H50" i="6"/>
  <c r="E50" i="6"/>
  <c r="C50" i="6"/>
  <c r="N158" i="6"/>
  <c r="H158" i="6"/>
  <c r="E158" i="6"/>
  <c r="C158" i="6"/>
  <c r="N194" i="6"/>
  <c r="H194" i="6"/>
  <c r="E194" i="6"/>
  <c r="C194" i="6"/>
  <c r="N86" i="6"/>
  <c r="H86" i="6"/>
  <c r="E86" i="6"/>
  <c r="C86" i="6"/>
  <c r="N122" i="6"/>
  <c r="H122" i="6"/>
  <c r="E122" i="6"/>
  <c r="C122" i="6"/>
  <c r="N13" i="6"/>
  <c r="H13" i="6"/>
  <c r="E13" i="6"/>
  <c r="C13" i="6"/>
  <c r="N49" i="6"/>
  <c r="H49" i="6"/>
  <c r="E49" i="6"/>
  <c r="C49" i="6"/>
  <c r="N157" i="6"/>
  <c r="H157" i="6"/>
  <c r="E157" i="6"/>
  <c r="C157" i="6"/>
  <c r="N193" i="6"/>
  <c r="H193" i="6"/>
  <c r="E193" i="6"/>
  <c r="C193" i="6"/>
  <c r="N85" i="6"/>
  <c r="H85" i="6"/>
  <c r="E85" i="6"/>
  <c r="C85" i="6"/>
  <c r="N121" i="6"/>
  <c r="H121" i="6"/>
  <c r="E121" i="6"/>
  <c r="C121" i="6"/>
  <c r="N12" i="6"/>
  <c r="H12" i="6"/>
  <c r="E12" i="6"/>
  <c r="C12" i="6"/>
  <c r="N48" i="6"/>
  <c r="H48" i="6"/>
  <c r="E48" i="6"/>
  <c r="C48" i="6"/>
  <c r="N156" i="6"/>
  <c r="H156" i="6"/>
  <c r="E156" i="6"/>
  <c r="C156" i="6"/>
  <c r="N192" i="6"/>
  <c r="H192" i="6"/>
  <c r="E192" i="6"/>
  <c r="C192" i="6"/>
  <c r="N84" i="6"/>
  <c r="H84" i="6"/>
  <c r="E84" i="6"/>
  <c r="C84" i="6"/>
  <c r="N120" i="6"/>
  <c r="H120" i="6"/>
  <c r="E120" i="6"/>
  <c r="C120" i="6"/>
  <c r="N11" i="6"/>
  <c r="H11" i="6"/>
  <c r="E11" i="6"/>
  <c r="C11" i="6"/>
  <c r="N47" i="6"/>
  <c r="H47" i="6"/>
  <c r="E47" i="6"/>
  <c r="C47" i="6"/>
  <c r="N155" i="6"/>
  <c r="H155" i="6"/>
  <c r="E155" i="6"/>
  <c r="C155" i="6"/>
  <c r="N191" i="6"/>
  <c r="H191" i="6"/>
  <c r="E191" i="6"/>
  <c r="C191" i="6"/>
  <c r="N83" i="6"/>
  <c r="H83" i="6"/>
  <c r="E83" i="6"/>
  <c r="C83" i="6"/>
  <c r="N119" i="6"/>
  <c r="H119" i="6"/>
  <c r="E119" i="6"/>
  <c r="C119" i="6"/>
  <c r="N10" i="6"/>
  <c r="H10" i="6"/>
  <c r="E10" i="6"/>
  <c r="C10" i="6"/>
  <c r="N46" i="6"/>
  <c r="H46" i="6"/>
  <c r="E46" i="6"/>
  <c r="C46" i="6"/>
  <c r="N154" i="6"/>
  <c r="H154" i="6"/>
  <c r="E154" i="6"/>
  <c r="C154" i="6"/>
  <c r="N190" i="6"/>
  <c r="H190" i="6"/>
  <c r="E190" i="6"/>
  <c r="C190" i="6"/>
  <c r="N82" i="6"/>
  <c r="H82" i="6"/>
  <c r="E82" i="6"/>
  <c r="C82" i="6"/>
  <c r="N118" i="6"/>
  <c r="H118" i="6"/>
  <c r="E118" i="6"/>
  <c r="C118" i="6"/>
  <c r="N9" i="6"/>
  <c r="H9" i="6"/>
  <c r="E9" i="6"/>
  <c r="C9" i="6"/>
  <c r="N45" i="6"/>
  <c r="H45" i="6"/>
  <c r="E45" i="6"/>
  <c r="C45" i="6"/>
  <c r="N153" i="6"/>
  <c r="H153" i="6"/>
  <c r="E153" i="6"/>
  <c r="C153" i="6"/>
  <c r="N189" i="6"/>
  <c r="H189" i="6"/>
  <c r="E189" i="6"/>
  <c r="C189" i="6"/>
  <c r="N81" i="6"/>
  <c r="H81" i="6"/>
  <c r="E81" i="6"/>
  <c r="C81" i="6"/>
  <c r="N117" i="6"/>
  <c r="H117" i="6"/>
  <c r="E117" i="6"/>
  <c r="C117" i="6"/>
  <c r="N8" i="6"/>
  <c r="H8" i="6"/>
  <c r="E8" i="6"/>
  <c r="C8" i="6"/>
  <c r="N44" i="6"/>
  <c r="H44" i="6"/>
  <c r="E44" i="6"/>
  <c r="C44" i="6"/>
  <c r="N152" i="6"/>
  <c r="H152" i="6"/>
  <c r="E152" i="6"/>
  <c r="C152" i="6"/>
  <c r="N188" i="6"/>
  <c r="H188" i="6"/>
  <c r="E188" i="6"/>
  <c r="C188" i="6"/>
  <c r="N80" i="6"/>
  <c r="H80" i="6"/>
  <c r="E80" i="6"/>
  <c r="C80" i="6"/>
  <c r="N116" i="6"/>
  <c r="H116" i="6"/>
  <c r="E116" i="6"/>
  <c r="C116" i="6"/>
  <c r="N7" i="6"/>
  <c r="H7" i="6"/>
  <c r="E7" i="6"/>
  <c r="C7" i="6"/>
  <c r="N43" i="6"/>
  <c r="H43" i="6"/>
  <c r="E43" i="6"/>
  <c r="C43" i="6"/>
  <c r="N151" i="6"/>
  <c r="H151" i="6"/>
  <c r="E151" i="6"/>
  <c r="C151" i="6"/>
  <c r="N187" i="6"/>
  <c r="H187" i="6"/>
  <c r="E187" i="6"/>
  <c r="C187" i="6"/>
  <c r="N79" i="6"/>
  <c r="H79" i="6"/>
  <c r="E79" i="6"/>
  <c r="C79" i="6"/>
  <c r="N115" i="6"/>
  <c r="H115" i="6"/>
  <c r="E115" i="6"/>
  <c r="C115" i="6"/>
  <c r="N6" i="6"/>
  <c r="H6" i="6"/>
  <c r="E6" i="6"/>
  <c r="C6" i="6"/>
  <c r="N42" i="6"/>
  <c r="H42" i="6"/>
  <c r="E42" i="6"/>
  <c r="C42" i="6"/>
  <c r="N150" i="6"/>
  <c r="H150" i="6"/>
  <c r="E150" i="6"/>
  <c r="C150" i="6"/>
  <c r="N186" i="6"/>
  <c r="H186" i="6"/>
  <c r="E186" i="6"/>
  <c r="C186" i="6"/>
  <c r="N78" i="6"/>
  <c r="H78" i="6"/>
  <c r="E78" i="6"/>
  <c r="C78" i="6"/>
  <c r="N114" i="6"/>
  <c r="H114" i="6"/>
  <c r="E114" i="6"/>
  <c r="C114" i="6"/>
  <c r="N5" i="6"/>
  <c r="H5" i="6"/>
  <c r="E5" i="6"/>
  <c r="C5" i="6"/>
  <c r="N41" i="6"/>
  <c r="H41" i="6"/>
  <c r="E41" i="6"/>
  <c r="C41" i="6"/>
  <c r="N149" i="6"/>
  <c r="H149" i="6"/>
  <c r="E149" i="6"/>
  <c r="C149" i="6"/>
  <c r="N185" i="6"/>
  <c r="H185" i="6"/>
  <c r="E185" i="6"/>
  <c r="C185" i="6"/>
  <c r="N77" i="6"/>
  <c r="H77" i="6"/>
  <c r="E77" i="6"/>
  <c r="C77" i="6"/>
  <c r="N113" i="6"/>
  <c r="H113" i="6"/>
  <c r="E113" i="6"/>
  <c r="C113" i="6"/>
  <c r="N4" i="6"/>
  <c r="H4" i="6"/>
  <c r="E4" i="6"/>
  <c r="C4" i="6"/>
  <c r="N40" i="6"/>
  <c r="H40" i="6"/>
  <c r="E40" i="6"/>
  <c r="C40" i="6"/>
  <c r="N148" i="6"/>
  <c r="H148" i="6"/>
  <c r="E148" i="6"/>
  <c r="C148" i="6"/>
  <c r="N184" i="6"/>
  <c r="H184" i="6"/>
  <c r="E184" i="6"/>
  <c r="C184" i="6"/>
  <c r="N76" i="6"/>
  <c r="H76" i="6"/>
  <c r="E76" i="6"/>
  <c r="C76" i="6"/>
  <c r="N112" i="6"/>
  <c r="H112" i="6"/>
  <c r="E112" i="6"/>
  <c r="C112" i="6"/>
  <c r="N3" i="6"/>
  <c r="H3" i="6"/>
  <c r="C3" i="6"/>
  <c r="N39" i="6"/>
  <c r="H39" i="6"/>
  <c r="E39" i="6"/>
  <c r="C39" i="6"/>
  <c r="N147" i="6"/>
  <c r="H147" i="6"/>
  <c r="E147" i="6"/>
  <c r="C147" i="6"/>
  <c r="N183" i="6"/>
  <c r="H183" i="6"/>
  <c r="E183" i="6"/>
  <c r="C183" i="6"/>
  <c r="N75" i="6"/>
  <c r="H75" i="6"/>
  <c r="E75" i="6"/>
  <c r="C75" i="6"/>
  <c r="N111" i="6"/>
  <c r="H111" i="6"/>
  <c r="E111" i="6"/>
  <c r="C111" i="6"/>
  <c r="H2" i="6"/>
  <c r="C2" i="6"/>
  <c r="N38" i="6"/>
  <c r="H38" i="6"/>
  <c r="E38" i="6"/>
  <c r="C38" i="6"/>
  <c r="N146" i="6"/>
  <c r="H146" i="6"/>
  <c r="E146" i="6"/>
  <c r="C146" i="6"/>
  <c r="N182" i="6"/>
  <c r="H182" i="6"/>
  <c r="E182" i="6"/>
  <c r="C182" i="6"/>
  <c r="N74" i="6"/>
  <c r="H74" i="6"/>
  <c r="E74" i="6"/>
  <c r="C74" i="6"/>
  <c r="N110" i="6"/>
  <c r="H110" i="6"/>
  <c r="E110" i="6"/>
  <c r="C110" i="6"/>
  <c r="H10" i="1"/>
  <c r="H7" i="1"/>
  <c r="M7" i="1"/>
  <c r="M4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6" i="1"/>
  <c r="M5" i="1"/>
  <c r="M3" i="1"/>
  <c r="M2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H5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9" i="1"/>
  <c r="H8" i="1"/>
  <c r="H6" i="1"/>
  <c r="H4" i="1"/>
  <c r="H3" i="1"/>
  <c r="H2" i="1"/>
  <c r="K8" i="1"/>
  <c r="L8" i="1" s="1"/>
  <c r="K14" i="1"/>
  <c r="L14" i="1" s="1"/>
  <c r="K20" i="1"/>
  <c r="L20" i="1" s="1"/>
  <c r="K26" i="1"/>
  <c r="L26" i="1" s="1"/>
  <c r="K32" i="1"/>
  <c r="L32" i="1" s="1"/>
  <c r="K38" i="1"/>
  <c r="L38" i="1" s="1"/>
  <c r="K44" i="1"/>
  <c r="L44" i="1" s="1"/>
  <c r="K50" i="1"/>
  <c r="L50" i="1" s="1"/>
  <c r="K56" i="1"/>
  <c r="L56" i="1" s="1"/>
  <c r="K62" i="1"/>
  <c r="L62" i="1" s="1"/>
  <c r="K68" i="1"/>
  <c r="L68" i="1" s="1"/>
  <c r="K74" i="1"/>
  <c r="L74" i="1" s="1"/>
  <c r="K80" i="1"/>
  <c r="L80" i="1" s="1"/>
  <c r="K86" i="1"/>
  <c r="L86" i="1" s="1"/>
  <c r="K92" i="1"/>
  <c r="L92" i="1" s="1"/>
  <c r="K98" i="1"/>
  <c r="L98" i="1" s="1"/>
  <c r="K104" i="1"/>
  <c r="L104" i="1" s="1"/>
  <c r="K110" i="1"/>
  <c r="L110" i="1" s="1"/>
  <c r="K116" i="1"/>
  <c r="L116" i="1" s="1"/>
  <c r="K122" i="1"/>
  <c r="L122" i="1" s="1"/>
  <c r="K128" i="1"/>
  <c r="L128" i="1" s="1"/>
  <c r="K134" i="1"/>
  <c r="L134" i="1" s="1"/>
  <c r="K140" i="1"/>
  <c r="L140" i="1" s="1"/>
  <c r="K146" i="1"/>
  <c r="L146" i="1" s="1"/>
  <c r="K152" i="1"/>
  <c r="L152" i="1" s="1"/>
  <c r="K158" i="1"/>
  <c r="L158" i="1" s="1"/>
  <c r="K164" i="1"/>
  <c r="L164" i="1" s="1"/>
  <c r="K170" i="1"/>
  <c r="L170" i="1" s="1"/>
  <c r="K176" i="1"/>
  <c r="L176" i="1" s="1"/>
  <c r="K182" i="1"/>
  <c r="L182" i="1" s="1"/>
  <c r="K188" i="1"/>
  <c r="L188" i="1" s="1"/>
  <c r="K194" i="1"/>
  <c r="L194" i="1" s="1"/>
  <c r="K200" i="1"/>
  <c r="L200" i="1" s="1"/>
  <c r="K206" i="1"/>
  <c r="L206" i="1" s="1"/>
  <c r="K212" i="1"/>
  <c r="L212" i="1" s="1"/>
  <c r="K3" i="1"/>
  <c r="L3" i="1" s="1"/>
  <c r="K9" i="1"/>
  <c r="L9" i="1" s="1"/>
  <c r="K15" i="1"/>
  <c r="L15" i="1" s="1"/>
  <c r="K21" i="1"/>
  <c r="L21" i="1" s="1"/>
  <c r="K27" i="1"/>
  <c r="L27" i="1" s="1"/>
  <c r="K33" i="1"/>
  <c r="L33" i="1" s="1"/>
  <c r="K39" i="1"/>
  <c r="L39" i="1" s="1"/>
  <c r="K45" i="1"/>
  <c r="L45" i="1" s="1"/>
  <c r="K51" i="1"/>
  <c r="L51" i="1" s="1"/>
  <c r="K57" i="1"/>
  <c r="L57" i="1" s="1"/>
  <c r="K63" i="1"/>
  <c r="L63" i="1" s="1"/>
  <c r="K69" i="1"/>
  <c r="L69" i="1" s="1"/>
  <c r="K75" i="1"/>
  <c r="L75" i="1" s="1"/>
  <c r="K81" i="1"/>
  <c r="L81" i="1" s="1"/>
  <c r="K87" i="1"/>
  <c r="L87" i="1" s="1"/>
  <c r="K93" i="1"/>
  <c r="L93" i="1" s="1"/>
  <c r="K99" i="1"/>
  <c r="L99" i="1" s="1"/>
  <c r="K105" i="1"/>
  <c r="L105" i="1" s="1"/>
  <c r="K111" i="1"/>
  <c r="L111" i="1" s="1"/>
  <c r="K117" i="1"/>
  <c r="L117" i="1" s="1"/>
  <c r="K123" i="1"/>
  <c r="L123" i="1" s="1"/>
  <c r="K129" i="1"/>
  <c r="L129" i="1"/>
  <c r="K135" i="1"/>
  <c r="L135" i="1" s="1"/>
  <c r="K141" i="1"/>
  <c r="L141" i="1" s="1"/>
  <c r="K147" i="1"/>
  <c r="L147" i="1" s="1"/>
  <c r="K153" i="1"/>
  <c r="L153" i="1" s="1"/>
  <c r="K159" i="1"/>
  <c r="L159" i="1" s="1"/>
  <c r="K165" i="1"/>
  <c r="L165" i="1" s="1"/>
  <c r="K171" i="1"/>
  <c r="L171" i="1" s="1"/>
  <c r="K177" i="1"/>
  <c r="L177" i="1" s="1"/>
  <c r="K183" i="1"/>
  <c r="L183" i="1" s="1"/>
  <c r="K189" i="1"/>
  <c r="L189" i="1" s="1"/>
  <c r="K195" i="1"/>
  <c r="L195" i="1" s="1"/>
  <c r="K201" i="1"/>
  <c r="L201" i="1" s="1"/>
  <c r="K207" i="1"/>
  <c r="L207" i="1" s="1"/>
  <c r="K213" i="1"/>
  <c r="L213" i="1" s="1"/>
  <c r="K4" i="1"/>
  <c r="L4" i="1" s="1"/>
  <c r="K10" i="1"/>
  <c r="L10" i="1" s="1"/>
  <c r="K16" i="1"/>
  <c r="L16" i="1" s="1"/>
  <c r="K22" i="1"/>
  <c r="L22" i="1" s="1"/>
  <c r="K28" i="1"/>
  <c r="L28" i="1" s="1"/>
  <c r="K34" i="1"/>
  <c r="L34" i="1" s="1"/>
  <c r="K40" i="1"/>
  <c r="L40" i="1" s="1"/>
  <c r="K46" i="1"/>
  <c r="L46" i="1" s="1"/>
  <c r="K52" i="1"/>
  <c r="L52" i="1" s="1"/>
  <c r="K58" i="1"/>
  <c r="L58" i="1"/>
  <c r="K64" i="1"/>
  <c r="L64" i="1" s="1"/>
  <c r="K70" i="1"/>
  <c r="L70" i="1" s="1"/>
  <c r="K76" i="1"/>
  <c r="L76" i="1" s="1"/>
  <c r="K82" i="1"/>
  <c r="L82" i="1" s="1"/>
  <c r="K88" i="1"/>
  <c r="L88" i="1" s="1"/>
  <c r="K94" i="1"/>
  <c r="L94" i="1" s="1"/>
  <c r="K100" i="1"/>
  <c r="L100" i="1" s="1"/>
  <c r="K106" i="1"/>
  <c r="L106" i="1" s="1"/>
  <c r="K112" i="1"/>
  <c r="L112" i="1" s="1"/>
  <c r="K118" i="1"/>
  <c r="L118" i="1" s="1"/>
  <c r="K124" i="1"/>
  <c r="L124" i="1" s="1"/>
  <c r="K130" i="1"/>
  <c r="L130" i="1" s="1"/>
  <c r="K136" i="1"/>
  <c r="L136" i="1" s="1"/>
  <c r="K142" i="1"/>
  <c r="L142" i="1" s="1"/>
  <c r="K148" i="1"/>
  <c r="L148" i="1" s="1"/>
  <c r="K154" i="1"/>
  <c r="L154" i="1" s="1"/>
  <c r="K160" i="1"/>
  <c r="L160" i="1" s="1"/>
  <c r="K166" i="1"/>
  <c r="L166" i="1" s="1"/>
  <c r="K172" i="1"/>
  <c r="L172" i="1" s="1"/>
  <c r="K178" i="1"/>
  <c r="L178" i="1" s="1"/>
  <c r="K184" i="1"/>
  <c r="L184" i="1" s="1"/>
  <c r="K190" i="1"/>
  <c r="L190" i="1" s="1"/>
  <c r="K196" i="1"/>
  <c r="L196" i="1" s="1"/>
  <c r="K202" i="1"/>
  <c r="L202" i="1" s="1"/>
  <c r="K208" i="1"/>
  <c r="L208" i="1" s="1"/>
  <c r="K214" i="1"/>
  <c r="L214" i="1" s="1"/>
  <c r="K5" i="1"/>
  <c r="L5" i="1" s="1"/>
  <c r="K11" i="1"/>
  <c r="L11" i="1" s="1"/>
  <c r="K17" i="1"/>
  <c r="L17" i="1" s="1"/>
  <c r="K23" i="1"/>
  <c r="L23" i="1" s="1"/>
  <c r="K29" i="1"/>
  <c r="L29" i="1" s="1"/>
  <c r="K35" i="1"/>
  <c r="L35" i="1" s="1"/>
  <c r="K41" i="1"/>
  <c r="L41" i="1" s="1"/>
  <c r="K47" i="1"/>
  <c r="L47" i="1" s="1"/>
  <c r="K53" i="1"/>
  <c r="L53" i="1" s="1"/>
  <c r="K59" i="1"/>
  <c r="L59" i="1" s="1"/>
  <c r="K65" i="1"/>
  <c r="L65" i="1" s="1"/>
  <c r="K71" i="1"/>
  <c r="L71" i="1" s="1"/>
  <c r="K77" i="1"/>
  <c r="L77" i="1" s="1"/>
  <c r="K83" i="1"/>
  <c r="L83" i="1" s="1"/>
  <c r="K89" i="1"/>
  <c r="L89" i="1" s="1"/>
  <c r="K95" i="1"/>
  <c r="L95" i="1" s="1"/>
  <c r="K101" i="1"/>
  <c r="L101" i="1" s="1"/>
  <c r="K107" i="1"/>
  <c r="L107" i="1" s="1"/>
  <c r="K113" i="1"/>
  <c r="L113" i="1" s="1"/>
  <c r="K119" i="1"/>
  <c r="L119" i="1" s="1"/>
  <c r="K125" i="1"/>
  <c r="L125" i="1" s="1"/>
  <c r="K131" i="1"/>
  <c r="L131" i="1" s="1"/>
  <c r="K137" i="1"/>
  <c r="L137" i="1" s="1"/>
  <c r="K143" i="1"/>
  <c r="L143" i="1" s="1"/>
  <c r="K149" i="1"/>
  <c r="L149" i="1" s="1"/>
  <c r="K155" i="1"/>
  <c r="L155" i="1" s="1"/>
  <c r="K161" i="1"/>
  <c r="L161" i="1" s="1"/>
  <c r="K167" i="1"/>
  <c r="L167" i="1" s="1"/>
  <c r="K173" i="1"/>
  <c r="L173" i="1" s="1"/>
  <c r="K179" i="1"/>
  <c r="L179" i="1" s="1"/>
  <c r="K185" i="1"/>
  <c r="L185" i="1" s="1"/>
  <c r="K191" i="1"/>
  <c r="L191" i="1" s="1"/>
  <c r="K197" i="1"/>
  <c r="L197" i="1" s="1"/>
  <c r="K203" i="1"/>
  <c r="L203" i="1" s="1"/>
  <c r="K209" i="1"/>
  <c r="L209" i="1" s="1"/>
  <c r="K215" i="1"/>
  <c r="L215" i="1" s="1"/>
  <c r="K6" i="1"/>
  <c r="L6" i="1" s="1"/>
  <c r="K12" i="1"/>
  <c r="L12" i="1" s="1"/>
  <c r="K18" i="1"/>
  <c r="L18" i="1" s="1"/>
  <c r="K24" i="1"/>
  <c r="L24" i="1" s="1"/>
  <c r="K30" i="1"/>
  <c r="L30" i="1" s="1"/>
  <c r="K36" i="1"/>
  <c r="L36" i="1" s="1"/>
  <c r="K42" i="1"/>
  <c r="L42" i="1" s="1"/>
  <c r="K48" i="1"/>
  <c r="L48" i="1" s="1"/>
  <c r="K54" i="1"/>
  <c r="L54" i="1" s="1"/>
  <c r="K60" i="1"/>
  <c r="L60" i="1" s="1"/>
  <c r="K66" i="1"/>
  <c r="L66" i="1" s="1"/>
  <c r="K72" i="1"/>
  <c r="L72" i="1" s="1"/>
  <c r="K78" i="1"/>
  <c r="L78" i="1" s="1"/>
  <c r="K84" i="1"/>
  <c r="L84" i="1"/>
  <c r="K90" i="1"/>
  <c r="L90" i="1" s="1"/>
  <c r="K96" i="1"/>
  <c r="L96" i="1" s="1"/>
  <c r="K102" i="1"/>
  <c r="L102" i="1" s="1"/>
  <c r="K108" i="1"/>
  <c r="L108" i="1" s="1"/>
  <c r="K114" i="1"/>
  <c r="L114" i="1" s="1"/>
  <c r="K120" i="1"/>
  <c r="L120" i="1" s="1"/>
  <c r="K126" i="1"/>
  <c r="L126" i="1" s="1"/>
  <c r="K132" i="1"/>
  <c r="L132" i="1" s="1"/>
  <c r="K138" i="1"/>
  <c r="L138" i="1" s="1"/>
  <c r="K144" i="1"/>
  <c r="L144" i="1" s="1"/>
  <c r="K150" i="1"/>
  <c r="L150" i="1" s="1"/>
  <c r="K156" i="1"/>
  <c r="L156" i="1" s="1"/>
  <c r="K162" i="1"/>
  <c r="L162" i="1" s="1"/>
  <c r="K168" i="1"/>
  <c r="L168" i="1" s="1"/>
  <c r="K174" i="1"/>
  <c r="L174" i="1" s="1"/>
  <c r="K180" i="1"/>
  <c r="L180" i="1" s="1"/>
  <c r="K186" i="1"/>
  <c r="L186" i="1" s="1"/>
  <c r="K192" i="1"/>
  <c r="L192" i="1" s="1"/>
  <c r="K198" i="1"/>
  <c r="L198" i="1" s="1"/>
  <c r="K204" i="1"/>
  <c r="L204" i="1" s="1"/>
  <c r="K210" i="1"/>
  <c r="L210" i="1" s="1"/>
  <c r="K216" i="1"/>
  <c r="L216" i="1" s="1"/>
  <c r="K7" i="1"/>
  <c r="L7" i="1" s="1"/>
  <c r="K13" i="1"/>
  <c r="L13" i="1" s="1"/>
  <c r="K19" i="1"/>
  <c r="L19" i="1" s="1"/>
  <c r="K25" i="1"/>
  <c r="L25" i="1" s="1"/>
  <c r="K31" i="1"/>
  <c r="L31" i="1" s="1"/>
  <c r="K37" i="1"/>
  <c r="L37" i="1" s="1"/>
  <c r="K43" i="1"/>
  <c r="L43" i="1" s="1"/>
  <c r="K49" i="1"/>
  <c r="L49" i="1" s="1"/>
  <c r="K55" i="1"/>
  <c r="L55" i="1" s="1"/>
  <c r="K61" i="1"/>
  <c r="L61" i="1" s="1"/>
  <c r="K67" i="1"/>
  <c r="L67" i="1" s="1"/>
  <c r="K73" i="1"/>
  <c r="L73" i="1" s="1"/>
  <c r="K79" i="1"/>
  <c r="L79" i="1" s="1"/>
  <c r="K85" i="1"/>
  <c r="L85" i="1" s="1"/>
  <c r="K91" i="1"/>
  <c r="L91" i="1" s="1"/>
  <c r="K97" i="1"/>
  <c r="L97" i="1" s="1"/>
  <c r="K103" i="1"/>
  <c r="L103" i="1" s="1"/>
  <c r="K109" i="1"/>
  <c r="L109" i="1" s="1"/>
  <c r="K115" i="1"/>
  <c r="L115" i="1" s="1"/>
  <c r="K121" i="1"/>
  <c r="L121" i="1" s="1"/>
  <c r="K127" i="1"/>
  <c r="L127" i="1" s="1"/>
  <c r="K133" i="1"/>
  <c r="L133" i="1" s="1"/>
  <c r="K139" i="1"/>
  <c r="L139" i="1" s="1"/>
  <c r="K145" i="1"/>
  <c r="L145" i="1" s="1"/>
  <c r="K151" i="1"/>
  <c r="L151" i="1" s="1"/>
  <c r="K157" i="1"/>
  <c r="L157" i="1" s="1"/>
  <c r="K163" i="1"/>
  <c r="L163" i="1" s="1"/>
  <c r="K169" i="1"/>
  <c r="L169" i="1" s="1"/>
  <c r="K175" i="1"/>
  <c r="L175" i="1" s="1"/>
  <c r="K181" i="1"/>
  <c r="L181" i="1" s="1"/>
  <c r="K187" i="1"/>
  <c r="L187" i="1" s="1"/>
  <c r="K193" i="1"/>
  <c r="L193" i="1" s="1"/>
  <c r="K199" i="1"/>
  <c r="L199" i="1" s="1"/>
  <c r="K205" i="1"/>
  <c r="L205" i="1" s="1"/>
  <c r="K211" i="1"/>
  <c r="L211" i="1" s="1"/>
  <c r="K217" i="1"/>
  <c r="L217" i="1" s="1"/>
  <c r="K2" i="1"/>
  <c r="L2" i="1" s="1"/>
  <c r="AD119" i="10" l="1"/>
  <c r="AC119" i="10"/>
  <c r="AB119" i="10"/>
  <c r="AC117" i="10"/>
  <c r="AC120" i="10" s="1"/>
  <c r="U119" i="10"/>
  <c r="J119" i="10" s="1"/>
  <c r="AB117" i="10"/>
  <c r="AB120" i="10" s="1"/>
  <c r="AD117" i="10"/>
  <c r="AD120" i="10" s="1"/>
  <c r="U117" i="10"/>
  <c r="J117" i="10" s="1"/>
  <c r="U115" i="10"/>
  <c r="J115" i="10" s="1"/>
  <c r="U114" i="10"/>
  <c r="J114" i="10" s="1"/>
  <c r="U116" i="10"/>
  <c r="J116" i="10" s="1"/>
  <c r="U118" i="10"/>
  <c r="J118" i="10" s="1"/>
  <c r="U112" i="10"/>
  <c r="J112" i="10" s="1"/>
  <c r="U120" i="10"/>
  <c r="J120" i="10" s="1"/>
  <c r="U113" i="10"/>
  <c r="J113" i="10" s="1"/>
  <c r="P44" i="10"/>
  <c r="R56" i="10"/>
  <c r="R57" i="10"/>
  <c r="P69" i="10"/>
  <c r="R71" i="10"/>
  <c r="R12" i="10"/>
  <c r="R72" i="10"/>
  <c r="P14" i="10"/>
  <c r="O83" i="10"/>
  <c r="O28" i="10"/>
  <c r="P84" i="10"/>
  <c r="P29" i="10"/>
  <c r="R96" i="10"/>
  <c r="R42" i="10"/>
  <c r="R26" i="10"/>
  <c r="P39" i="10"/>
  <c r="O53" i="10"/>
  <c r="R66" i="10"/>
  <c r="Q80" i="10"/>
  <c r="P94" i="10"/>
  <c r="O13" i="10"/>
  <c r="R27" i="10"/>
  <c r="R41" i="10"/>
  <c r="P54" i="10"/>
  <c r="O68" i="10"/>
  <c r="R81" i="10"/>
  <c r="Q95" i="10"/>
  <c r="O3" i="10"/>
  <c r="R16" i="10"/>
  <c r="O43" i="10"/>
  <c r="O98" i="10"/>
  <c r="P4" i="10"/>
  <c r="O18" i="10"/>
  <c r="R31" i="10"/>
  <c r="O58" i="10"/>
  <c r="R86" i="10"/>
  <c r="P99" i="10"/>
  <c r="Q5" i="10"/>
  <c r="P19" i="10"/>
  <c r="O33" i="10"/>
  <c r="R46" i="10"/>
  <c r="P59" i="10"/>
  <c r="O73" i="10"/>
  <c r="R87" i="10"/>
  <c r="R101" i="10"/>
  <c r="R6" i="10"/>
  <c r="Q20" i="10"/>
  <c r="P34" i="10"/>
  <c r="O48" i="10"/>
  <c r="R61" i="10"/>
  <c r="P74" i="10"/>
  <c r="O88" i="10"/>
  <c r="R102" i="10"/>
  <c r="O8" i="10"/>
  <c r="R21" i="10"/>
  <c r="Q35" i="10"/>
  <c r="P49" i="10"/>
  <c r="O63" i="10"/>
  <c r="R76" i="10"/>
  <c r="P89" i="10"/>
  <c r="O103" i="10"/>
  <c r="P9" i="10"/>
  <c r="O23" i="10"/>
  <c r="R36" i="10"/>
  <c r="Q50" i="10"/>
  <c r="P64" i="10"/>
  <c r="O78" i="10"/>
  <c r="R91" i="10"/>
  <c r="P104" i="10"/>
  <c r="R11" i="10"/>
  <c r="P24" i="10"/>
  <c r="O38" i="10"/>
  <c r="R51" i="10"/>
  <c r="Q65" i="10"/>
  <c r="P79" i="10"/>
  <c r="O93" i="10"/>
  <c r="R106" i="10"/>
  <c r="Q2" i="10"/>
  <c r="O5" i="10"/>
  <c r="Q7" i="10"/>
  <c r="O10" i="10"/>
  <c r="Q12" i="10"/>
  <c r="O15" i="10"/>
  <c r="Q17" i="10"/>
  <c r="O20" i="10"/>
  <c r="Q22" i="10"/>
  <c r="O25" i="10"/>
  <c r="Q27" i="10"/>
  <c r="O30" i="10"/>
  <c r="Q32" i="10"/>
  <c r="O35" i="10"/>
  <c r="Q37" i="10"/>
  <c r="O40" i="10"/>
  <c r="Q42" i="10"/>
  <c r="O45" i="10"/>
  <c r="Q47" i="10"/>
  <c r="O50" i="10"/>
  <c r="Q52" i="10"/>
  <c r="O55" i="10"/>
  <c r="Q57" i="10"/>
  <c r="O60" i="10"/>
  <c r="Q62" i="10"/>
  <c r="O65" i="10"/>
  <c r="Q67" i="10"/>
  <c r="O70" i="10"/>
  <c r="Q72" i="10"/>
  <c r="O75" i="10"/>
  <c r="Q77" i="10"/>
  <c r="O80" i="10"/>
  <c r="Q82" i="10"/>
  <c r="O85" i="10"/>
  <c r="Q87" i="10"/>
  <c r="O90" i="10"/>
  <c r="Q92" i="10"/>
  <c r="O95" i="10"/>
  <c r="Q97" i="10"/>
  <c r="O100" i="10"/>
  <c r="Q102" i="10"/>
  <c r="O105" i="10"/>
  <c r="Q107" i="10"/>
  <c r="R2" i="10"/>
  <c r="P5" i="10"/>
  <c r="R7" i="10"/>
  <c r="P10" i="10"/>
  <c r="P15" i="10"/>
  <c r="R17" i="10"/>
  <c r="P20" i="10"/>
  <c r="R22" i="10"/>
  <c r="P25" i="10"/>
  <c r="P30" i="10"/>
  <c r="R32" i="10"/>
  <c r="P35" i="10"/>
  <c r="R37" i="10"/>
  <c r="P40" i="10"/>
  <c r="P45" i="10"/>
  <c r="R47" i="10"/>
  <c r="P50" i="10"/>
  <c r="R52" i="10"/>
  <c r="P55" i="10"/>
  <c r="P60" i="10"/>
  <c r="R62" i="10"/>
  <c r="P65" i="10"/>
  <c r="R67" i="10"/>
  <c r="P70" i="10"/>
  <c r="P75" i="10"/>
  <c r="R77" i="10"/>
  <c r="P80" i="10"/>
  <c r="R82" i="10"/>
  <c r="P85" i="10"/>
  <c r="P90" i="10"/>
  <c r="R92" i="10"/>
  <c r="P95" i="10"/>
  <c r="R97" i="10"/>
  <c r="P100" i="10"/>
  <c r="P105" i="10"/>
  <c r="R107" i="10"/>
  <c r="O108" i="10"/>
  <c r="Q10" i="10"/>
  <c r="Q15" i="10"/>
  <c r="Q25" i="10"/>
  <c r="Q30" i="10"/>
  <c r="Q40" i="10"/>
  <c r="Q45" i="10"/>
  <c r="Q55" i="10"/>
  <c r="Q60" i="10"/>
  <c r="Q70" i="10"/>
  <c r="Q75" i="10"/>
  <c r="Q85" i="10"/>
  <c r="Q90" i="10"/>
  <c r="Q100" i="10"/>
  <c r="Q105" i="10"/>
  <c r="P3" i="10"/>
  <c r="P8" i="10"/>
  <c r="P13" i="10"/>
  <c r="P18" i="10"/>
  <c r="P23" i="10"/>
  <c r="P28" i="10"/>
  <c r="P33" i="10"/>
  <c r="P38" i="10"/>
  <c r="P43" i="10"/>
  <c r="P48" i="10"/>
  <c r="P53" i="10"/>
  <c r="P58" i="10"/>
  <c r="P63" i="10"/>
  <c r="P68" i="10"/>
  <c r="P73" i="10"/>
  <c r="P78" i="10"/>
  <c r="P83" i="10"/>
  <c r="P88" i="10"/>
  <c r="P93" i="10"/>
  <c r="P98" i="10"/>
  <c r="P103" i="10"/>
  <c r="P108" i="10"/>
  <c r="Q3" i="10"/>
  <c r="O6" i="10"/>
  <c r="Q8" i="10"/>
  <c r="O11" i="10"/>
  <c r="Q13" i="10"/>
  <c r="O16" i="10"/>
  <c r="Q18" i="10"/>
  <c r="O21" i="10"/>
  <c r="Q23" i="10"/>
  <c r="O26" i="10"/>
  <c r="Q28" i="10"/>
  <c r="O31" i="10"/>
  <c r="Q33" i="10"/>
  <c r="O36" i="10"/>
  <c r="Q38" i="10"/>
  <c r="O41" i="10"/>
  <c r="Q43" i="10"/>
  <c r="O46" i="10"/>
  <c r="Q48" i="10"/>
  <c r="O51" i="10"/>
  <c r="Q53" i="10"/>
  <c r="O56" i="10"/>
  <c r="Q58" i="10"/>
  <c r="O61" i="10"/>
  <c r="Q63" i="10"/>
  <c r="O66" i="10"/>
  <c r="Q68" i="10"/>
  <c r="O71" i="10"/>
  <c r="Q73" i="10"/>
  <c r="O76" i="10"/>
  <c r="Q78" i="10"/>
  <c r="O81" i="10"/>
  <c r="Q83" i="10"/>
  <c r="O86" i="10"/>
  <c r="Q88" i="10"/>
  <c r="O91" i="10"/>
  <c r="Q93" i="10"/>
  <c r="O96" i="10"/>
  <c r="Q98" i="10"/>
  <c r="O101" i="10"/>
  <c r="Q103" i="10"/>
  <c r="O106" i="10"/>
  <c r="Q108" i="10"/>
  <c r="P6" i="10"/>
  <c r="P11" i="10"/>
  <c r="P16" i="10"/>
  <c r="P21" i="10"/>
  <c r="P26" i="10"/>
  <c r="P31" i="10"/>
  <c r="P36" i="10"/>
  <c r="P41" i="10"/>
  <c r="P46" i="10"/>
  <c r="P51" i="10"/>
  <c r="P56" i="10"/>
  <c r="P61" i="10"/>
  <c r="P66" i="10"/>
  <c r="P71" i="10"/>
  <c r="P76" i="10"/>
  <c r="P81" i="10"/>
  <c r="P86" i="10"/>
  <c r="P91" i="10"/>
  <c r="P96" i="10"/>
  <c r="P101" i="10"/>
  <c r="P106" i="10"/>
  <c r="O4" i="10"/>
  <c r="O9" i="10"/>
  <c r="O14" i="10"/>
  <c r="O19" i="10"/>
  <c r="O24" i="10"/>
  <c r="O29" i="10"/>
  <c r="O34" i="10"/>
  <c r="O39" i="10"/>
  <c r="O44" i="10"/>
  <c r="O49" i="10"/>
  <c r="O54" i="10"/>
  <c r="O59" i="10"/>
  <c r="O64" i="10"/>
  <c r="O69" i="10"/>
  <c r="O74" i="10"/>
  <c r="O79" i="10"/>
  <c r="O84" i="10"/>
  <c r="O89" i="10"/>
  <c r="O94" i="10"/>
  <c r="O99" i="10"/>
  <c r="O104" i="10"/>
  <c r="O109" i="10"/>
  <c r="P109" i="10"/>
  <c r="O2" i="10"/>
  <c r="Q4" i="10"/>
  <c r="O7" i="10"/>
  <c r="Q9" i="10"/>
  <c r="O12" i="10"/>
  <c r="Q14" i="10"/>
  <c r="O17" i="10"/>
  <c r="Q19" i="10"/>
  <c r="O22" i="10"/>
  <c r="Q24" i="10"/>
  <c r="O27" i="10"/>
  <c r="Q29" i="10"/>
  <c r="O32" i="10"/>
  <c r="Q34" i="10"/>
  <c r="O37" i="10"/>
  <c r="Q39" i="10"/>
  <c r="O42" i="10"/>
  <c r="Q44" i="10"/>
  <c r="O47" i="10"/>
  <c r="Q49" i="10"/>
  <c r="O52" i="10"/>
  <c r="Q54" i="10"/>
  <c r="O57" i="10"/>
  <c r="Q59" i="10"/>
  <c r="O62" i="10"/>
  <c r="Q64" i="10"/>
  <c r="O67" i="10"/>
  <c r="Q69" i="10"/>
  <c r="O72" i="10"/>
  <c r="Q74" i="10"/>
  <c r="O77" i="10"/>
  <c r="Q79" i="10"/>
  <c r="O82" i="10"/>
  <c r="Q84" i="10"/>
  <c r="O87" i="10"/>
  <c r="Q89" i="10"/>
  <c r="O92" i="10"/>
  <c r="Q94" i="10"/>
  <c r="O97" i="10"/>
  <c r="Q99" i="10"/>
  <c r="O102" i="10"/>
  <c r="Q104" i="10"/>
  <c r="O107" i="10"/>
  <c r="AA107" i="10" s="1"/>
  <c r="AB107" i="10" s="1"/>
  <c r="AC107" i="10" s="1"/>
  <c r="Q109" i="10"/>
  <c r="H101" i="10"/>
  <c r="H71" i="10"/>
  <c r="H41" i="10"/>
  <c r="H11" i="10"/>
  <c r="H92" i="10"/>
  <c r="H62" i="10"/>
  <c r="H32" i="10"/>
  <c r="H83" i="10"/>
  <c r="H53" i="10"/>
  <c r="H23" i="10"/>
  <c r="H104" i="10"/>
  <c r="H74" i="10"/>
  <c r="H44" i="10"/>
  <c r="H14" i="10"/>
  <c r="H95" i="10"/>
  <c r="H65" i="10"/>
  <c r="H35" i="10"/>
  <c r="H5" i="10"/>
  <c r="H86" i="10"/>
  <c r="H56" i="10"/>
  <c r="H26" i="10"/>
  <c r="H107" i="10"/>
  <c r="H77" i="10"/>
  <c r="H47" i="10"/>
  <c r="H17" i="10"/>
  <c r="H98" i="10"/>
  <c r="H68" i="10"/>
  <c r="H38" i="10"/>
  <c r="H8" i="10"/>
  <c r="H89" i="10"/>
  <c r="H59" i="10"/>
  <c r="H29" i="10"/>
  <c r="H80" i="10"/>
  <c r="H50" i="10"/>
  <c r="H20" i="10"/>
  <c r="H84" i="10"/>
  <c r="H54" i="10"/>
  <c r="H24" i="10"/>
  <c r="H105" i="10"/>
  <c r="H75" i="10"/>
  <c r="H45" i="10"/>
  <c r="H15" i="10"/>
  <c r="H96" i="10"/>
  <c r="H66" i="10"/>
  <c r="H36" i="10"/>
  <c r="H6" i="10"/>
  <c r="H87" i="10"/>
  <c r="H57" i="10"/>
  <c r="H27" i="10"/>
  <c r="H108" i="10"/>
  <c r="H78" i="10"/>
  <c r="H48" i="10"/>
  <c r="H18" i="10"/>
  <c r="H99" i="10"/>
  <c r="H69" i="10"/>
  <c r="H39" i="10"/>
  <c r="H9" i="10"/>
  <c r="H90" i="10"/>
  <c r="H60" i="10"/>
  <c r="H30" i="10"/>
  <c r="H81" i="10"/>
  <c r="H51" i="10"/>
  <c r="H21" i="10"/>
  <c r="H102" i="10"/>
  <c r="H72" i="10"/>
  <c r="H42" i="10"/>
  <c r="H12" i="10"/>
  <c r="H93" i="10"/>
  <c r="H63" i="10"/>
  <c r="H33" i="10"/>
  <c r="H3" i="10"/>
  <c r="J6" i="8"/>
  <c r="J202" i="8"/>
  <c r="J172" i="8"/>
  <c r="J165" i="8"/>
  <c r="J142" i="8"/>
  <c r="J112" i="8"/>
  <c r="J92" i="8"/>
  <c r="J35" i="8"/>
  <c r="J22" i="8"/>
  <c r="J196" i="8"/>
  <c r="J95" i="8"/>
  <c r="J176" i="8"/>
  <c r="J175" i="8"/>
  <c r="J82" i="8"/>
  <c r="J76" i="8"/>
  <c r="J62" i="8"/>
  <c r="J145" i="8"/>
  <c r="J61" i="8"/>
  <c r="J131" i="8"/>
  <c r="J32" i="8"/>
  <c r="J208" i="8"/>
  <c r="J115" i="8"/>
  <c r="J25" i="8"/>
  <c r="J211" i="8"/>
  <c r="J181" i="8"/>
  <c r="J146" i="8"/>
  <c r="J45" i="8"/>
  <c r="J206" i="8"/>
  <c r="J106" i="8"/>
  <c r="J75" i="8"/>
  <c r="J205" i="8"/>
  <c r="J136" i="8"/>
  <c r="J105" i="8"/>
  <c r="J65" i="8"/>
  <c r="J31" i="8"/>
  <c r="J166" i="8"/>
  <c r="J135" i="8"/>
  <c r="J101" i="8"/>
  <c r="J26" i="8"/>
  <c r="J195" i="8"/>
  <c r="J161" i="8"/>
  <c r="J125" i="8"/>
  <c r="J56" i="8"/>
  <c r="J191" i="8"/>
  <c r="J155" i="8"/>
  <c r="J122" i="8"/>
  <c r="J91" i="8"/>
  <c r="J55" i="8"/>
  <c r="J16" i="8"/>
  <c r="J215" i="8"/>
  <c r="J185" i="8"/>
  <c r="J152" i="8"/>
  <c r="J121" i="8"/>
  <c r="J86" i="8"/>
  <c r="J52" i="8"/>
  <c r="J15" i="8"/>
  <c r="J212" i="8"/>
  <c r="J182" i="8"/>
  <c r="J151" i="8"/>
  <c r="J116" i="8"/>
  <c r="J85" i="8"/>
  <c r="J46" i="8"/>
  <c r="J5" i="8"/>
  <c r="J192" i="8"/>
  <c r="J162" i="8"/>
  <c r="J132" i="8"/>
  <c r="J102" i="8"/>
  <c r="J72" i="8"/>
  <c r="J42" i="8"/>
  <c r="J12" i="8"/>
  <c r="J186" i="8"/>
  <c r="J126" i="8"/>
  <c r="J66" i="8"/>
  <c r="J201" i="8"/>
  <c r="J171" i="8"/>
  <c r="J141" i="8"/>
  <c r="J111" i="8"/>
  <c r="J81" i="8"/>
  <c r="J71" i="8"/>
  <c r="J51" i="8"/>
  <c r="J41" i="8"/>
  <c r="J21" i="8"/>
  <c r="J11" i="8"/>
  <c r="J210" i="8"/>
  <c r="J200" i="8"/>
  <c r="J190" i="8"/>
  <c r="J180" i="8"/>
  <c r="J170" i="8"/>
  <c r="J160" i="8"/>
  <c r="J150" i="8"/>
  <c r="J140" i="8"/>
  <c r="J130" i="8"/>
  <c r="J120" i="8"/>
  <c r="J110" i="8"/>
  <c r="J100" i="8"/>
  <c r="J90" i="8"/>
  <c r="J80" i="8"/>
  <c r="J70" i="8"/>
  <c r="J60" i="8"/>
  <c r="J50" i="8"/>
  <c r="J40" i="8"/>
  <c r="J30" i="8"/>
  <c r="J20" i="8"/>
  <c r="J10" i="8"/>
  <c r="J209" i="8"/>
  <c r="J199" i="8"/>
  <c r="J189" i="8"/>
  <c r="J179" i="8"/>
  <c r="J169" i="8"/>
  <c r="J159" i="8"/>
  <c r="J149" i="8"/>
  <c r="J139" i="8"/>
  <c r="J129" i="8"/>
  <c r="J119" i="8"/>
  <c r="J109" i="8"/>
  <c r="J99" i="8"/>
  <c r="J89" i="8"/>
  <c r="J79" i="8"/>
  <c r="J69" i="8"/>
  <c r="J59" i="8"/>
  <c r="J49" i="8"/>
  <c r="J39" i="8"/>
  <c r="J29" i="8"/>
  <c r="J19" i="8"/>
  <c r="J9" i="8"/>
  <c r="J2" i="8"/>
  <c r="J198" i="8"/>
  <c r="J188" i="8"/>
  <c r="J178" i="8"/>
  <c r="J168" i="8"/>
  <c r="J158" i="8"/>
  <c r="J148" i="8"/>
  <c r="J138" i="8"/>
  <c r="J128" i="8"/>
  <c r="J118" i="8"/>
  <c r="J108" i="8"/>
  <c r="J98" i="8"/>
  <c r="J88" i="8"/>
  <c r="J78" i="8"/>
  <c r="J68" i="8"/>
  <c r="J58" i="8"/>
  <c r="J48" i="8"/>
  <c r="J38" i="8"/>
  <c r="J28" i="8"/>
  <c r="J18" i="8"/>
  <c r="J8" i="8"/>
  <c r="J36" i="8"/>
  <c r="J217" i="8"/>
  <c r="J207" i="8"/>
  <c r="J197" i="8"/>
  <c r="J187" i="8"/>
  <c r="J177" i="8"/>
  <c r="J167" i="8"/>
  <c r="J157" i="8"/>
  <c r="J147" i="8"/>
  <c r="J137" i="8"/>
  <c r="J127" i="8"/>
  <c r="J117" i="8"/>
  <c r="J107" i="8"/>
  <c r="J97" i="8"/>
  <c r="J87" i="8"/>
  <c r="J77" i="8"/>
  <c r="J67" i="8"/>
  <c r="J57" i="8"/>
  <c r="J47" i="8"/>
  <c r="J37" i="8"/>
  <c r="J27" i="8"/>
  <c r="J17" i="8"/>
  <c r="J7" i="8"/>
  <c r="J216" i="8"/>
  <c r="J214" i="8"/>
  <c r="J204" i="8"/>
  <c r="J194" i="8"/>
  <c r="J184" i="8"/>
  <c r="J174" i="8"/>
  <c r="J164" i="8"/>
  <c r="J154" i="8"/>
  <c r="J144" i="8"/>
  <c r="J134" i="8"/>
  <c r="J124" i="8"/>
  <c r="J114" i="8"/>
  <c r="J104" i="8"/>
  <c r="J94" i="8"/>
  <c r="J84" i="8"/>
  <c r="J74" i="8"/>
  <c r="J64" i="8"/>
  <c r="J54" i="8"/>
  <c r="J44" i="8"/>
  <c r="J34" i="8"/>
  <c r="J24" i="8"/>
  <c r="J14" i="8"/>
  <c r="J4" i="8"/>
  <c r="J156" i="8"/>
  <c r="J96" i="8"/>
  <c r="J213" i="8"/>
  <c r="J203" i="8"/>
  <c r="J193" i="8"/>
  <c r="J183" i="8"/>
  <c r="J173" i="8"/>
  <c r="J163" i="8"/>
  <c r="J153" i="8"/>
  <c r="J143" i="8"/>
  <c r="J133" i="8"/>
  <c r="J123" i="8"/>
  <c r="J113" i="8"/>
  <c r="J103" i="8"/>
  <c r="J93" i="8"/>
  <c r="J83" i="8"/>
  <c r="J73" i="8"/>
  <c r="J63" i="8"/>
  <c r="J53" i="8"/>
  <c r="J43" i="8"/>
  <c r="J33" i="8"/>
  <c r="J23" i="8"/>
  <c r="J13" i="8"/>
  <c r="J3" i="8"/>
  <c r="N96" i="8"/>
  <c r="O96" i="8" s="1"/>
  <c r="N80" i="8"/>
  <c r="O80" i="8" s="1"/>
  <c r="N208" i="8"/>
  <c r="O208" i="8" s="1"/>
  <c r="N209" i="8"/>
  <c r="O209" i="8" s="1"/>
  <c r="N158" i="8"/>
  <c r="O158" i="8" s="1"/>
  <c r="N98" i="8"/>
  <c r="O98" i="8" s="1"/>
  <c r="N38" i="8"/>
  <c r="O38" i="8" s="1"/>
  <c r="N200" i="8"/>
  <c r="O200" i="8" s="1"/>
  <c r="N26" i="8"/>
  <c r="O26" i="8" s="1"/>
  <c r="N188" i="8"/>
  <c r="O188" i="8" s="1"/>
  <c r="N128" i="8"/>
  <c r="O128" i="8" s="1"/>
  <c r="N110" i="8"/>
  <c r="O110" i="8" s="1"/>
  <c r="N50" i="8"/>
  <c r="O50" i="8" s="1"/>
  <c r="N134" i="8"/>
  <c r="O134" i="8" s="1"/>
  <c r="N74" i="8"/>
  <c r="O74" i="8" s="1"/>
  <c r="N14" i="8"/>
  <c r="O14" i="8" s="1"/>
  <c r="N211" i="8"/>
  <c r="O211" i="8" s="1"/>
  <c r="N151" i="8"/>
  <c r="O151" i="8" s="1"/>
  <c r="N91" i="8"/>
  <c r="O91" i="8" s="1"/>
  <c r="N67" i="8"/>
  <c r="O67" i="8" s="1"/>
  <c r="N7" i="8"/>
  <c r="O7" i="8" s="1"/>
  <c r="N193" i="8"/>
  <c r="O193" i="8" s="1"/>
  <c r="N133" i="8"/>
  <c r="O133" i="8" s="1"/>
  <c r="N175" i="8"/>
  <c r="O175" i="8" s="1"/>
  <c r="N115" i="8"/>
  <c r="O115" i="8" s="1"/>
  <c r="N43" i="8"/>
  <c r="O43" i="8" s="1"/>
  <c r="N31" i="8"/>
  <c r="O31" i="8" s="1"/>
  <c r="N217" i="8"/>
  <c r="O217" i="8" s="1"/>
  <c r="N157" i="8"/>
  <c r="O157" i="8" s="1"/>
  <c r="N97" i="8"/>
  <c r="O97" i="8" s="1"/>
  <c r="N61" i="8"/>
  <c r="O61" i="8" s="1"/>
  <c r="N13" i="8"/>
  <c r="O13" i="8" s="1"/>
  <c r="N199" i="8"/>
  <c r="O199" i="8" s="1"/>
  <c r="N139" i="8"/>
  <c r="O139" i="8" s="1"/>
  <c r="N79" i="8"/>
  <c r="O79" i="8" s="1"/>
  <c r="N55" i="8"/>
  <c r="O55" i="8" s="1"/>
  <c r="N181" i="8"/>
  <c r="O181" i="8" s="1"/>
  <c r="N121" i="8"/>
  <c r="O121" i="8" s="1"/>
  <c r="N37" i="8"/>
  <c r="O37" i="8" s="1"/>
  <c r="N19" i="8"/>
  <c r="O19" i="8" s="1"/>
  <c r="N163" i="8"/>
  <c r="O163" i="8" s="1"/>
  <c r="N103" i="8"/>
  <c r="O103" i="8" s="1"/>
  <c r="N205" i="8"/>
  <c r="O205" i="8" s="1"/>
  <c r="N145" i="8"/>
  <c r="O145" i="8" s="1"/>
  <c r="N85" i="8"/>
  <c r="O85" i="8" s="1"/>
  <c r="N73" i="8"/>
  <c r="O73" i="8" s="1"/>
  <c r="N187" i="8"/>
  <c r="O187" i="8" s="1"/>
  <c r="N127" i="8"/>
  <c r="O127" i="8" s="1"/>
  <c r="N169" i="8"/>
  <c r="O169" i="8" s="1"/>
  <c r="N109" i="8"/>
  <c r="O109" i="8" s="1"/>
  <c r="N49" i="8"/>
  <c r="O49" i="8" s="1"/>
  <c r="N25" i="8"/>
  <c r="O25" i="8" s="1"/>
  <c r="N174" i="8"/>
  <c r="O174" i="8" s="1"/>
  <c r="N114" i="8"/>
  <c r="O114" i="8" s="1"/>
  <c r="N54" i="8"/>
  <c r="O54" i="8" s="1"/>
  <c r="N216" i="8"/>
  <c r="O216" i="8" s="1"/>
  <c r="N156" i="8"/>
  <c r="O156" i="8" s="1"/>
  <c r="N36" i="8"/>
  <c r="O36" i="8" s="1"/>
  <c r="N198" i="8"/>
  <c r="O198" i="8" s="1"/>
  <c r="N138" i="8"/>
  <c r="O138" i="8" s="1"/>
  <c r="N78" i="8"/>
  <c r="O78" i="8" s="1"/>
  <c r="N18" i="8"/>
  <c r="O18" i="8" s="1"/>
  <c r="N180" i="8"/>
  <c r="O180" i="8" s="1"/>
  <c r="N120" i="8"/>
  <c r="O120" i="8" s="1"/>
  <c r="N60" i="8"/>
  <c r="O60" i="8" s="1"/>
  <c r="N162" i="8"/>
  <c r="O162" i="8" s="1"/>
  <c r="N42" i="8"/>
  <c r="O42" i="8" s="1"/>
  <c r="N204" i="8"/>
  <c r="O204" i="8" s="1"/>
  <c r="N144" i="8"/>
  <c r="O144" i="8" s="1"/>
  <c r="N84" i="8"/>
  <c r="O84" i="8" s="1"/>
  <c r="N24" i="8"/>
  <c r="O24" i="8" s="1"/>
  <c r="N186" i="8"/>
  <c r="O186" i="8" s="1"/>
  <c r="N126" i="8"/>
  <c r="O126" i="8" s="1"/>
  <c r="N66" i="8"/>
  <c r="O66" i="8" s="1"/>
  <c r="N6" i="8"/>
  <c r="O6" i="8" s="1"/>
  <c r="N108" i="8"/>
  <c r="O108" i="8" s="1"/>
  <c r="N48" i="8"/>
  <c r="O48" i="8" s="1"/>
  <c r="N210" i="8"/>
  <c r="O210" i="8" s="1"/>
  <c r="N150" i="8"/>
  <c r="O150" i="8" s="1"/>
  <c r="N90" i="8"/>
  <c r="O90" i="8" s="1"/>
  <c r="N30" i="8"/>
  <c r="O30" i="8" s="1"/>
  <c r="N192" i="8"/>
  <c r="O192" i="8" s="1"/>
  <c r="N132" i="8"/>
  <c r="O132" i="8" s="1"/>
  <c r="N72" i="8"/>
  <c r="O72" i="8" s="1"/>
  <c r="N65" i="8"/>
  <c r="O65" i="8" s="1"/>
  <c r="N173" i="8"/>
  <c r="O173" i="8" s="1"/>
  <c r="N113" i="8"/>
  <c r="O113" i="8" s="1"/>
  <c r="N95" i="8"/>
  <c r="O95" i="8" s="1"/>
  <c r="N35" i="8"/>
  <c r="O35" i="8" s="1"/>
  <c r="N197" i="8"/>
  <c r="O197" i="8" s="1"/>
  <c r="N161" i="8"/>
  <c r="O161" i="8" s="1"/>
  <c r="N41" i="8"/>
  <c r="O41" i="8" s="1"/>
  <c r="N195" i="8"/>
  <c r="O195" i="8" s="1"/>
  <c r="N135" i="8"/>
  <c r="O135" i="8" s="1"/>
  <c r="N75" i="8"/>
  <c r="O75" i="8" s="1"/>
  <c r="N15" i="8"/>
  <c r="O15" i="8" s="1"/>
  <c r="N177" i="8"/>
  <c r="O177" i="8" s="1"/>
  <c r="N117" i="8"/>
  <c r="O117" i="8" s="1"/>
  <c r="N57" i="8"/>
  <c r="O57" i="8" s="1"/>
  <c r="N159" i="8"/>
  <c r="O159" i="8" s="1"/>
  <c r="N99" i="8"/>
  <c r="O99" i="8" s="1"/>
  <c r="N39" i="8"/>
  <c r="O39" i="8" s="1"/>
  <c r="N201" i="8"/>
  <c r="O201" i="8" s="1"/>
  <c r="N141" i="8"/>
  <c r="O141" i="8" s="1"/>
  <c r="N81" i="8"/>
  <c r="O81" i="8" s="1"/>
  <c r="N21" i="8"/>
  <c r="O21" i="8" s="1"/>
  <c r="N183" i="8"/>
  <c r="O183" i="8" s="1"/>
  <c r="N123" i="8"/>
  <c r="O123" i="8" s="1"/>
  <c r="N63" i="8"/>
  <c r="O63" i="8" s="1"/>
  <c r="N3" i="8"/>
  <c r="O3" i="8" s="1"/>
  <c r="N165" i="8"/>
  <c r="O165" i="8" s="1"/>
  <c r="N105" i="8"/>
  <c r="O105" i="8" s="1"/>
  <c r="N45" i="8"/>
  <c r="O45" i="8" s="1"/>
  <c r="N207" i="8"/>
  <c r="O207" i="8" s="1"/>
  <c r="N147" i="8"/>
  <c r="O147" i="8" s="1"/>
  <c r="N87" i="8"/>
  <c r="O87" i="8" s="1"/>
  <c r="N27" i="8"/>
  <c r="O27" i="8" s="1"/>
  <c r="N189" i="8"/>
  <c r="O189" i="8" s="1"/>
  <c r="N129" i="8"/>
  <c r="O129" i="8" s="1"/>
  <c r="N69" i="8"/>
  <c r="O69" i="8" s="1"/>
  <c r="N9" i="8"/>
  <c r="O9" i="8" s="1"/>
  <c r="N171" i="8"/>
  <c r="O171" i="8" s="1"/>
  <c r="N111" i="8"/>
  <c r="O111" i="8" s="1"/>
  <c r="N51" i="8"/>
  <c r="O51" i="8" s="1"/>
  <c r="N213" i="8"/>
  <c r="O213" i="8" s="1"/>
  <c r="N153" i="8"/>
  <c r="O153" i="8" s="1"/>
  <c r="N93" i="8"/>
  <c r="O93" i="8" s="1"/>
  <c r="N33" i="8"/>
  <c r="O33" i="8" s="1"/>
  <c r="N28" i="8"/>
  <c r="O28" i="8" s="1"/>
  <c r="N190" i="8"/>
  <c r="O190" i="8" s="1"/>
  <c r="N130" i="8"/>
  <c r="O130" i="8" s="1"/>
  <c r="N70" i="8"/>
  <c r="O70" i="8" s="1"/>
  <c r="N10" i="8"/>
  <c r="O10" i="8" s="1"/>
  <c r="N172" i="8"/>
  <c r="O172" i="8" s="1"/>
  <c r="N112" i="8"/>
  <c r="O112" i="8" s="1"/>
  <c r="N94" i="8"/>
  <c r="O94" i="8" s="1"/>
  <c r="N34" i="8"/>
  <c r="O34" i="8" s="1"/>
  <c r="N196" i="8"/>
  <c r="O196" i="8" s="1"/>
  <c r="N136" i="8"/>
  <c r="O136" i="8" s="1"/>
  <c r="N76" i="8"/>
  <c r="O76" i="8" s="1"/>
  <c r="N16" i="8"/>
  <c r="O16" i="8" s="1"/>
  <c r="N178" i="8"/>
  <c r="O178" i="8" s="1"/>
  <c r="N100" i="8"/>
  <c r="O100" i="8" s="1"/>
  <c r="N40" i="8"/>
  <c r="O40" i="8" s="1"/>
  <c r="N202" i="8"/>
  <c r="O202" i="8" s="1"/>
  <c r="N142" i="8"/>
  <c r="O142" i="8" s="1"/>
  <c r="N82" i="8"/>
  <c r="O82" i="8" s="1"/>
  <c r="N22" i="8"/>
  <c r="O22" i="8" s="1"/>
  <c r="N184" i="8"/>
  <c r="O184" i="8" s="1"/>
  <c r="N166" i="8"/>
  <c r="O166" i="8" s="1"/>
  <c r="N106" i="8"/>
  <c r="O106" i="8" s="1"/>
  <c r="N46" i="8"/>
  <c r="O46" i="8" s="1"/>
  <c r="Y13" i="6"/>
  <c r="W13" i="6"/>
  <c r="V13" i="6"/>
  <c r="X13" i="6"/>
  <c r="U13" i="6"/>
  <c r="T13" i="6"/>
  <c r="AA104" i="10" l="1"/>
  <c r="AB104" i="10" s="1"/>
  <c r="AC104" i="10" s="1"/>
  <c r="AA106" i="10"/>
  <c r="AB106" i="10" s="1"/>
  <c r="AC106" i="10" s="1"/>
  <c r="AA109" i="10"/>
  <c r="AB109" i="10" s="1"/>
  <c r="AC109" i="10" s="1"/>
  <c r="AA108" i="10"/>
  <c r="AB108" i="10" s="1"/>
  <c r="AC108" i="10" s="1"/>
  <c r="AA105" i="10"/>
  <c r="AB105" i="10" s="1"/>
  <c r="AC105" i="10" s="1"/>
  <c r="H109" i="10"/>
  <c r="H79" i="10"/>
  <c r="H49" i="10"/>
  <c r="H19" i="10"/>
  <c r="H100" i="10"/>
  <c r="H70" i="10"/>
  <c r="H40" i="10"/>
  <c r="H10" i="10"/>
  <c r="H91" i="10"/>
  <c r="H61" i="10"/>
  <c r="H31" i="10"/>
  <c r="H82" i="10"/>
  <c r="H52" i="10"/>
  <c r="H22" i="10"/>
  <c r="H103" i="10"/>
  <c r="H73" i="10"/>
  <c r="H43" i="10"/>
  <c r="H13" i="10"/>
  <c r="H94" i="10"/>
  <c r="H64" i="10"/>
  <c r="H34" i="10"/>
  <c r="H4" i="10"/>
  <c r="H85" i="10"/>
  <c r="H55" i="10"/>
  <c r="H25" i="10"/>
  <c r="H106" i="10"/>
  <c r="H76" i="10"/>
  <c r="H46" i="10"/>
  <c r="H16" i="10"/>
  <c r="H97" i="10"/>
  <c r="H67" i="10"/>
  <c r="H37" i="10"/>
  <c r="H7" i="10"/>
  <c r="H88" i="10"/>
  <c r="H58" i="10"/>
  <c r="H28" i="10"/>
  <c r="N125" i="8"/>
  <c r="O125" i="8" s="1"/>
  <c r="N12" i="8"/>
  <c r="O12" i="8" s="1"/>
  <c r="N168" i="8"/>
  <c r="O168" i="8" s="1"/>
  <c r="N102" i="8"/>
  <c r="O102" i="8" s="1"/>
  <c r="N206" i="8"/>
  <c r="O206" i="8" s="1"/>
  <c r="N44" i="8"/>
  <c r="O44" i="8" s="1"/>
  <c r="N160" i="8"/>
  <c r="O160" i="8" s="1"/>
  <c r="N154" i="8"/>
  <c r="O154" i="8" s="1"/>
  <c r="N88" i="8"/>
  <c r="O88" i="8" s="1"/>
  <c r="N83" i="8"/>
  <c r="O83" i="8" s="1"/>
  <c r="N89" i="8"/>
  <c r="O89" i="8" s="1"/>
  <c r="N194" i="8"/>
  <c r="O194" i="8" s="1"/>
  <c r="N104" i="8"/>
  <c r="O104" i="8" s="1"/>
  <c r="N64" i="8"/>
  <c r="O64" i="8" s="1"/>
  <c r="N58" i="8"/>
  <c r="O58" i="8" s="1"/>
  <c r="N214" i="8"/>
  <c r="O214" i="8" s="1"/>
  <c r="N148" i="8"/>
  <c r="O148" i="8" s="1"/>
  <c r="N143" i="8"/>
  <c r="O143" i="8" s="1"/>
  <c r="N167" i="8"/>
  <c r="O167" i="8" s="1"/>
  <c r="N32" i="8"/>
  <c r="O32" i="8" s="1"/>
  <c r="N164" i="8"/>
  <c r="O164" i="8" s="1"/>
  <c r="N4" i="8"/>
  <c r="O4" i="8" s="1"/>
  <c r="N124" i="8"/>
  <c r="O124" i="8" s="1"/>
  <c r="N118" i="8"/>
  <c r="O118" i="8" s="1"/>
  <c r="N52" i="8"/>
  <c r="O52" i="8" s="1"/>
  <c r="N203" i="8"/>
  <c r="O203" i="8" s="1"/>
  <c r="N5" i="8"/>
  <c r="O5" i="8" s="1"/>
  <c r="N92" i="8"/>
  <c r="O92" i="8" s="1"/>
  <c r="N2" i="8"/>
  <c r="O2" i="8" s="1"/>
  <c r="N59" i="8"/>
  <c r="O59" i="8" s="1"/>
  <c r="N11" i="8"/>
  <c r="O11" i="8" s="1"/>
  <c r="N185" i="8"/>
  <c r="O185" i="8" s="1"/>
  <c r="N71" i="8"/>
  <c r="O71" i="8" s="1"/>
  <c r="N17" i="8"/>
  <c r="O17" i="8" s="1"/>
  <c r="N77" i="8"/>
  <c r="O77" i="8" s="1"/>
  <c r="N191" i="8"/>
  <c r="O191" i="8" s="1"/>
  <c r="N116" i="8"/>
  <c r="O116" i="8" s="1"/>
  <c r="N170" i="8"/>
  <c r="O170" i="8" s="1"/>
  <c r="N62" i="8"/>
  <c r="O62" i="8" s="1"/>
  <c r="N179" i="8"/>
  <c r="O179" i="8" s="1"/>
  <c r="N131" i="8"/>
  <c r="O131" i="8" s="1"/>
  <c r="N23" i="8"/>
  <c r="O23" i="8" s="1"/>
  <c r="N137" i="8"/>
  <c r="O137" i="8" s="1"/>
  <c r="N29" i="8"/>
  <c r="O29" i="8" s="1"/>
  <c r="N176" i="8"/>
  <c r="O176" i="8" s="1"/>
  <c r="N8" i="8"/>
  <c r="O8" i="8" s="1"/>
  <c r="N140" i="8"/>
  <c r="O140" i="8" s="1"/>
  <c r="N47" i="8"/>
  <c r="O47" i="8" s="1"/>
  <c r="N101" i="8"/>
  <c r="O101" i="8" s="1"/>
  <c r="N155" i="8"/>
  <c r="O155" i="8" s="1"/>
  <c r="N107" i="8"/>
  <c r="O107" i="8" s="1"/>
  <c r="N68" i="8"/>
  <c r="O68" i="8" s="1"/>
  <c r="N122" i="8"/>
  <c r="O122" i="8" s="1"/>
  <c r="N182" i="8"/>
  <c r="O182" i="8" s="1"/>
  <c r="N215" i="8"/>
  <c r="O215" i="8" s="1"/>
  <c r="N149" i="8"/>
  <c r="O149" i="8" s="1"/>
  <c r="N152" i="8"/>
  <c r="O152" i="8" s="1"/>
  <c r="N86" i="8"/>
  <c r="O86" i="8" s="1"/>
  <c r="N20" i="8"/>
  <c r="O20" i="8" s="1"/>
  <c r="N119" i="8"/>
  <c r="O119" i="8" s="1"/>
  <c r="N53" i="8"/>
  <c r="O53" i="8" s="1"/>
  <c r="N56" i="8"/>
  <c r="O56" i="8" s="1"/>
  <c r="N212" i="8"/>
  <c r="O212" i="8" s="1"/>
  <c r="N146" i="8"/>
  <c r="O146" i="8" s="1"/>
  <c r="L139" i="6"/>
  <c r="M139" i="6" s="1"/>
  <c r="L129" i="6"/>
  <c r="M129" i="6" s="1"/>
  <c r="L119" i="6"/>
  <c r="M119" i="6" s="1"/>
  <c r="L144" i="6"/>
  <c r="M144" i="6" s="1"/>
  <c r="L134" i="6"/>
  <c r="M134" i="6" s="1"/>
  <c r="L124" i="6"/>
  <c r="M124" i="6" s="1"/>
  <c r="L114" i="6"/>
  <c r="M114" i="6" s="1"/>
  <c r="L141" i="6"/>
  <c r="M141" i="6" s="1"/>
  <c r="L128" i="6"/>
  <c r="M128" i="6" s="1"/>
  <c r="L116" i="6"/>
  <c r="M116" i="6" s="1"/>
  <c r="L140" i="6"/>
  <c r="M140" i="6" s="1"/>
  <c r="L127" i="6"/>
  <c r="M127" i="6" s="1"/>
  <c r="L115" i="6"/>
  <c r="M115" i="6" s="1"/>
  <c r="L138" i="6"/>
  <c r="M138" i="6" s="1"/>
  <c r="L126" i="6"/>
  <c r="M126" i="6" s="1"/>
  <c r="L113" i="6"/>
  <c r="M113" i="6" s="1"/>
  <c r="L137" i="6"/>
  <c r="M137" i="6" s="1"/>
  <c r="L125" i="6"/>
  <c r="M125" i="6" s="1"/>
  <c r="L112" i="6"/>
  <c r="M112" i="6" s="1"/>
  <c r="L136" i="6"/>
  <c r="M136" i="6" s="1"/>
  <c r="L123" i="6"/>
  <c r="M123" i="6" s="1"/>
  <c r="L111" i="6"/>
  <c r="M111" i="6" s="1"/>
  <c r="L135" i="6"/>
  <c r="M135" i="6" s="1"/>
  <c r="L122" i="6"/>
  <c r="M122" i="6" s="1"/>
  <c r="L110" i="6"/>
  <c r="M110" i="6" s="1"/>
  <c r="L133" i="6"/>
  <c r="M133" i="6" s="1"/>
  <c r="L121" i="6"/>
  <c r="M121" i="6" s="1"/>
  <c r="L145" i="6"/>
  <c r="M145" i="6" s="1"/>
  <c r="L132" i="6"/>
  <c r="M132" i="6" s="1"/>
  <c r="L120" i="6"/>
  <c r="M120" i="6" s="1"/>
  <c r="L143" i="6"/>
  <c r="M143" i="6" s="1"/>
  <c r="L131" i="6"/>
  <c r="M131" i="6" s="1"/>
  <c r="L118" i="6"/>
  <c r="M118" i="6" s="1"/>
  <c r="L142" i="6"/>
  <c r="M142" i="6" s="1"/>
  <c r="L130" i="6"/>
  <c r="M130" i="6" s="1"/>
  <c r="L117" i="6"/>
  <c r="M117" i="6" s="1"/>
  <c r="L69" i="6"/>
  <c r="M69" i="6" s="1"/>
  <c r="L59" i="6"/>
  <c r="M59" i="6" s="1"/>
  <c r="L49" i="6"/>
  <c r="M49" i="6" s="1"/>
  <c r="L39" i="6"/>
  <c r="M39" i="6" s="1"/>
  <c r="L71" i="6"/>
  <c r="M71" i="6" s="1"/>
  <c r="L60" i="6"/>
  <c r="M60" i="6" s="1"/>
  <c r="L48" i="6"/>
  <c r="M48" i="6" s="1"/>
  <c r="L70" i="6"/>
  <c r="M70" i="6" s="1"/>
  <c r="L58" i="6"/>
  <c r="M58" i="6" s="1"/>
  <c r="L47" i="6"/>
  <c r="M47" i="6" s="1"/>
  <c r="L68" i="6"/>
  <c r="M68" i="6" s="1"/>
  <c r="L57" i="6"/>
  <c r="M57" i="6" s="1"/>
  <c r="L46" i="6"/>
  <c r="M46" i="6" s="1"/>
  <c r="L67" i="6"/>
  <c r="M67" i="6" s="1"/>
  <c r="L56" i="6"/>
  <c r="M56" i="6" s="1"/>
  <c r="L45" i="6"/>
  <c r="M45" i="6" s="1"/>
  <c r="L66" i="6"/>
  <c r="M66" i="6" s="1"/>
  <c r="L55" i="6"/>
  <c r="M55" i="6" s="1"/>
  <c r="L44" i="6"/>
  <c r="M44" i="6" s="1"/>
  <c r="L65" i="6"/>
  <c r="M65" i="6" s="1"/>
  <c r="L54" i="6"/>
  <c r="M54" i="6" s="1"/>
  <c r="L43" i="6"/>
  <c r="M43" i="6" s="1"/>
  <c r="L64" i="6"/>
  <c r="M64" i="6" s="1"/>
  <c r="L53" i="6"/>
  <c r="M53" i="6" s="1"/>
  <c r="L42" i="6"/>
  <c r="M42" i="6" s="1"/>
  <c r="L63" i="6"/>
  <c r="M63" i="6" s="1"/>
  <c r="L52" i="6"/>
  <c r="M52" i="6" s="1"/>
  <c r="L41" i="6"/>
  <c r="M41" i="6" s="1"/>
  <c r="L73" i="6"/>
  <c r="M73" i="6" s="1"/>
  <c r="L62" i="6"/>
  <c r="M62" i="6" s="1"/>
  <c r="L51" i="6"/>
  <c r="M51" i="6" s="1"/>
  <c r="L40" i="6"/>
  <c r="M40" i="6" s="1"/>
  <c r="L72" i="6"/>
  <c r="M72" i="6" s="1"/>
  <c r="L61" i="6"/>
  <c r="M61" i="6" s="1"/>
  <c r="L50" i="6"/>
  <c r="M50" i="6" s="1"/>
  <c r="L38" i="6"/>
  <c r="M38" i="6" s="1"/>
  <c r="L172" i="6"/>
  <c r="M172" i="6" s="1"/>
  <c r="L162" i="6"/>
  <c r="M162" i="6" s="1"/>
  <c r="L180" i="6"/>
  <c r="M180" i="6" s="1"/>
  <c r="L170" i="6"/>
  <c r="M170" i="6" s="1"/>
  <c r="L179" i="6"/>
  <c r="M179" i="6" s="1"/>
  <c r="L169" i="6"/>
  <c r="M169" i="6" s="1"/>
  <c r="L159" i="6"/>
  <c r="M159" i="6" s="1"/>
  <c r="L149" i="6"/>
  <c r="M149" i="6" s="1"/>
  <c r="L178" i="6"/>
  <c r="M178" i="6" s="1"/>
  <c r="L175" i="6"/>
  <c r="M175" i="6" s="1"/>
  <c r="L174" i="6"/>
  <c r="M174" i="6" s="1"/>
  <c r="L164" i="6"/>
  <c r="M164" i="6" s="1"/>
  <c r="L154" i="6"/>
  <c r="M154" i="6" s="1"/>
  <c r="L167" i="6"/>
  <c r="M167" i="6" s="1"/>
  <c r="L153" i="6"/>
  <c r="M153" i="6" s="1"/>
  <c r="L166" i="6"/>
  <c r="M166" i="6" s="1"/>
  <c r="L152" i="6"/>
  <c r="M152" i="6" s="1"/>
  <c r="L165" i="6"/>
  <c r="M165" i="6" s="1"/>
  <c r="L151" i="6"/>
  <c r="M151" i="6" s="1"/>
  <c r="L163" i="6"/>
  <c r="M163" i="6" s="1"/>
  <c r="L150" i="6"/>
  <c r="M150" i="6" s="1"/>
  <c r="L181" i="6"/>
  <c r="M181" i="6" s="1"/>
  <c r="L161" i="6"/>
  <c r="M161" i="6" s="1"/>
  <c r="L148" i="6"/>
  <c r="M148" i="6" s="1"/>
  <c r="L177" i="6"/>
  <c r="M177" i="6" s="1"/>
  <c r="L160" i="6"/>
  <c r="M160" i="6" s="1"/>
  <c r="L147" i="6"/>
  <c r="M147" i="6" s="1"/>
  <c r="L176" i="6"/>
  <c r="M176" i="6" s="1"/>
  <c r="L158" i="6"/>
  <c r="M158" i="6" s="1"/>
  <c r="L146" i="6"/>
  <c r="M146" i="6" s="1"/>
  <c r="L173" i="6"/>
  <c r="M173" i="6" s="1"/>
  <c r="L157" i="6"/>
  <c r="M157" i="6" s="1"/>
  <c r="L171" i="6"/>
  <c r="M171" i="6" s="1"/>
  <c r="L156" i="6"/>
  <c r="M156" i="6" s="1"/>
  <c r="L168" i="6"/>
  <c r="M168" i="6" s="1"/>
  <c r="L155" i="6"/>
  <c r="M155" i="6" s="1"/>
  <c r="L109" i="6"/>
  <c r="M109" i="6" s="1"/>
  <c r="L99" i="6"/>
  <c r="M99" i="6" s="1"/>
  <c r="L89" i="6"/>
  <c r="M89" i="6" s="1"/>
  <c r="L79" i="6"/>
  <c r="M79" i="6" s="1"/>
  <c r="L104" i="6"/>
  <c r="M104" i="6" s="1"/>
  <c r="L93" i="6"/>
  <c r="M93" i="6" s="1"/>
  <c r="L82" i="6"/>
  <c r="M82" i="6" s="1"/>
  <c r="L103" i="6"/>
  <c r="M103" i="6" s="1"/>
  <c r="L92" i="6"/>
  <c r="M92" i="6" s="1"/>
  <c r="L81" i="6"/>
  <c r="M81" i="6" s="1"/>
  <c r="L102" i="6"/>
  <c r="M102" i="6" s="1"/>
  <c r="L91" i="6"/>
  <c r="M91" i="6" s="1"/>
  <c r="L80" i="6"/>
  <c r="M80" i="6" s="1"/>
  <c r="L101" i="6"/>
  <c r="M101" i="6" s="1"/>
  <c r="L90" i="6"/>
  <c r="M90" i="6" s="1"/>
  <c r="L78" i="6"/>
  <c r="M78" i="6" s="1"/>
  <c r="L100" i="6"/>
  <c r="M100" i="6" s="1"/>
  <c r="L88" i="6"/>
  <c r="M88" i="6" s="1"/>
  <c r="L77" i="6"/>
  <c r="M77" i="6" s="1"/>
  <c r="L98" i="6"/>
  <c r="M98" i="6" s="1"/>
  <c r="L87" i="6"/>
  <c r="M87" i="6" s="1"/>
  <c r="L76" i="6"/>
  <c r="M76" i="6" s="1"/>
  <c r="L108" i="6"/>
  <c r="M108" i="6" s="1"/>
  <c r="L97" i="6"/>
  <c r="M97" i="6" s="1"/>
  <c r="L86" i="6"/>
  <c r="M86" i="6" s="1"/>
  <c r="L75" i="6"/>
  <c r="M75" i="6" s="1"/>
  <c r="L107" i="6"/>
  <c r="M107" i="6" s="1"/>
  <c r="L96" i="6"/>
  <c r="M96" i="6" s="1"/>
  <c r="L85" i="6"/>
  <c r="M85" i="6" s="1"/>
  <c r="L74" i="6"/>
  <c r="M74" i="6" s="1"/>
  <c r="L106" i="6"/>
  <c r="M106" i="6" s="1"/>
  <c r="L95" i="6"/>
  <c r="M95" i="6" s="1"/>
  <c r="L84" i="6"/>
  <c r="M84" i="6" s="1"/>
  <c r="L105" i="6"/>
  <c r="M105" i="6" s="1"/>
  <c r="L94" i="6"/>
  <c r="M94" i="6" s="1"/>
  <c r="L83" i="6"/>
  <c r="M83" i="6" s="1"/>
  <c r="L212" i="6"/>
  <c r="M212" i="6" s="1"/>
  <c r="L202" i="6"/>
  <c r="M202" i="6" s="1"/>
  <c r="L192" i="6"/>
  <c r="M192" i="6" s="1"/>
  <c r="L182" i="6"/>
  <c r="M182" i="6" s="1"/>
  <c r="L211" i="6"/>
  <c r="M211" i="6" s="1"/>
  <c r="L210" i="6"/>
  <c r="M210" i="6" s="1"/>
  <c r="L200" i="6"/>
  <c r="M200" i="6" s="1"/>
  <c r="L190" i="6"/>
  <c r="M190" i="6" s="1"/>
  <c r="L209" i="6"/>
  <c r="M209" i="6" s="1"/>
  <c r="L199" i="6"/>
  <c r="M199" i="6" s="1"/>
  <c r="L189" i="6"/>
  <c r="M189" i="6" s="1"/>
  <c r="L208" i="6"/>
  <c r="M208" i="6" s="1"/>
  <c r="L198" i="6"/>
  <c r="M198" i="6" s="1"/>
  <c r="L188" i="6"/>
  <c r="M188" i="6" s="1"/>
  <c r="L217" i="6"/>
  <c r="M217" i="6" s="1"/>
  <c r="L207" i="6"/>
  <c r="M207" i="6" s="1"/>
  <c r="L197" i="6"/>
  <c r="M197" i="6" s="1"/>
  <c r="L216" i="6"/>
  <c r="M216" i="6" s="1"/>
  <c r="L215" i="6"/>
  <c r="M215" i="6" s="1"/>
  <c r="L205" i="6"/>
  <c r="M205" i="6" s="1"/>
  <c r="L195" i="6"/>
  <c r="M195" i="6" s="1"/>
  <c r="L185" i="6"/>
  <c r="M185" i="6" s="1"/>
  <c r="L214" i="6"/>
  <c r="M214" i="6" s="1"/>
  <c r="L204" i="6"/>
  <c r="M204" i="6" s="1"/>
  <c r="L194" i="6"/>
  <c r="M194" i="6" s="1"/>
  <c r="L184" i="6"/>
  <c r="M184" i="6" s="1"/>
  <c r="L213" i="6"/>
  <c r="M213" i="6" s="1"/>
  <c r="L203" i="6"/>
  <c r="M203" i="6" s="1"/>
  <c r="L191" i="6"/>
  <c r="M191" i="6" s="1"/>
  <c r="L187" i="6"/>
  <c r="M187" i="6" s="1"/>
  <c r="L186" i="6"/>
  <c r="M186" i="6" s="1"/>
  <c r="L183" i="6"/>
  <c r="M183" i="6" s="1"/>
  <c r="L206" i="6"/>
  <c r="M206" i="6" s="1"/>
  <c r="L201" i="6"/>
  <c r="M201" i="6" s="1"/>
  <c r="L196" i="6"/>
  <c r="M196" i="6" s="1"/>
  <c r="L193" i="6"/>
  <c r="M193" i="6" s="1"/>
  <c r="L29" i="6"/>
  <c r="M29" i="6" s="1"/>
  <c r="L19" i="6"/>
  <c r="M19" i="6" s="1"/>
  <c r="L2" i="6"/>
  <c r="M2" i="6" s="1"/>
  <c r="L37" i="6"/>
  <c r="M37" i="6" s="1"/>
  <c r="L26" i="6"/>
  <c r="M26" i="6" s="1"/>
  <c r="L15" i="6"/>
  <c r="M15" i="6" s="1"/>
  <c r="L5" i="6"/>
  <c r="M5" i="6" s="1"/>
  <c r="L36" i="6"/>
  <c r="M36" i="6" s="1"/>
  <c r="L25" i="6"/>
  <c r="M25" i="6" s="1"/>
  <c r="L14" i="6"/>
  <c r="M14" i="6" s="1"/>
  <c r="L4" i="6"/>
  <c r="M4" i="6" s="1"/>
  <c r="L35" i="6"/>
  <c r="M35" i="6" s="1"/>
  <c r="L24" i="6"/>
  <c r="M24" i="6" s="1"/>
  <c r="L13" i="6"/>
  <c r="M13" i="6" s="1"/>
  <c r="L3" i="6"/>
  <c r="M3" i="6" s="1"/>
  <c r="L34" i="6"/>
  <c r="M34" i="6" s="1"/>
  <c r="L23" i="6"/>
  <c r="M23" i="6" s="1"/>
  <c r="L12" i="6"/>
  <c r="M12" i="6" s="1"/>
  <c r="L33" i="6"/>
  <c r="M33" i="6" s="1"/>
  <c r="L22" i="6"/>
  <c r="M22" i="6" s="1"/>
  <c r="L11" i="6"/>
  <c r="M11" i="6" s="1"/>
  <c r="L32" i="6"/>
  <c r="M32" i="6" s="1"/>
  <c r="L21" i="6"/>
  <c r="M21" i="6" s="1"/>
  <c r="L10" i="6"/>
  <c r="M10" i="6" s="1"/>
  <c r="L31" i="6"/>
  <c r="M31" i="6" s="1"/>
  <c r="L20" i="6"/>
  <c r="M20" i="6" s="1"/>
  <c r="L9" i="6"/>
  <c r="M9" i="6" s="1"/>
  <c r="L30" i="6"/>
  <c r="M30" i="6" s="1"/>
  <c r="L18" i="6"/>
  <c r="M18" i="6" s="1"/>
  <c r="L8" i="6"/>
  <c r="M8" i="6" s="1"/>
  <c r="L28" i="6"/>
  <c r="M28" i="6" s="1"/>
  <c r="L17" i="6"/>
  <c r="M17" i="6" s="1"/>
  <c r="L7" i="6"/>
  <c r="M7" i="6" s="1"/>
  <c r="L27" i="6"/>
  <c r="M27" i="6" s="1"/>
  <c r="L16" i="6"/>
  <c r="M16" i="6" s="1"/>
  <c r="L6" i="6"/>
  <c r="M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tc={EC4E02F5-D379-9D44-8A2E-E3DEACF449B8}</author>
    <author>tc={B20C6161-2C6C-E043-ABB9-B6C7A2D1F3A4}</author>
  </authors>
  <commentList>
    <comment ref="N1" authorId="0" shapeId="0" xr:uid="{EC4E02F5-D379-9D44-8A2E-E3DEACF449B8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SoldUnits/((OpeningInventory+ClosingInventory)/2)</t>
      </text>
    </comment>
    <comment ref="O1" authorId="1" shapeId="0" xr:uid="{B20C6161-2C6C-E043-ABB9-B6C7A2D1F3A4}">
      <text>
        <t>[Threaded comment]
Your version of Excel allows you to read this threaded comment; however, any edits to it will get removed if the file is opened in a newer version of Excel. Learn more: https://go.microsoft.com/fwlink/?linkid=870924
Comment:
    being referred to as “supplier reliability” in point 4 of Task 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tc={0B5E78B5-EE2C-5648-9C87-AFBB804D6D12}</author>
    <author>tc={AB54A131-A257-9E49-A897-522CF105ADEE}</author>
  </authors>
  <commentList>
    <comment ref="M1" authorId="0" shapeId="0" xr:uid="{0B5E78B5-EE2C-5648-9C87-AFBB804D6D12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SoldUnits/((OpeningInventory+ClosingInventory)/2)</t>
      </text>
    </comment>
    <comment ref="N1" authorId="1" shapeId="0" xr:uid="{AB54A131-A257-9E49-A897-522CF105ADEE}">
      <text>
        <t>[Threaded comment]
Your version of Excel allows you to read this threaded comment; however, any edits to it will get removed if the file is opened in a newer version of Excel. Learn more: https://go.microsoft.com/fwlink/?linkid=870924
Comment:
    being referred to as “supplier reliability” in point 4 of Task 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tc={F78B6BB9-96D6-A94B-B6AD-67748F853E73}</author>
    <author>tc={FE860D56-D432-904E-85A1-B522BEBA27E1}</author>
    <author>tc={149551FA-C2B9-0645-8C56-EDE70BBDE2D5}</author>
  </authors>
  <commentList>
    <comment ref="I1" authorId="0" shapeId="0" xr:uid="{F78B6BB9-96D6-A94B-B6AD-67748F853E7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Sales Data</t>
      </text>
    </comment>
    <comment ref="P1" authorId="1" shapeId="0" xr:uid="{FE860D56-D432-904E-85A1-B522BEBA27E1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SoldUnits/((OpeningInventory+ClosingInventory)/2)</t>
      </text>
    </comment>
    <comment ref="Q1" authorId="2" shapeId="0" xr:uid="{149551FA-C2B9-0645-8C56-EDE70BBDE2D5}">
      <text>
        <t>[Threaded comment]
Your version of Excel allows you to read this threaded comment; however, any edits to it will get removed if the file is opened in a newer version of Excel. Learn more: https://go.microsoft.com/fwlink/?linkid=870924
Comment:
    being referred to as “supplier reliability” in point 4 of Task 4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tc={F47BBE38-E823-674A-9BAD-581E8F48E1DB}</author>
    <author>tc={789EFE52-975E-BD4A-B803-66EC4651577F}</author>
    <author>tc={4EB648CE-CE2C-AE4C-99DF-D2FB30F2E8E8}</author>
    <author>tc={870FEF1B-2D69-5C45-B070-6A4D7603503C}</author>
  </authors>
  <commentList>
    <comment ref="T1" authorId="0" shapeId="0" xr:uid="{F47BBE38-E823-674A-9BAD-581E8F48E1DB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Calculated in “Safety Stock” tab</t>
      </text>
    </comment>
    <comment ref="U1" authorId="1" shapeId="0" xr:uid="{789EFE52-975E-BD4A-B803-66EC4651577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Week 4 lecture: SoldUnits/((OpeningInventory+ClosingInventory)/2)</t>
      </text>
    </comment>
    <comment ref="V1" authorId="2" shapeId="0" xr:uid="{4EB648CE-CE2C-AE4C-99DF-D2FB30F2E8E8}">
      <text>
        <t>[Threaded comment]
Your version of Excel allows you to read this threaded comment; however, any edits to it will get removed if the file is opened in a newer version of Excel. Learn more: https://go.microsoft.com/fwlink/?linkid=870924
Comment:
    being referred to as “supplier reliability” in point 4 of Task 4</t>
      </text>
    </comment>
    <comment ref="Y1" authorId="3" shapeId="0" xr:uid="{870FEF1B-2D69-5C45-B070-6A4D7603503C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Sales Data Excel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tc={930C8E6D-9A81-EF40-9639-591DAF31A23B}</author>
    <author>tc={266532BC-C5B9-C04C-B4B9-E9DB36A8FA7A}</author>
  </authors>
  <commentList>
    <comment ref="M1" authorId="0" shapeId="0" xr:uid="{930C8E6D-9A81-EF40-9639-591DAF31A23B}">
      <text>
        <t>[Threaded comment]
Your version of Excel allows you to read this threaded comment; however, any edits to it will get removed if the file is opened in a newer version of Excel. Learn more: https://go.microsoft.com/fwlink/?linkid=870924
Comment:
    SoldUnits/((OpeningInventory+ClosingInventory)/2)</t>
      </text>
    </comment>
    <comment ref="N1" authorId="1" shapeId="0" xr:uid="{266532BC-C5B9-C04C-B4B9-E9DB36A8FA7A}">
      <text>
        <t>[Threaded comment]
Your version of Excel allows you to read this threaded comment; however, any edits to it will get removed if the file is opened in a newer version of Excel. Learn more: https://go.microsoft.com/fwlink/?linkid=870924
Comment:
    being referred to as “supplier reliability” in point 4 of Task 4</t>
      </text>
    </comment>
  </commentList>
</comments>
</file>

<file path=xl/sharedStrings.xml><?xml version="1.0" encoding="utf-8"?>
<sst xmlns="http://schemas.openxmlformats.org/spreadsheetml/2006/main" count="2200" uniqueCount="123">
  <si>
    <t>ProductID</t>
  </si>
  <si>
    <t>ProductName</t>
  </si>
  <si>
    <t>MonthYear</t>
  </si>
  <si>
    <t>OpeningInventory</t>
  </si>
  <si>
    <t>ReceivedUnits</t>
  </si>
  <si>
    <t>SoldUnits</t>
  </si>
  <si>
    <t>ClosingInventory</t>
  </si>
  <si>
    <t>LeadTimeDays</t>
  </si>
  <si>
    <t>SupplierReliabilityScore</t>
  </si>
  <si>
    <t>UnitCost</t>
  </si>
  <si>
    <t>Smartphone</t>
  </si>
  <si>
    <t>Laptop</t>
  </si>
  <si>
    <t>Tablet</t>
  </si>
  <si>
    <t>Smartwatch</t>
  </si>
  <si>
    <t>Headphones</t>
  </si>
  <si>
    <t>Camera</t>
  </si>
  <si>
    <t>Column</t>
  </si>
  <si>
    <t>Description</t>
  </si>
  <si>
    <r>
      <t xml:space="preserve">The number of units </t>
    </r>
    <r>
      <rPr>
        <b/>
        <sz val="11"/>
        <color theme="1"/>
        <rFont val="Aptos Narrow"/>
        <scheme val="minor"/>
      </rPr>
      <t>received from suppliers</t>
    </r>
    <r>
      <rPr>
        <sz val="11"/>
        <color theme="1"/>
        <rFont val="Aptos Narrow"/>
        <family val="2"/>
        <scheme val="minor"/>
      </rPr>
      <t xml:space="preserve"> during the month, reflecting </t>
    </r>
    <r>
      <rPr>
        <b/>
        <sz val="11"/>
        <color theme="1"/>
        <rFont val="Aptos Narrow"/>
        <scheme val="minor"/>
      </rPr>
      <t>restocking efforts to maintain adequate inventory levels</t>
    </r>
    <r>
      <rPr>
        <sz val="11"/>
        <color theme="1"/>
        <rFont val="Aptos Narrow"/>
        <family val="2"/>
        <scheme val="minor"/>
      </rPr>
      <t>.</t>
    </r>
  </si>
  <si>
    <r>
      <t xml:space="preserve">A </t>
    </r>
    <r>
      <rPr>
        <b/>
        <sz val="11"/>
        <color theme="1"/>
        <rFont val="Aptos Narrow"/>
        <scheme val="minor"/>
      </rPr>
      <t>unique numerical identifier</t>
    </r>
    <r>
      <rPr>
        <sz val="11"/>
        <color theme="1"/>
        <rFont val="Aptos Narrow"/>
        <family val="2"/>
        <scheme val="minor"/>
      </rPr>
      <t xml:space="preserve"> for each product, used to </t>
    </r>
    <r>
      <rPr>
        <b/>
        <sz val="11"/>
        <color theme="1"/>
        <rFont val="Aptos Narrow"/>
        <scheme val="minor"/>
      </rPr>
      <t>track inventory and performance metrics across different products</t>
    </r>
    <r>
      <rPr>
        <sz val="11"/>
        <color theme="1"/>
        <rFont val="Aptos Narrow"/>
        <family val="2"/>
        <scheme val="minor"/>
      </rPr>
      <t>.</t>
    </r>
  </si>
  <si>
    <r>
      <t xml:space="preserve">The </t>
    </r>
    <r>
      <rPr>
        <b/>
        <sz val="11"/>
        <color theme="1"/>
        <rFont val="Aptos Narrow"/>
        <scheme val="minor"/>
      </rPr>
      <t>name of the product</t>
    </r>
    <r>
      <rPr>
        <sz val="11"/>
        <color theme="1"/>
        <rFont val="Aptos Narrow"/>
        <family val="2"/>
        <scheme val="minor"/>
      </rPr>
      <t>, which helps in identifying the product without needing to refer to its ID.</t>
    </r>
  </si>
  <si>
    <r>
      <t xml:space="preserve">The </t>
    </r>
    <r>
      <rPr>
        <b/>
        <sz val="11"/>
        <color theme="1"/>
        <rFont val="Aptos Narrow"/>
        <scheme val="minor"/>
      </rPr>
      <t>month and year for the inventory record</t>
    </r>
    <r>
      <rPr>
        <sz val="11"/>
        <color theme="1"/>
        <rFont val="Aptos Narrow"/>
        <family val="2"/>
        <scheme val="minor"/>
      </rPr>
      <t>, formatted as "</t>
    </r>
    <r>
      <rPr>
        <b/>
        <sz val="11"/>
        <color theme="1"/>
        <rFont val="Aptos Narrow"/>
        <scheme val="minor"/>
      </rPr>
      <t>Mon-YYYY</t>
    </r>
    <r>
      <rPr>
        <sz val="11"/>
        <color theme="1"/>
        <rFont val="Aptos Narrow"/>
        <family val="2"/>
        <scheme val="minor"/>
      </rPr>
      <t>", indicating the time period of the inventory data.</t>
    </r>
  </si>
  <si>
    <r>
      <t xml:space="preserve">The </t>
    </r>
    <r>
      <rPr>
        <b/>
        <sz val="11"/>
        <color theme="1"/>
        <rFont val="Aptos Narrow"/>
        <scheme val="minor"/>
      </rPr>
      <t>quantity of the product in inventory at the beginning of the month</t>
    </r>
    <r>
      <rPr>
        <sz val="11"/>
        <color theme="1"/>
        <rFont val="Aptos Narrow"/>
        <family val="2"/>
        <scheme val="minor"/>
      </rPr>
      <t>, representing the stock level before any transactions (sales or restocks) occur during the month.</t>
    </r>
  </si>
  <si>
    <r>
      <t xml:space="preserve">The number of </t>
    </r>
    <r>
      <rPr>
        <b/>
        <sz val="11"/>
        <color theme="1"/>
        <rFont val="Aptos Narrow"/>
        <scheme val="minor"/>
      </rPr>
      <t>units sold</t>
    </r>
    <r>
      <rPr>
        <sz val="11"/>
        <color theme="1"/>
        <rFont val="Aptos Narrow"/>
        <family val="2"/>
        <scheme val="minor"/>
      </rPr>
      <t xml:space="preserve"> during the month, indicating the </t>
    </r>
    <r>
      <rPr>
        <b/>
        <sz val="11"/>
        <color theme="1"/>
        <rFont val="Aptos Narrow"/>
        <scheme val="minor"/>
      </rPr>
      <t>demand and sales performance</t>
    </r>
    <r>
      <rPr>
        <sz val="11"/>
        <color theme="1"/>
        <rFont val="Aptos Narrow"/>
        <family val="2"/>
        <scheme val="minor"/>
      </rPr>
      <t xml:space="preserve"> of the product for the month.</t>
    </r>
  </si>
  <si>
    <r>
      <t xml:space="preserve">The </t>
    </r>
    <r>
      <rPr>
        <b/>
        <sz val="11"/>
        <color theme="1"/>
        <rFont val="Aptos Narrow"/>
        <scheme val="minor"/>
      </rPr>
      <t>quantity of the product in inventory at the end of the month</t>
    </r>
    <r>
      <rPr>
        <sz val="11"/>
        <color theme="1"/>
        <rFont val="Aptos Narrow"/>
        <family val="2"/>
        <scheme val="minor"/>
      </rPr>
      <t>, representing the remaining stock at month-end.</t>
    </r>
  </si>
  <si>
    <r>
      <t xml:space="preserve">The </t>
    </r>
    <r>
      <rPr>
        <b/>
        <sz val="11"/>
        <color theme="1"/>
        <rFont val="Aptos Narrow"/>
        <scheme val="minor"/>
      </rPr>
      <t>average lead time in days</t>
    </r>
    <r>
      <rPr>
        <sz val="11"/>
        <color theme="1"/>
        <rFont val="Aptos Narrow"/>
        <family val="2"/>
        <scheme val="minor"/>
      </rPr>
      <t xml:space="preserve"> </t>
    </r>
    <r>
      <rPr>
        <b/>
        <u/>
        <sz val="11"/>
        <color theme="1"/>
        <rFont val="Aptos Narrow (Body)"/>
      </rPr>
      <t>from placing an order with a supplier to receiving the goods</t>
    </r>
    <r>
      <rPr>
        <sz val="11"/>
        <color theme="1"/>
        <rFont val="Aptos Narrow"/>
        <family val="2"/>
        <scheme val="minor"/>
      </rPr>
      <t xml:space="preserve">, a critical metric </t>
    </r>
    <r>
      <rPr>
        <b/>
        <sz val="11"/>
        <color theme="1"/>
        <rFont val="Aptos Narrow"/>
        <scheme val="minor"/>
      </rPr>
      <t>for planning restocks and managing inventory levels</t>
    </r>
    <r>
      <rPr>
        <sz val="11"/>
        <color theme="1"/>
        <rFont val="Aptos Narrow"/>
        <family val="2"/>
        <scheme val="minor"/>
      </rPr>
      <t xml:space="preserve"> efficiently.</t>
    </r>
  </si>
  <si>
    <r>
      <t xml:space="preserve">A score </t>
    </r>
    <r>
      <rPr>
        <b/>
        <sz val="11"/>
        <color theme="1"/>
        <rFont val="Aptos Narrow"/>
        <scheme val="minor"/>
      </rPr>
      <t>between 0.8 and 1.0</t>
    </r>
    <r>
      <rPr>
        <sz val="11"/>
        <color theme="1"/>
        <rFont val="Aptos Narrow"/>
        <family val="2"/>
        <scheme val="minor"/>
      </rPr>
      <t xml:space="preserve"> representing the </t>
    </r>
    <r>
      <rPr>
        <b/>
        <sz val="11"/>
        <color theme="1"/>
        <rFont val="Aptos Narrow"/>
        <scheme val="minor"/>
      </rPr>
      <t xml:space="preserve">supplier's reliability based on </t>
    </r>
    <r>
      <rPr>
        <b/>
        <u/>
        <sz val="11"/>
        <color theme="1"/>
        <rFont val="Aptos Narrow (Body)"/>
      </rPr>
      <t>on-time delivery</t>
    </r>
    <r>
      <rPr>
        <b/>
        <sz val="11"/>
        <color theme="1"/>
        <rFont val="Aptos Narrow"/>
        <scheme val="minor"/>
      </rPr>
      <t xml:space="preserve"> and </t>
    </r>
    <r>
      <rPr>
        <b/>
        <u/>
        <sz val="11"/>
        <color theme="1"/>
        <rFont val="Aptos Narrow (Body)"/>
      </rPr>
      <t>quality of goods</t>
    </r>
    <r>
      <rPr>
        <sz val="11"/>
        <color theme="1"/>
        <rFont val="Aptos Narrow"/>
        <family val="2"/>
        <scheme val="minor"/>
      </rPr>
      <t xml:space="preserve">, where </t>
    </r>
    <r>
      <rPr>
        <b/>
        <sz val="11"/>
        <color theme="1"/>
        <rFont val="Aptos Narrow"/>
        <scheme val="minor"/>
      </rPr>
      <t>higher scores indicate more reliable suppliers</t>
    </r>
    <r>
      <rPr>
        <sz val="11"/>
        <color theme="1"/>
        <rFont val="Aptos Narrow"/>
        <family val="2"/>
        <scheme val="minor"/>
      </rPr>
      <t xml:space="preserve">, crucial </t>
    </r>
    <r>
      <rPr>
        <b/>
        <sz val="11"/>
        <color theme="1"/>
        <rFont val="Aptos Narrow"/>
        <scheme val="minor"/>
      </rPr>
      <t>for minimizing supply chain disruptions</t>
    </r>
    <r>
      <rPr>
        <sz val="11"/>
        <color theme="1"/>
        <rFont val="Aptos Narrow"/>
        <family val="2"/>
        <scheme val="minor"/>
      </rPr>
      <t>.</t>
    </r>
  </si>
  <si>
    <r>
      <t xml:space="preserve">The cost per unit for the product, as </t>
    </r>
    <r>
      <rPr>
        <b/>
        <sz val="11"/>
        <color theme="1"/>
        <rFont val="Aptos Narrow"/>
        <scheme val="minor"/>
      </rPr>
      <t>charged by the supplier</t>
    </r>
    <r>
      <rPr>
        <sz val="11"/>
        <color theme="1"/>
        <rFont val="Aptos Narrow"/>
        <family val="2"/>
        <scheme val="minor"/>
      </rPr>
      <t xml:space="preserve">, important </t>
    </r>
    <r>
      <rPr>
        <b/>
        <sz val="11"/>
        <color theme="1"/>
        <rFont val="Aptos Narrow"/>
        <scheme val="minor"/>
      </rPr>
      <t>for calculating profitability and managing expenses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scheme val="minor"/>
      </rPr>
      <t>Ensured to be lower than the selling price to avoid losses</t>
    </r>
    <r>
      <rPr>
        <sz val="11"/>
        <color theme="1"/>
        <rFont val="Aptos Narrow"/>
        <family val="2"/>
        <scheme val="minor"/>
      </rPr>
      <t>.</t>
    </r>
  </si>
  <si>
    <t>Correct Closing</t>
  </si>
  <si>
    <t>Diff</t>
  </si>
  <si>
    <t>InventoryAvailable</t>
  </si>
  <si>
    <t>Category</t>
  </si>
  <si>
    <t>Inventory Turnover</t>
  </si>
  <si>
    <t>Season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</si>
  <si>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</si>
  <si>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</si>
  <si>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</si>
  <si>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</si>
  <si>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</si>
  <si>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</si>
  <si>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</si>
  <si>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</si>
  <si>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</si>
  <si>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</si>
  <si>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</si>
  <si>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</si>
  <si>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</si>
  <si>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</si>
  <si>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</si>
  <si>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</si>
  <si>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</si>
  <si>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</si>
  <si>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Summer</t>
  </si>
  <si>
    <t>Autumn</t>
  </si>
  <si>
    <t>Winter</t>
  </si>
  <si>
    <t>Spring</t>
  </si>
  <si>
    <t>Safety Stock</t>
  </si>
  <si>
    <t>(maximum daily sales x maximum lead time) – (average daily sales x average lead time)</t>
  </si>
  <si>
    <t>Maximum monthly sales</t>
  </si>
  <si>
    <t>Maximum daily sales</t>
  </si>
  <si>
    <t>Maximum lead time</t>
  </si>
  <si>
    <t>Average monthly sales</t>
  </si>
  <si>
    <t>Average daily sales</t>
  </si>
  <si>
    <t>Average lead time</t>
  </si>
  <si>
    <t>Safety Stock Formula (Simple Version) from Week 4 Lecture:</t>
  </si>
  <si>
    <t>Shortfall in SS</t>
  </si>
  <si>
    <t>Safety Stock ("SS")</t>
  </si>
  <si>
    <t>1st Quartile</t>
  </si>
  <si>
    <t>3rd Quartile</t>
  </si>
  <si>
    <t>Lowest range</t>
  </si>
  <si>
    <t>Lower range</t>
  </si>
  <si>
    <t>Higher range</t>
  </si>
  <si>
    <t>Highest range</t>
  </si>
  <si>
    <t>&lt;=165</t>
  </si>
  <si>
    <t>&gt;165 &amp; &lt;=268</t>
  </si>
  <si>
    <t>&gt;268 &amp; &lt;=369</t>
  </si>
  <si>
    <t>&gt; 369</t>
  </si>
  <si>
    <t>2nd Quartile</t>
  </si>
  <si>
    <t>ReceivedUnitsRange</t>
  </si>
  <si>
    <t>Shortfall in SoldUnits</t>
  </si>
  <si>
    <t>SalesVolume</t>
  </si>
  <si>
    <t>Forecast Error</t>
  </si>
  <si>
    <t>Oct - Mar</t>
  </si>
  <si>
    <t>Apr - Sep</t>
  </si>
  <si>
    <t>t-Test: Two-Sample Assuming Unequal Variances</t>
  </si>
  <si>
    <t>Mean</t>
  </si>
  <si>
    <t>Observations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</si>
  <si>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</si>
  <si>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</si>
  <si>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</si>
  <si>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</si>
  <si>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</si>
  <si>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</si>
  <si>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MonthNum</t>
  </si>
  <si>
    <t>SS Shortfall</t>
  </si>
  <si>
    <t>SUMMARY OUTPUT</t>
  </si>
  <si>
    <t>Regression Statistics</t>
  </si>
  <si>
    <t>Multiple R</t>
  </si>
  <si>
    <t>R Square</t>
  </si>
  <si>
    <t>Adjusted R Square</t>
  </si>
  <si>
    <t>Standard Error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</si>
  <si>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</si>
  <si>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</si>
  <si>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</si>
  <si>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</si>
  <si>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</si>
  <si>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</si>
  <si>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</si>
  <si>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</si>
  <si>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</si>
  <si>
    <t>Forecast</t>
  </si>
  <si>
    <t>Discrepancy</t>
  </si>
  <si>
    <t>Discrepancy%</t>
  </si>
  <si>
    <t>Mockup Data for Prediction</t>
  </si>
  <si>
    <t>Reorder Point</t>
  </si>
  <si>
    <t>Formula:</t>
  </si>
  <si>
    <t>Average Daily Sales</t>
  </si>
  <si>
    <t>Average Monthly Sales</t>
  </si>
  <si>
    <t>(Maximum Monthly Sales x Maximum Lead Time) – (Average Monthly Sales x Average Lead Time)</t>
  </si>
  <si>
    <t>Average Daily Sales x Average Lead Time + Safety Stock</t>
  </si>
  <si>
    <t>Average Lead Time</t>
  </si>
  <si>
    <t>Maximum Monthly Sales</t>
  </si>
  <si>
    <t>Maximum 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</si>
</sst>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u/>
      <sz val="11"/>
      <color theme="1"/>
      <name val="Aptos Narrow (Body)"/>
    </font>
    <font>
      <sz val="10"/>
      <color rgb="FF000000"/>
      <name val="Tahoma"/>
      <family val="2"/>
    </font>
    <font>
      <b/>
      <sz val="11"/>
      <color rgb="FF0070C0"/>
      <name val="Aptos Narrow"/>
      <scheme val="minor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0070C0"/>
      <name val="Times New Roman"/>
      <family val="1"/>
    </font>
    <font>
      <b/>
      <sz val="11"/>
      <color rgb="FFFF0000"/>
      <name val="Aptos Narrow"/>
      <scheme val="minor"/>
    </font>
    <font>
      <u/>
      <sz val="11"/>
      <color theme="1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17" fontId="0" fillId="0" borderId="0" xfId="0" applyNumberFormat="1"/>
    <xf numFmtId="164" fontId="0" fillId="0" borderId="0" xfId="0" applyNumberFormat="1"/>
    <xf numFmtId="0" fontId="18" fillId="0" borderId="0" xfId="0" applyFont="1"/>
    <xf numFmtId="0" fontId="0" fillId="0" borderId="0" xfId="0" applyAlignment="1">
      <alignment horizontal="left" vertical="top" wrapText="1"/>
    </xf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horizontal="left" vertical="top"/>
    </xf>
    <xf numFmtId="0" fontId="0" fillId="34" borderId="0" xfId="0" applyFill="1"/>
    <xf numFmtId="164" fontId="21" fillId="0" borderId="0" xfId="0" applyNumberFormat="1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18" fillId="34" borderId="0" xfId="0" applyFont="1" applyFill="1" applyAlignment="1">
      <alignment horizontal="left" vertical="top"/>
    </xf>
    <xf numFmtId="0" fontId="21" fillId="34" borderId="0" xfId="0" applyFont="1" applyFill="1" applyAlignment="1">
      <alignment wrapText="1"/>
    </xf>
    <xf numFmtId="0" fontId="18" fillId="34" borderId="0" xfId="0" applyFont="1" applyFill="1" applyAlignment="1">
      <alignment wrapText="1"/>
    </xf>
    <xf numFmtId="17" fontId="0" fillId="34" borderId="0" xfId="0" applyNumberFormat="1" applyFill="1"/>
    <xf numFmtId="2" fontId="0" fillId="0" borderId="0" xfId="0" applyNumberFormat="1"/>
    <xf numFmtId="0" fontId="23" fillId="0" borderId="0" xfId="0" applyFont="1"/>
    <xf numFmtId="1" fontId="23" fillId="0" borderId="0" xfId="0" applyNumberFormat="1" applyFont="1"/>
    <xf numFmtId="0" fontId="25" fillId="0" borderId="13" xfId="0" applyFont="1" applyBorder="1"/>
    <xf numFmtId="0" fontId="26" fillId="0" borderId="10" xfId="0" applyFont="1" applyBorder="1"/>
    <xf numFmtId="0" fontId="26" fillId="0" borderId="14" xfId="0" applyFont="1" applyBorder="1"/>
    <xf numFmtId="0" fontId="26" fillId="0" borderId="15" xfId="0" applyFont="1" applyBorder="1"/>
    <xf numFmtId="0" fontId="26" fillId="0" borderId="0" xfId="0" applyFont="1" applyBorder="1"/>
    <xf numFmtId="0" fontId="26" fillId="0" borderId="16" xfId="0" applyFont="1" applyBorder="1"/>
    <xf numFmtId="0" fontId="26" fillId="0" borderId="15" xfId="0" quotePrefix="1" applyFont="1" applyBorder="1"/>
    <xf numFmtId="0" fontId="26" fillId="0" borderId="15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1" fontId="26" fillId="0" borderId="0" xfId="0" applyNumberFormat="1" applyFont="1" applyBorder="1"/>
    <xf numFmtId="1" fontId="26" fillId="0" borderId="16" xfId="0" applyNumberFormat="1" applyFont="1" applyBorder="1"/>
    <xf numFmtId="0" fontId="27" fillId="0" borderId="17" xfId="0" applyFont="1" applyBorder="1"/>
    <xf numFmtId="1" fontId="27" fillId="0" borderId="11" xfId="0" applyNumberFormat="1" applyFont="1" applyBorder="1"/>
    <xf numFmtId="1" fontId="27" fillId="0" borderId="18" xfId="0" applyNumberFormat="1" applyFont="1" applyBorder="1"/>
    <xf numFmtId="2" fontId="0" fillId="34" borderId="0" xfId="0" applyNumberFormat="1" applyFill="1"/>
    <xf numFmtId="0" fontId="18" fillId="36" borderId="0" xfId="0" applyFont="1" applyFill="1" applyAlignment="1">
      <alignment horizontal="left" vertical="top"/>
    </xf>
    <xf numFmtId="0" fontId="0" fillId="36" borderId="0" xfId="0" applyFill="1"/>
    <xf numFmtId="0" fontId="23" fillId="0" borderId="0" xfId="0" applyFont="1" applyAlignment="1">
      <alignment horizontal="right"/>
    </xf>
    <xf numFmtId="164" fontId="0" fillId="34" borderId="0" xfId="0" applyNumberFormat="1" applyFill="1"/>
    <xf numFmtId="2" fontId="23" fillId="0" borderId="0" xfId="0" applyNumberFormat="1" applyFont="1"/>
    <xf numFmtId="0" fontId="28" fillId="0" borderId="12" xfId="0" applyFont="1" applyFill="1" applyBorder="1" applyAlignment="1">
      <alignment horizontal="center"/>
    </xf>
    <xf numFmtId="0" fontId="23" fillId="0" borderId="0" xfId="0" applyFont="1" applyFill="1" applyBorder="1" applyAlignment="1"/>
    <xf numFmtId="0" fontId="23" fillId="0" borderId="11" xfId="0" applyFont="1" applyFill="1" applyBorder="1" applyAlignment="1"/>
    <xf numFmtId="0" fontId="23" fillId="0" borderId="0" xfId="0" applyFont="1" applyFill="1"/>
    <xf numFmtId="43" fontId="23" fillId="0" borderId="0" xfId="42" applyFont="1" applyFill="1" applyBorder="1" applyAlignment="1"/>
    <xf numFmtId="43" fontId="23" fillId="0" borderId="11" xfId="42" applyFont="1" applyFill="1" applyBorder="1" applyAlignment="1"/>
    <xf numFmtId="0" fontId="29" fillId="34" borderId="0" xfId="0" applyFont="1" applyFill="1" applyAlignment="1">
      <alignment wrapText="1"/>
    </xf>
    <xf numFmtId="0" fontId="24" fillId="34" borderId="0" xfId="0" applyFont="1" applyFill="1" applyAlignment="1">
      <alignment wrapText="1"/>
    </xf>
    <xf numFmtId="0" fontId="23" fillId="34" borderId="0" xfId="0" applyFont="1" applyFill="1"/>
    <xf numFmtId="17" fontId="23" fillId="0" borderId="0" xfId="0" applyNumberFormat="1" applyFont="1"/>
    <xf numFmtId="17" fontId="23" fillId="34" borderId="0" xfId="0" applyNumberFormat="1" applyFont="1" applyFill="1"/>
    <xf numFmtId="0" fontId="23" fillId="35" borderId="0" xfId="0" applyFont="1" applyFill="1"/>
    <xf numFmtId="1" fontId="23" fillId="33" borderId="0" xfId="0" applyNumberFormat="1" applyFont="1" applyFill="1"/>
    <xf numFmtId="2" fontId="23" fillId="34" borderId="0" xfId="0" applyNumberFormat="1" applyFont="1" applyFill="1"/>
    <xf numFmtId="164" fontId="23" fillId="0" borderId="0" xfId="0" applyNumberFormat="1" applyFont="1"/>
    <xf numFmtId="0" fontId="23" fillId="0" borderId="0" xfId="0" applyFont="1" applyBorder="1"/>
    <xf numFmtId="0" fontId="29" fillId="35" borderId="0" xfId="0" applyFont="1" applyFill="1" applyAlignment="1">
      <alignment horizontal="center" wrapText="1"/>
    </xf>
    <xf numFmtId="0" fontId="29" fillId="34" borderId="0" xfId="0" applyFont="1" applyFill="1" applyAlignment="1">
      <alignment horizontal="center" wrapText="1"/>
    </xf>
    <xf numFmtId="0" fontId="24" fillId="0" borderId="0" xfId="0" applyFont="1" applyAlignment="1">
      <alignment horizontal="left"/>
    </xf>
    <xf numFmtId="0" fontId="24" fillId="34" borderId="0" xfId="0" applyFont="1" applyFill="1" applyAlignment="1">
      <alignment horizontal="left"/>
    </xf>
    <xf numFmtId="0" fontId="24" fillId="33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164" fontId="29" fillId="0" borderId="0" xfId="0" applyNumberFormat="1" applyFont="1" applyAlignment="1">
      <alignment horizontal="left"/>
    </xf>
    <xf numFmtId="0" fontId="23" fillId="0" borderId="0" xfId="0" applyFont="1" applyAlignment="1"/>
    <xf numFmtId="0" fontId="24" fillId="34" borderId="0" xfId="0" applyFont="1" applyFill="1" applyAlignment="1">
      <alignment horizontal="center" wrapText="1"/>
    </xf>
    <xf numFmtId="0" fontId="23" fillId="36" borderId="0" xfId="0" applyFont="1" applyFill="1"/>
    <xf numFmtId="0" fontId="24" fillId="0" borderId="0" xfId="0" applyFont="1" applyAlignment="1">
      <alignment horizontal="center" wrapText="1"/>
    </xf>
    <xf numFmtId="0" fontId="24" fillId="36" borderId="0" xfId="0" applyFont="1" applyFill="1" applyAlignment="1">
      <alignment horizontal="center" wrapText="1"/>
    </xf>
    <xf numFmtId="0" fontId="29" fillId="0" borderId="0" xfId="0" applyFont="1" applyAlignment="1">
      <alignment horizontal="center" wrapText="1"/>
    </xf>
    <xf numFmtId="164" fontId="29" fillId="0" borderId="0" xfId="0" applyNumberFormat="1" applyFont="1" applyAlignment="1">
      <alignment horizontal="center" wrapText="1"/>
    </xf>
    <xf numFmtId="0" fontId="30" fillId="34" borderId="0" xfId="0" applyFont="1" applyFill="1" applyAlignment="1">
      <alignment wrapText="1"/>
    </xf>
    <xf numFmtId="0" fontId="29" fillId="37" borderId="0" xfId="0" applyFont="1" applyFill="1" applyAlignment="1">
      <alignment horizontal="center"/>
    </xf>
    <xf numFmtId="0" fontId="23" fillId="37" borderId="0" xfId="0" applyFont="1" applyFill="1"/>
    <xf numFmtId="1" fontId="23" fillId="34" borderId="0" xfId="0" applyNumberFormat="1" applyFont="1" applyFill="1"/>
    <xf numFmtId="0" fontId="24" fillId="33" borderId="0" xfId="0" applyFont="1" applyFill="1" applyAlignment="1">
      <alignment horizontal="center"/>
    </xf>
    <xf numFmtId="0" fontId="24" fillId="33" borderId="0" xfId="0" applyFont="1" applyFill="1" applyAlignment="1">
      <alignment wrapText="1"/>
    </xf>
    <xf numFmtId="0" fontId="30" fillId="34" borderId="0" xfId="0" applyFont="1" applyFill="1" applyAlignment="1">
      <alignment horizontal="left" vertical="top"/>
    </xf>
    <xf numFmtId="1" fontId="0" fillId="34" borderId="0" xfId="0" applyNumberFormat="1" applyFill="1"/>
    <xf numFmtId="0" fontId="24" fillId="38" borderId="0" xfId="0" applyFont="1" applyFill="1" applyAlignment="1">
      <alignment horizontal="left"/>
    </xf>
    <xf numFmtId="0" fontId="29" fillId="33" borderId="0" xfId="0" applyFont="1" applyFill="1" applyAlignment="1">
      <alignment horizontal="left"/>
    </xf>
    <xf numFmtId="164" fontId="29" fillId="33" borderId="0" xfId="0" applyNumberFormat="1" applyFont="1" applyFill="1" applyAlignment="1">
      <alignment horizontal="left"/>
    </xf>
    <xf numFmtId="0" fontId="28" fillId="0" borderId="12" xfId="0" applyFont="1" applyFill="1" applyBorder="1" applyAlignment="1">
      <alignment horizontal="centerContinuous"/>
    </xf>
    <xf numFmtId="1" fontId="31" fillId="0" borderId="13" xfId="0" applyNumberFormat="1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23" fillId="0" borderId="16" xfId="0" applyFont="1" applyBorder="1"/>
    <xf numFmtId="0" fontId="23" fillId="0" borderId="11" xfId="0" applyFont="1" applyBorder="1"/>
    <xf numFmtId="0" fontId="23" fillId="0" borderId="18" xfId="0" applyFont="1" applyBorder="1"/>
    <xf numFmtId="1" fontId="23" fillId="0" borderId="0" xfId="0" applyNumberFormat="1" applyFont="1" applyBorder="1"/>
    <xf numFmtId="1" fontId="23" fillId="0" borderId="11" xfId="0" applyNumberFormat="1" applyFont="1" applyBorder="1"/>
    <xf numFmtId="9" fontId="23" fillId="0" borderId="16" xfId="43" applyFont="1" applyBorder="1"/>
    <xf numFmtId="9" fontId="23" fillId="0" borderId="18" xfId="43" applyFont="1" applyBorder="1"/>
    <xf numFmtId="0" fontId="22" fillId="0" borderId="13" xfId="0" applyFont="1" applyBorder="1"/>
    <xf numFmtId="0" fontId="23" fillId="0" borderId="10" xfId="0" applyFont="1" applyBorder="1"/>
    <xf numFmtId="0" fontId="23" fillId="0" borderId="15" xfId="0" applyFont="1" applyBorder="1"/>
    <xf numFmtId="0" fontId="23" fillId="0" borderId="17" xfId="0" applyFont="1" applyBorder="1"/>
    <xf numFmtId="1" fontId="23" fillId="38" borderId="11" xfId="0" applyNumberFormat="1" applyFont="1" applyFill="1" applyBorder="1"/>
    <xf numFmtId="17" fontId="23" fillId="0" borderId="11" xfId="0" applyNumberFormat="1" applyFont="1" applyBorder="1"/>
    <xf numFmtId="1" fontId="23" fillId="38" borderId="0" xfId="0" applyNumberFormat="1" applyFont="1" applyFill="1" applyBorder="1"/>
    <xf numFmtId="2" fontId="23" fillId="0" borderId="0" xfId="0" applyNumberFormat="1" applyFont="1" applyFill="1" applyBorder="1"/>
    <xf numFmtId="164" fontId="23" fillId="0" borderId="10" xfId="0" applyNumberFormat="1" applyFont="1" applyBorder="1"/>
    <xf numFmtId="0" fontId="23" fillId="0" borderId="14" xfId="0" applyFont="1" applyBorder="1"/>
    <xf numFmtId="17" fontId="23" fillId="0" borderId="0" xfId="0" applyNumberFormat="1" applyFont="1" applyBorder="1"/>
    <xf numFmtId="1" fontId="23" fillId="38" borderId="16" xfId="0" applyNumberFormat="1" applyFont="1" applyFill="1" applyBorder="1"/>
    <xf numFmtId="2" fontId="23" fillId="0" borderId="11" xfId="0" applyNumberFormat="1" applyFont="1" applyFill="1" applyBorder="1"/>
    <xf numFmtId="1" fontId="23" fillId="38" borderId="18" xfId="0" applyNumberFormat="1" applyFont="1" applyFill="1" applyBorder="1"/>
    <xf numFmtId="1" fontId="23" fillId="39" borderId="15" xfId="0" applyNumberFormat="1" applyFont="1" applyFill="1" applyBorder="1"/>
    <xf numFmtId="1" fontId="23" fillId="39" borderId="17" xfId="0" applyNumberFormat="1" applyFont="1" applyFill="1" applyBorder="1"/>
    <xf numFmtId="0" fontId="23" fillId="39" borderId="0" xfId="0" applyFont="1" applyFill="1"/>
    <xf numFmtId="0" fontId="24" fillId="0" borderId="0" xfId="0" applyFont="1" applyBorder="1" applyAlignment="1">
      <alignment horizontal="center"/>
    </xf>
    <xf numFmtId="0" fontId="23" fillId="0" borderId="15" xfId="0" quotePrefix="1" applyFont="1" applyBorder="1"/>
    <xf numFmtId="0" fontId="23" fillId="0" borderId="15" xfId="0" applyFont="1" applyBorder="1" applyAlignment="1">
      <alignment horizontal="center"/>
    </xf>
    <xf numFmtId="0" fontId="24" fillId="0" borderId="17" xfId="0" applyFont="1" applyBorder="1"/>
    <xf numFmtId="1" fontId="24" fillId="0" borderId="11" xfId="0" applyNumberFormat="1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yle Leung" id="{B297CEA7-04C6-8F40-B7B8-2A18D68F1C7F}" userId="Kyle Leung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4-04-26T22:11:37.57" personId="{B297CEA7-04C6-8F40-B7B8-2A18D68F1C7F}" id="{EC4E02F5-D379-9D44-8A2E-E3DEACF449B8}">
    <text>SoldUnits/((OpeningInventory+ClosingInventory)/2)</text>
  </threadedComment>
  <threadedComment ref="O1" dT="2024-04-24T14:51:38.19" personId="{B297CEA7-04C6-8F40-B7B8-2A18D68F1C7F}" id="{B20C6161-2C6C-E043-ABB9-B6C7A2D1F3A4}">
    <text>being referred to as “supplier reliability” in point 4 of Task 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" dT="2024-04-26T22:11:37.57" personId="{B297CEA7-04C6-8F40-B7B8-2A18D68F1C7F}" id="{0B5E78B5-EE2C-5648-9C87-AFBB804D6D12}">
    <text>SoldUnits/((OpeningInventory+ClosingInventory)/2)</text>
  </threadedComment>
  <threadedComment ref="N1" dT="2024-04-24T14:51:38.19" personId="{B297CEA7-04C6-8F40-B7B8-2A18D68F1C7F}" id="{AB54A131-A257-9E49-A897-522CF105ADEE}">
    <text>being referred to as “supplier reliability” in point 4 of Task 4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" dT="2024-04-27T13:19:32.67" personId="{B297CEA7-04C6-8F40-B7B8-2A18D68F1C7F}" id="{F78B6BB9-96D6-A94B-B6AD-67748F853E73}">
    <text>From Sales Data</text>
  </threadedComment>
  <threadedComment ref="P1" dT="2024-04-26T22:11:37.57" personId="{B297CEA7-04C6-8F40-B7B8-2A18D68F1C7F}" id="{FE860D56-D432-904E-85A1-B522BEBA27E1}">
    <text>SoldUnits/((OpeningInventory+ClosingInventory)/2)</text>
  </threadedComment>
  <threadedComment ref="Q1" dT="2024-04-24T14:51:38.19" personId="{B297CEA7-04C6-8F40-B7B8-2A18D68F1C7F}" id="{149551FA-C2B9-0645-8C56-EDE70BBDE2D5}">
    <text>being referred to as “supplier reliability” in point 4 of Task 4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T1" dT="2024-04-27T20:00:48.78" personId="{B297CEA7-04C6-8F40-B7B8-2A18D68F1C7F}" id="{F47BBE38-E823-674A-9BAD-581E8F48E1DB}">
    <text>Calculated in “Safety Stock” tab</text>
  </threadedComment>
  <threadedComment ref="U1" dT="2024-04-26T22:11:37.57" personId="{B297CEA7-04C6-8F40-B7B8-2A18D68F1C7F}" id="{789EFE52-975E-BD4A-B803-66EC4651577F}">
    <text>As per Week 4 lecture: SoldUnits/((OpeningInventory+ClosingInventory)/2)</text>
  </threadedComment>
  <threadedComment ref="V1" dT="2024-04-24T14:51:38.19" personId="{B297CEA7-04C6-8F40-B7B8-2A18D68F1C7F}" id="{4EB648CE-CE2C-AE4C-99DF-D2FB30F2E8E8}">
    <text>being referred to as “supplier reliability” in point 4 of Task 4</text>
  </threadedComment>
  <threadedComment ref="Y1" dT="2024-04-27T19:59:46.47" personId="{B297CEA7-04C6-8F40-B7B8-2A18D68F1C7F}" id="{870FEF1B-2D69-5C45-B070-6A4D7603503C}">
    <text>From Sales Data Excel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M1" dT="2024-04-26T22:11:37.57" personId="{B297CEA7-04C6-8F40-B7B8-2A18D68F1C7F}" id="{930C8E6D-9A81-EF40-9639-591DAF31A23B}">
    <text>SoldUnits/((OpeningInventory+ClosingInventory)/2)</text>
  </threadedComment>
  <threadedComment ref="N1" dT="2024-04-24T14:51:38.19" personId="{B297CEA7-04C6-8F40-B7B8-2A18D68F1C7F}" id="{266532BC-C5B9-C04C-B4B9-E9DB36A8FA7A}">
    <text>being referred to as “supplier reliability” in point 4 of Task 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E5FD-3591-524E-9306-F37ECE981D03}">
  <sheetPr>
    <tabColor rgb="FFFFFF00"/>
  </sheetPr>
  <dimension ref="A1:Y217"/>
  <sheetViews>
    <sheetView topLeftCell="C1" zoomScale="140" zoomScaleNormal="140" workbookViewId="0">
      <pane ySplit="1" topLeftCell="A2" activePane="bottomLeft" state="frozen"/>
      <selection pane="bottomLeft" activeCell="S1" sqref="S1"/>
    </sheetView>
  </sheetViews>
  <sheetFormatPr baseColWidth="10" defaultColWidth="8.83203125" defaultRowHeight="15" x14ac:dyDescent="0.2"/>
  <cols>
    <col min="1" max="1" width="3.6640625" customWidth="1"/>
    <col min="2" max="3" width="11.1640625" customWidth="1"/>
    <col min="4" max="5" width="7" customWidth="1"/>
    <col min="6" max="6" width="10.1640625" customWidth="1"/>
    <col min="7" max="7" width="12.5" bestFit="1" customWidth="1"/>
    <col min="9" max="9" width="8.83203125" bestFit="1" customWidth="1"/>
    <col min="10" max="10" width="8.83203125" customWidth="1"/>
    <col min="11" max="13" width="9.6640625" customWidth="1"/>
    <col min="14" max="14" width="9.6640625" bestFit="1" customWidth="1"/>
    <col min="15" max="15" width="9.1640625" customWidth="1"/>
    <col min="16" max="16" width="12.83203125" customWidth="1"/>
    <col min="17" max="17" width="8.1640625" style="2" bestFit="1" customWidth="1"/>
    <col min="18" max="18" width="3.33203125" customWidth="1"/>
    <col min="19" max="19" width="21.5" customWidth="1"/>
    <col min="20" max="25" width="11.33203125" customWidth="1"/>
  </cols>
  <sheetData>
    <row r="1" spans="1:25" ht="33" thickBot="1" x14ac:dyDescent="0.25">
      <c r="A1" s="6" t="s">
        <v>0</v>
      </c>
      <c r="B1" s="6" t="s">
        <v>1</v>
      </c>
      <c r="C1" s="10" t="s">
        <v>31</v>
      </c>
      <c r="D1" s="6" t="s">
        <v>2</v>
      </c>
      <c r="E1" s="10" t="s">
        <v>33</v>
      </c>
      <c r="F1" s="6" t="s">
        <v>3</v>
      </c>
      <c r="G1" s="6" t="s">
        <v>4</v>
      </c>
      <c r="H1" s="11" t="s">
        <v>30</v>
      </c>
      <c r="I1" s="6" t="s">
        <v>5</v>
      </c>
      <c r="J1" s="10" t="s">
        <v>79</v>
      </c>
      <c r="K1" s="6" t="s">
        <v>6</v>
      </c>
      <c r="L1" s="74" t="s">
        <v>66</v>
      </c>
      <c r="M1" s="10" t="s">
        <v>94</v>
      </c>
      <c r="N1" s="68" t="s">
        <v>32</v>
      </c>
      <c r="O1" s="9" t="s">
        <v>7</v>
      </c>
      <c r="P1" s="9" t="s">
        <v>8</v>
      </c>
      <c r="Q1" s="8" t="s">
        <v>9</v>
      </c>
    </row>
    <row r="2" spans="1:25" ht="16" x14ac:dyDescent="0.2">
      <c r="A2">
        <v>6</v>
      </c>
      <c r="B2" t="s">
        <v>15</v>
      </c>
      <c r="C2" s="7" t="str">
        <f>IF(B2="Smartphone", "Electronics", IF(B2="Laptop", "Computing", IF(B2="Tablet", "Mobile", IF(B2="Smartwatch", "Wearables", IF(B2="Headphones", "Audio", "Photography")))))</f>
        <v>Photography</v>
      </c>
      <c r="D2" s="1">
        <v>43466</v>
      </c>
      <c r="E2" s="13" t="str">
        <f>IF(OR(MONTH(D2)=9, MONTH(D2)=10, MONTH(D2)=11), "Spring",
 IF(OR(MONTH(D2)=12, MONTH(D2)=1, MONTH(D2)=2), "Summer",
 IF(OR(MONTH(D2)=3, MONTH(D2)=4, MONTH(D2)=5), "Autumn",
 IF(OR(MONTH(D2)=6, MONTH(D2)=7, MONTH(D2)=8), "Winter", "Unknown"
))))</f>
        <v>Summer</v>
      </c>
      <c r="F2">
        <v>35</v>
      </c>
      <c r="G2">
        <v>303</v>
      </c>
      <c r="H2" s="7">
        <f>F2+G2</f>
        <v>338</v>
      </c>
      <c r="I2">
        <v>366</v>
      </c>
      <c r="J2" s="7">
        <f>H2-I2</f>
        <v>-28</v>
      </c>
      <c r="K2">
        <v>63</v>
      </c>
      <c r="L2" s="75">
        <f>IF(B2="Camera",$T$13, IF(B2="Headphones",$U$13, IF(B2="Laptop",$V$13, IF(B2="Smartphone",$W$13, IF(B2="Smartwatch",$X$13,$Y$13)))))</f>
        <v>363.0286738351254</v>
      </c>
      <c r="M2" s="75">
        <f>L2-K2</f>
        <v>300.0286738351254</v>
      </c>
      <c r="N2" s="32">
        <f>I2/((F2+K2)/2)</f>
        <v>7.4693877551020407</v>
      </c>
      <c r="O2">
        <v>17</v>
      </c>
      <c r="P2">
        <v>0.90555860801447596</v>
      </c>
      <c r="Q2" s="2">
        <v>33.746451781235997</v>
      </c>
      <c r="S2" s="17" t="s">
        <v>56</v>
      </c>
      <c r="T2" s="18"/>
      <c r="U2" s="18"/>
      <c r="V2" s="18"/>
      <c r="W2" s="18"/>
      <c r="X2" s="18"/>
      <c r="Y2" s="19"/>
    </row>
    <row r="3" spans="1:25" ht="16" x14ac:dyDescent="0.2">
      <c r="A3">
        <v>6</v>
      </c>
      <c r="B3" t="s">
        <v>15</v>
      </c>
      <c r="C3" s="7" t="str">
        <f>IF(B3="Smartphone", "Electronics", IF(B3="Laptop", "Computing", IF(B3="Tablet", "Mobile", IF(B3="Smartwatch", "Wearables", IF(B3="Headphones", "Audio", "Photography")))))</f>
        <v>Photography</v>
      </c>
      <c r="D3" s="1">
        <v>43497</v>
      </c>
      <c r="E3" s="13" t="str">
        <f>IF(OR(MONTH(D3)=9, MONTH(D3)=10, MONTH(D3)=11), "Spring",
 IF(OR(MONTH(D3)=12, MONTH(D3)=1, MONTH(D3)=2), "Summer",
 IF(OR(MONTH(D3)=3, MONTH(D3)=4, MONTH(D3)=5), "Autumn",
 IF(OR(MONTH(D3)=6, MONTH(D3)=7, MONTH(D3)=8), "Winter", "Unknown"
))))</f>
        <v>Summer</v>
      </c>
      <c r="F3">
        <v>108</v>
      </c>
      <c r="G3">
        <v>134</v>
      </c>
      <c r="H3" s="7">
        <f>F3+G3</f>
        <v>242</v>
      </c>
      <c r="I3">
        <v>57</v>
      </c>
      <c r="J3" s="7">
        <f t="shared" ref="J3:J66" si="0">H3-I3</f>
        <v>185</v>
      </c>
      <c r="K3">
        <v>77</v>
      </c>
      <c r="L3" s="75">
        <f>IF(B3="Camera",$T$13, IF(B3="Headphones",$U$13, IF(B3="Laptop",$V$13, IF(B3="Smartphone",$W$13, IF(B3="Smartwatch",$X$13,$Y$13)))))</f>
        <v>363.0286738351254</v>
      </c>
      <c r="M3" s="75">
        <f t="shared" ref="M3:M66" si="1">L3-K3</f>
        <v>286.0286738351254</v>
      </c>
      <c r="N3" s="32">
        <f>I3/((F3+K3)/2)</f>
        <v>0.61621621621621625</v>
      </c>
      <c r="O3">
        <v>7</v>
      </c>
      <c r="P3">
        <v>0.82745133687794503</v>
      </c>
      <c r="Q3" s="2">
        <v>76.758486458004697</v>
      </c>
      <c r="S3" s="20" t="s">
        <v>64</v>
      </c>
      <c r="T3" s="21"/>
      <c r="U3" s="21"/>
      <c r="V3" s="21"/>
      <c r="W3" s="21"/>
      <c r="X3" s="21"/>
      <c r="Y3" s="22"/>
    </row>
    <row r="4" spans="1:25" ht="16" x14ac:dyDescent="0.2">
      <c r="A4">
        <v>6</v>
      </c>
      <c r="B4" t="s">
        <v>15</v>
      </c>
      <c r="C4" s="7" t="str">
        <f>IF(B4="Smartphone", "Electronics", IF(B4="Laptop", "Computing", IF(B4="Tablet", "Mobile", IF(B4="Smartwatch", "Wearables", IF(B4="Headphones", "Audio", "Photography")))))</f>
        <v>Photography</v>
      </c>
      <c r="D4" s="1">
        <v>43525</v>
      </c>
      <c r="E4" s="13" t="str">
        <f>IF(OR(MONTH(D4)=9, MONTH(D4)=10, MONTH(D4)=11), "Spring",
 IF(OR(MONTH(D4)=12, MONTH(D4)=1, MONTH(D4)=2), "Summer",
 IF(OR(MONTH(D4)=3, MONTH(D4)=4, MONTH(D4)=5), "Autumn",
 IF(OR(MONTH(D4)=6, MONTH(D4)=7, MONTH(D4)=8), "Winter", "Unknown"
))))</f>
        <v>Autumn</v>
      </c>
      <c r="F4">
        <v>279</v>
      </c>
      <c r="G4">
        <v>216</v>
      </c>
      <c r="H4" s="7">
        <f>F4+G4</f>
        <v>495</v>
      </c>
      <c r="I4">
        <v>153</v>
      </c>
      <c r="J4" s="7">
        <f t="shared" si="0"/>
        <v>342</v>
      </c>
      <c r="K4">
        <v>126</v>
      </c>
      <c r="L4" s="75">
        <f>IF(B4="Camera",$T$13, IF(B4="Headphones",$U$13, IF(B4="Laptop",$V$13, IF(B4="Smartphone",$W$13, IF(B4="Smartwatch",$X$13,$Y$13)))))</f>
        <v>363.0286738351254</v>
      </c>
      <c r="M4" s="75">
        <f t="shared" si="1"/>
        <v>237.0286738351254</v>
      </c>
      <c r="N4" s="32">
        <f>I4/((F4+K4)/2)</f>
        <v>0.75555555555555554</v>
      </c>
      <c r="O4">
        <v>21</v>
      </c>
      <c r="P4">
        <v>0.95354476156697998</v>
      </c>
      <c r="Q4" s="2">
        <v>325.260098483918</v>
      </c>
      <c r="S4" s="23" t="s">
        <v>57</v>
      </c>
      <c r="T4" s="21"/>
      <c r="U4" s="21"/>
      <c r="V4" s="21"/>
      <c r="W4" s="21"/>
      <c r="X4" s="21"/>
      <c r="Y4" s="22"/>
    </row>
    <row r="5" spans="1:25" ht="16" x14ac:dyDescent="0.2">
      <c r="A5">
        <v>6</v>
      </c>
      <c r="B5" t="s">
        <v>15</v>
      </c>
      <c r="C5" s="7" t="str">
        <f>IF(B5="Smartphone", "Electronics", IF(B5="Laptop", "Computing", IF(B5="Tablet", "Mobile", IF(B5="Smartwatch", "Wearables", IF(B5="Headphones", "Audio", "Photography")))))</f>
        <v>Photography</v>
      </c>
      <c r="D5" s="1">
        <v>43556</v>
      </c>
      <c r="E5" s="13" t="str">
        <f>IF(OR(MONTH(D5)=9, MONTH(D5)=10, MONTH(D5)=11), "Spring",
 IF(OR(MONTH(D5)=12, MONTH(D5)=1, MONTH(D5)=2), "Summer",
 IF(OR(MONTH(D5)=3, MONTH(D5)=4, MONTH(D5)=5), "Autumn",
 IF(OR(MONTH(D5)=6, MONTH(D5)=7, MONTH(D5)=8), "Winter", "Unknown"
))))</f>
        <v>Autumn</v>
      </c>
      <c r="F5">
        <v>118</v>
      </c>
      <c r="G5">
        <v>68</v>
      </c>
      <c r="H5" s="7">
        <f>F5+G5</f>
        <v>186</v>
      </c>
      <c r="I5">
        <v>159</v>
      </c>
      <c r="J5" s="7">
        <f t="shared" si="0"/>
        <v>27</v>
      </c>
      <c r="K5">
        <v>27</v>
      </c>
      <c r="L5" s="75">
        <f>IF(B5="Camera",$T$13, IF(B5="Headphones",$U$13, IF(B5="Laptop",$V$13, IF(B5="Smartphone",$W$13, IF(B5="Smartwatch",$X$13,$Y$13)))))</f>
        <v>363.0286738351254</v>
      </c>
      <c r="M5" s="75">
        <f t="shared" si="1"/>
        <v>336.0286738351254</v>
      </c>
      <c r="N5" s="32">
        <f>I5/((F5+K5)/2)</f>
        <v>2.193103448275862</v>
      </c>
      <c r="O5">
        <v>14</v>
      </c>
      <c r="P5">
        <v>0.90474999417485202</v>
      </c>
      <c r="Q5" s="2">
        <v>33.634562504475603</v>
      </c>
      <c r="S5" s="20"/>
      <c r="T5" s="21"/>
      <c r="U5" s="21"/>
      <c r="V5" s="21"/>
      <c r="W5" s="21"/>
      <c r="X5" s="21"/>
      <c r="Y5" s="22"/>
    </row>
    <row r="6" spans="1:25" ht="16" x14ac:dyDescent="0.2">
      <c r="A6">
        <v>6</v>
      </c>
      <c r="B6" t="s">
        <v>15</v>
      </c>
      <c r="C6" s="7" t="str">
        <f>IF(B6="Smartphone", "Electronics", IF(B6="Laptop", "Computing", IF(B6="Tablet", "Mobile", IF(B6="Smartwatch", "Wearables", IF(B6="Headphones", "Audio", "Photography")))))</f>
        <v>Photography</v>
      </c>
      <c r="D6" s="1">
        <v>43586</v>
      </c>
      <c r="E6" s="13" t="str">
        <f>IF(OR(MONTH(D6)=9, MONTH(D6)=10, MONTH(D6)=11), "Spring",
 IF(OR(MONTH(D6)=12, MONTH(D6)=1, MONTH(D6)=2), "Summer",
 IF(OR(MONTH(D6)=3, MONTH(D6)=4, MONTH(D6)=5), "Autumn",
 IF(OR(MONTH(D6)=6, MONTH(D6)=7, MONTH(D6)=8), "Winter", "Unknown"
))))</f>
        <v>Autumn</v>
      </c>
      <c r="F6">
        <v>43</v>
      </c>
      <c r="G6">
        <v>216</v>
      </c>
      <c r="H6" s="7">
        <f>F6+G6</f>
        <v>259</v>
      </c>
      <c r="I6">
        <v>187</v>
      </c>
      <c r="J6" s="7">
        <f t="shared" si="0"/>
        <v>72</v>
      </c>
      <c r="K6">
        <v>29</v>
      </c>
      <c r="L6" s="75">
        <f>IF(B6="Camera",$T$13, IF(B6="Headphones",$U$13, IF(B6="Laptop",$V$13, IF(B6="Smartphone",$W$13, IF(B6="Smartwatch",$X$13,$Y$13)))))</f>
        <v>363.0286738351254</v>
      </c>
      <c r="M6" s="75">
        <f t="shared" si="1"/>
        <v>334.0286738351254</v>
      </c>
      <c r="N6" s="32">
        <f>I6/((F6+K6)/2)</f>
        <v>5.1944444444444446</v>
      </c>
      <c r="O6">
        <v>22</v>
      </c>
      <c r="P6">
        <v>0.86617474392754301</v>
      </c>
      <c r="Q6" s="2">
        <v>110.66215858616999</v>
      </c>
      <c r="S6" s="24"/>
      <c r="T6" s="25" t="s">
        <v>15</v>
      </c>
      <c r="U6" s="25" t="s">
        <v>14</v>
      </c>
      <c r="V6" s="25" t="s">
        <v>11</v>
      </c>
      <c r="W6" s="25" t="s">
        <v>10</v>
      </c>
      <c r="X6" s="25" t="s">
        <v>13</v>
      </c>
      <c r="Y6" s="26" t="s">
        <v>12</v>
      </c>
    </row>
    <row r="7" spans="1:25" ht="16" x14ac:dyDescent="0.2">
      <c r="A7">
        <v>6</v>
      </c>
      <c r="B7" t="s">
        <v>15</v>
      </c>
      <c r="C7" s="7" t="str">
        <f>IF(B7="Smartphone", "Electronics", IF(B7="Laptop", "Computing", IF(B7="Tablet", "Mobile", IF(B7="Smartwatch", "Wearables", IF(B7="Headphones", "Audio", "Photography")))))</f>
        <v>Photography</v>
      </c>
      <c r="D7" s="1">
        <v>43617</v>
      </c>
      <c r="E7" s="13" t="str">
        <f>IF(OR(MONTH(D7)=9, MONTH(D7)=10, MONTH(D7)=11), "Spring",
 IF(OR(MONTH(D7)=12, MONTH(D7)=1, MONTH(D7)=2), "Summer",
 IF(OR(MONTH(D7)=3, MONTH(D7)=4, MONTH(D7)=5), "Autumn",
 IF(OR(MONTH(D7)=6, MONTH(D7)=7, MONTH(D7)=8), "Winter", "Unknown"
))))</f>
        <v>Winter</v>
      </c>
      <c r="F7">
        <v>94</v>
      </c>
      <c r="G7">
        <v>213</v>
      </c>
      <c r="H7" s="7">
        <f>F7+G7</f>
        <v>307</v>
      </c>
      <c r="I7">
        <v>190</v>
      </c>
      <c r="J7" s="7">
        <f t="shared" si="0"/>
        <v>117</v>
      </c>
      <c r="K7">
        <v>23</v>
      </c>
      <c r="L7" s="75">
        <f>IF(B7="Camera",$T$13, IF(B7="Headphones",$U$13, IF(B7="Laptop",$V$13, IF(B7="Smartphone",$W$13, IF(B7="Smartwatch",$X$13,$Y$13)))))</f>
        <v>363.0286738351254</v>
      </c>
      <c r="M7" s="75">
        <f t="shared" si="1"/>
        <v>340.0286738351254</v>
      </c>
      <c r="N7" s="32">
        <f>I7/((F7+K7)/2)</f>
        <v>3.2478632478632479</v>
      </c>
      <c r="O7">
        <v>13</v>
      </c>
      <c r="P7">
        <v>0.833895034002757</v>
      </c>
      <c r="Q7" s="2">
        <v>49.267178088231198</v>
      </c>
      <c r="S7" s="20" t="s">
        <v>58</v>
      </c>
      <c r="T7" s="27">
        <f>_xlfn.MAXIFS($I$2:$I$217, $B$2:$B$217, "Camera")</f>
        <v>509</v>
      </c>
      <c r="U7" s="27">
        <f>_xlfn.MAXIFS($I$2:$I$217, $B$2:$B$217, "Headphones")</f>
        <v>425</v>
      </c>
      <c r="V7" s="27">
        <f>_xlfn.MAXIFS($I$2:$I$217, $B$2:$B$217, "Laptop")</f>
        <v>640</v>
      </c>
      <c r="W7" s="27">
        <f>_xlfn.MAXIFS($I$2:$I$217, $B$2:$B$217, "Smartphone")</f>
        <v>525</v>
      </c>
      <c r="X7" s="27">
        <f>_xlfn.MAXIFS($I$2:$I$217, $B$2:$B$217, "Smartwatch")</f>
        <v>530</v>
      </c>
      <c r="Y7" s="28">
        <f>_xlfn.MAXIFS($I$2:$I$217, $B$2:$B$217, "Tablet")</f>
        <v>541</v>
      </c>
    </row>
    <row r="8" spans="1:25" ht="16" x14ac:dyDescent="0.2">
      <c r="A8">
        <v>6</v>
      </c>
      <c r="B8" t="s">
        <v>15</v>
      </c>
      <c r="C8" s="7" t="str">
        <f>IF(B8="Smartphone", "Electronics", IF(B8="Laptop", "Computing", IF(B8="Tablet", "Mobile", IF(B8="Smartwatch", "Wearables", IF(B8="Headphones", "Audio", "Photography")))))</f>
        <v>Photography</v>
      </c>
      <c r="D8" s="1">
        <v>43647</v>
      </c>
      <c r="E8" s="13" t="str">
        <f>IF(OR(MONTH(D8)=9, MONTH(D8)=10, MONTH(D8)=11), "Spring",
 IF(OR(MONTH(D8)=12, MONTH(D8)=1, MONTH(D8)=2), "Summer",
 IF(OR(MONTH(D8)=3, MONTH(D8)=4, MONTH(D8)=5), "Autumn",
 IF(OR(MONTH(D8)=6, MONTH(D8)=7, MONTH(D8)=8), "Winter", "Unknown"
))))</f>
        <v>Winter</v>
      </c>
      <c r="F8">
        <v>52</v>
      </c>
      <c r="G8">
        <v>119</v>
      </c>
      <c r="H8" s="7">
        <f>F8+G8</f>
        <v>171</v>
      </c>
      <c r="I8">
        <v>23</v>
      </c>
      <c r="J8" s="7">
        <f t="shared" si="0"/>
        <v>148</v>
      </c>
      <c r="K8">
        <v>96</v>
      </c>
      <c r="L8" s="75">
        <f>IF(B8="Camera",$T$13, IF(B8="Headphones",$U$13, IF(B8="Laptop",$V$13, IF(B8="Smartphone",$W$13, IF(B8="Smartwatch",$X$13,$Y$13)))))</f>
        <v>363.0286738351254</v>
      </c>
      <c r="M8" s="75">
        <f t="shared" si="1"/>
        <v>267.0286738351254</v>
      </c>
      <c r="N8" s="32">
        <f>I8/((F8+K8)/2)</f>
        <v>0.3108108108108108</v>
      </c>
      <c r="O8">
        <v>20</v>
      </c>
      <c r="P8">
        <v>0.84084925033339297</v>
      </c>
      <c r="Q8" s="2">
        <v>212.61822426308501</v>
      </c>
      <c r="S8" s="20" t="s">
        <v>59</v>
      </c>
      <c r="T8" s="27">
        <f>T7/31</f>
        <v>16.419354838709676</v>
      </c>
      <c r="U8" s="27">
        <f t="shared" ref="U8:Y8" si="2">U7/31</f>
        <v>13.709677419354838</v>
      </c>
      <c r="V8" s="27">
        <f t="shared" si="2"/>
        <v>20.64516129032258</v>
      </c>
      <c r="W8" s="27">
        <f t="shared" si="2"/>
        <v>16.93548387096774</v>
      </c>
      <c r="X8" s="27">
        <f t="shared" si="2"/>
        <v>17.096774193548388</v>
      </c>
      <c r="Y8" s="28">
        <f t="shared" si="2"/>
        <v>17.451612903225808</v>
      </c>
    </row>
    <row r="9" spans="1:25" ht="16" x14ac:dyDescent="0.2">
      <c r="A9">
        <v>6</v>
      </c>
      <c r="B9" t="s">
        <v>15</v>
      </c>
      <c r="C9" s="7" t="str">
        <f>IF(B9="Smartphone", "Electronics", IF(B9="Laptop", "Computing", IF(B9="Tablet", "Mobile", IF(B9="Smartwatch", "Wearables", IF(B9="Headphones", "Audio", "Photography")))))</f>
        <v>Photography</v>
      </c>
      <c r="D9" s="1">
        <v>43678</v>
      </c>
      <c r="E9" s="13" t="str">
        <f>IF(OR(MONTH(D9)=9, MONTH(D9)=10, MONTH(D9)=11), "Spring",
 IF(OR(MONTH(D9)=12, MONTH(D9)=1, MONTH(D9)=2), "Summer",
 IF(OR(MONTH(D9)=3, MONTH(D9)=4, MONTH(D9)=5), "Autumn",
 IF(OR(MONTH(D9)=6, MONTH(D9)=7, MONTH(D9)=8), "Winter", "Unknown"
))))</f>
        <v>Winter</v>
      </c>
      <c r="F9">
        <v>17</v>
      </c>
      <c r="G9">
        <v>179</v>
      </c>
      <c r="H9" s="7">
        <f>F9+G9</f>
        <v>196</v>
      </c>
      <c r="I9">
        <v>188</v>
      </c>
      <c r="J9" s="7">
        <f t="shared" si="0"/>
        <v>8</v>
      </c>
      <c r="K9">
        <v>79</v>
      </c>
      <c r="L9" s="75">
        <f>IF(B9="Camera",$T$13, IF(B9="Headphones",$U$13, IF(B9="Laptop",$V$13, IF(B9="Smartphone",$W$13, IF(B9="Smartwatch",$X$13,$Y$13)))))</f>
        <v>363.0286738351254</v>
      </c>
      <c r="M9" s="75">
        <f t="shared" si="1"/>
        <v>284.0286738351254</v>
      </c>
      <c r="N9" s="32">
        <f>I9/((F9+K9)/2)</f>
        <v>3.9166666666666665</v>
      </c>
      <c r="O9">
        <v>24</v>
      </c>
      <c r="P9">
        <v>0.83994849169615304</v>
      </c>
      <c r="Q9" s="2">
        <v>76.789055354760805</v>
      </c>
      <c r="S9" s="20" t="s">
        <v>60</v>
      </c>
      <c r="T9" s="27">
        <f>_xlfn.MAXIFS($O$2:$O$217, $B$2:$B$217, "Camera")</f>
        <v>29</v>
      </c>
      <c r="U9" s="27">
        <f>_xlfn.MAXIFS($O$2:$O$217, $B$2:$B$217, "Headphones")</f>
        <v>29</v>
      </c>
      <c r="V9" s="27">
        <f>_xlfn.MAXIFS($O$2:$O$217, $B$2:$B$217, "Laptop")</f>
        <v>27</v>
      </c>
      <c r="W9" s="27">
        <f>_xlfn.MAXIFS($O$2:$O$217, $B$2:$B$217, "Smartphone")</f>
        <v>29</v>
      </c>
      <c r="X9" s="27">
        <f>_xlfn.MAXIFS($O$2:$O$217, $B$2:$B$217, "Smartwatch")</f>
        <v>28</v>
      </c>
      <c r="Y9" s="28">
        <f>_xlfn.MAXIFS($O$2:$O$217, $B$2:$B$217, "Tablet")</f>
        <v>29</v>
      </c>
    </row>
    <row r="10" spans="1:25" ht="16" x14ac:dyDescent="0.2">
      <c r="A10">
        <v>6</v>
      </c>
      <c r="B10" t="s">
        <v>15</v>
      </c>
      <c r="C10" s="7" t="str">
        <f>IF(B10="Smartphone", "Electronics", IF(B10="Laptop", "Computing", IF(B10="Tablet", "Mobile", IF(B10="Smartwatch", "Wearables", IF(B10="Headphones", "Audio", "Photography")))))</f>
        <v>Photography</v>
      </c>
      <c r="D10" s="1">
        <v>43709</v>
      </c>
      <c r="E10" s="13" t="str">
        <f>IF(OR(MONTH(D10)=9, MONTH(D10)=10, MONTH(D10)=11), "Spring",
 IF(OR(MONTH(D10)=12, MONTH(D10)=1, MONTH(D10)=2), "Summer",
 IF(OR(MONTH(D10)=3, MONTH(D10)=4, MONTH(D10)=5), "Autumn",
 IF(OR(MONTH(D10)=6, MONTH(D10)=7, MONTH(D10)=8), "Winter", "Unknown"
))))</f>
        <v>Spring</v>
      </c>
      <c r="F10">
        <v>71</v>
      </c>
      <c r="G10">
        <v>198</v>
      </c>
      <c r="H10" s="7">
        <f>F10+G10</f>
        <v>269</v>
      </c>
      <c r="I10">
        <v>139</v>
      </c>
      <c r="J10" s="7">
        <f t="shared" si="0"/>
        <v>130</v>
      </c>
      <c r="K10">
        <v>59</v>
      </c>
      <c r="L10" s="75">
        <f>IF(B10="Camera",$T$13, IF(B10="Headphones",$U$13, IF(B10="Laptop",$V$13, IF(B10="Smartphone",$W$13, IF(B10="Smartwatch",$X$13,$Y$13)))))</f>
        <v>363.0286738351254</v>
      </c>
      <c r="M10" s="75">
        <f t="shared" si="1"/>
        <v>304.0286738351254</v>
      </c>
      <c r="N10" s="32">
        <f>I10/((F10+K10)/2)</f>
        <v>2.1384615384615384</v>
      </c>
      <c r="O10">
        <v>29</v>
      </c>
      <c r="P10">
        <v>0.93803863748353</v>
      </c>
      <c r="Q10" s="2">
        <v>174.401532044649</v>
      </c>
      <c r="S10" s="20" t="s">
        <v>61</v>
      </c>
      <c r="T10" s="27">
        <f>AVERAGEIFS($I$2:$I$217, $B$2:$B$217, "Camera")</f>
        <v>219.19444444444446</v>
      </c>
      <c r="U10" s="27">
        <f>AVERAGEIFS($I$2:$I$217, $B$2:$B$217, "Headphones")</f>
        <v>245.41666666666666</v>
      </c>
      <c r="V10" s="27">
        <f>AVERAGEIFS($I$2:$I$217, $B$2:$B$217, "Laptop")</f>
        <v>224.91666666666666</v>
      </c>
      <c r="W10" s="27">
        <f>AVERAGEIFS($I$2:$I$217, $B$2:$B$217, "Smartphone")</f>
        <v>277.61111111111109</v>
      </c>
      <c r="X10" s="27">
        <f>AVERAGEIFS($I$2:$I$217, $B$2:$B$217, "Smartwatch")</f>
        <v>226.30555555555554</v>
      </c>
      <c r="Y10" s="28">
        <f>AVERAGEIFS($I$2:$I$217, $B$2:$B$217, "Tablet")</f>
        <v>256.94444444444446</v>
      </c>
    </row>
    <row r="11" spans="1:25" ht="16" x14ac:dyDescent="0.2">
      <c r="A11">
        <v>6</v>
      </c>
      <c r="B11" t="s">
        <v>15</v>
      </c>
      <c r="C11" s="7" t="str">
        <f>IF(B11="Smartphone", "Electronics", IF(B11="Laptop", "Computing", IF(B11="Tablet", "Mobile", IF(B11="Smartwatch", "Wearables", IF(B11="Headphones", "Audio", "Photography")))))</f>
        <v>Photography</v>
      </c>
      <c r="D11" s="1">
        <v>43739</v>
      </c>
      <c r="E11" s="13" t="str">
        <f>IF(OR(MONTH(D11)=9, MONTH(D11)=10, MONTH(D11)=11), "Spring",
 IF(OR(MONTH(D11)=12, MONTH(D11)=1, MONTH(D11)=2), "Summer",
 IF(OR(MONTH(D11)=3, MONTH(D11)=4, MONTH(D11)=5), "Autumn",
 IF(OR(MONTH(D11)=6, MONTH(D11)=7, MONTH(D11)=8), "Winter", "Unknown"
))))</f>
        <v>Spring</v>
      </c>
      <c r="F11">
        <v>13</v>
      </c>
      <c r="G11">
        <v>349</v>
      </c>
      <c r="H11" s="7">
        <f>F11+G11</f>
        <v>362</v>
      </c>
      <c r="I11">
        <v>317</v>
      </c>
      <c r="J11" s="7">
        <f t="shared" si="0"/>
        <v>45</v>
      </c>
      <c r="K11">
        <v>32</v>
      </c>
      <c r="L11" s="75">
        <f>IF(B11="Camera",$T$13, IF(B11="Headphones",$U$13, IF(B11="Laptop",$V$13, IF(B11="Smartphone",$W$13, IF(B11="Smartwatch",$X$13,$Y$13)))))</f>
        <v>363.0286738351254</v>
      </c>
      <c r="M11" s="75">
        <f t="shared" si="1"/>
        <v>331.0286738351254</v>
      </c>
      <c r="N11" s="32">
        <f>I11/((F11+K11)/2)</f>
        <v>14.088888888888889</v>
      </c>
      <c r="O11">
        <v>23</v>
      </c>
      <c r="P11">
        <v>0.90378361470236102</v>
      </c>
      <c r="Q11" s="2">
        <v>67.736387876091698</v>
      </c>
      <c r="S11" s="20" t="s">
        <v>62</v>
      </c>
      <c r="T11" s="27">
        <f>T10/31</f>
        <v>7.0707885304659506</v>
      </c>
      <c r="U11" s="27">
        <f t="shared" ref="U11:X11" si="3">U10/31</f>
        <v>7.9166666666666661</v>
      </c>
      <c r="V11" s="27">
        <f t="shared" si="3"/>
        <v>7.2553763440860211</v>
      </c>
      <c r="W11" s="27">
        <f t="shared" si="3"/>
        <v>8.9551971326164868</v>
      </c>
      <c r="X11" s="27">
        <f t="shared" si="3"/>
        <v>7.3001792114695334</v>
      </c>
      <c r="Y11" s="28">
        <f>Y10/31</f>
        <v>8.2885304659498207</v>
      </c>
    </row>
    <row r="12" spans="1:25" ht="16" x14ac:dyDescent="0.2">
      <c r="A12">
        <v>6</v>
      </c>
      <c r="B12" t="s">
        <v>15</v>
      </c>
      <c r="C12" s="7" t="str">
        <f>IF(B12="Smartphone", "Electronics", IF(B12="Laptop", "Computing", IF(B12="Tablet", "Mobile", IF(B12="Smartwatch", "Wearables", IF(B12="Headphones", "Audio", "Photography")))))</f>
        <v>Photography</v>
      </c>
      <c r="D12" s="1">
        <v>43770</v>
      </c>
      <c r="E12" s="13" t="str">
        <f>IF(OR(MONTH(D12)=9, MONTH(D12)=10, MONTH(D12)=11), "Spring",
 IF(OR(MONTH(D12)=12, MONTH(D12)=1, MONTH(D12)=2), "Summer",
 IF(OR(MONTH(D12)=3, MONTH(D12)=4, MONTH(D12)=5), "Autumn",
 IF(OR(MONTH(D12)=6, MONTH(D12)=7, MONTH(D12)=8), "Winter", "Unknown"
))))</f>
        <v>Spring</v>
      </c>
      <c r="F12">
        <v>341</v>
      </c>
      <c r="G12">
        <v>179</v>
      </c>
      <c r="H12" s="7">
        <f>F12+G12</f>
        <v>520</v>
      </c>
      <c r="I12">
        <v>489</v>
      </c>
      <c r="J12" s="7">
        <f t="shared" si="0"/>
        <v>31</v>
      </c>
      <c r="K12">
        <v>2</v>
      </c>
      <c r="L12" s="75">
        <f>IF(B12="Camera",$T$13, IF(B12="Headphones",$U$13, IF(B12="Laptop",$V$13, IF(B12="Smartphone",$W$13, IF(B12="Smartwatch",$X$13,$Y$13)))))</f>
        <v>363.0286738351254</v>
      </c>
      <c r="M12" s="75">
        <f t="shared" si="1"/>
        <v>361.0286738351254</v>
      </c>
      <c r="N12" s="32">
        <f>I12/((F12+K12)/2)</f>
        <v>2.8513119533527695</v>
      </c>
      <c r="O12">
        <v>5</v>
      </c>
      <c r="P12">
        <v>0.88266834082545798</v>
      </c>
      <c r="Q12" s="2">
        <v>117.479174643319</v>
      </c>
      <c r="S12" s="20" t="s">
        <v>63</v>
      </c>
      <c r="T12" s="27">
        <f>AVERAGEIFS($O$2:$O$217, $B$2:$B$217, "Camera")</f>
        <v>16</v>
      </c>
      <c r="U12" s="27">
        <f>AVERAGEIFS($O$2:$O$217, $B$2:$B$217, "Headphones")</f>
        <v>17.694444444444443</v>
      </c>
      <c r="V12" s="27">
        <f>AVERAGEIFS($O$2:$O$217, $B$2:$B$217, "Laptop")</f>
        <v>15.472222222222221</v>
      </c>
      <c r="W12" s="27">
        <f>AVERAGEIFS($O$2:$O$217, $B$2:$B$217, "Smartphone")</f>
        <v>14.861111111111111</v>
      </c>
      <c r="X12" s="27">
        <f>AVERAGEIFS($O$2:$O$217, $B$2:$B$217, "Smartwatch")</f>
        <v>15.833333333333334</v>
      </c>
      <c r="Y12" s="28">
        <f>AVERAGEIFS($O$2:$O$217, $B$2:$B$217, "Tablet")</f>
        <v>14.694444444444445</v>
      </c>
    </row>
    <row r="13" spans="1:25" ht="17" thickBot="1" x14ac:dyDescent="0.25">
      <c r="A13">
        <v>6</v>
      </c>
      <c r="B13" t="s">
        <v>15</v>
      </c>
      <c r="C13" s="7" t="str">
        <f>IF(B13="Smartphone", "Electronics", IF(B13="Laptop", "Computing", IF(B13="Tablet", "Mobile", IF(B13="Smartwatch", "Wearables", IF(B13="Headphones", "Audio", "Photography")))))</f>
        <v>Photography</v>
      </c>
      <c r="D13" s="1">
        <v>43800</v>
      </c>
      <c r="E13" s="13" t="str">
        <f>IF(OR(MONTH(D13)=9, MONTH(D13)=10, MONTH(D13)=11), "Spring",
 IF(OR(MONTH(D13)=12, MONTH(D13)=1, MONTH(D13)=2), "Summer",
 IF(OR(MONTH(D13)=3, MONTH(D13)=4, MONTH(D13)=5), "Autumn",
 IF(OR(MONTH(D13)=6, MONTH(D13)=7, MONTH(D13)=8), "Winter", "Unknown"
))))</f>
        <v>Summer</v>
      </c>
      <c r="F13">
        <v>90</v>
      </c>
      <c r="G13">
        <v>340</v>
      </c>
      <c r="H13" s="7">
        <f>F13+G13</f>
        <v>430</v>
      </c>
      <c r="I13">
        <v>298</v>
      </c>
      <c r="J13" s="7">
        <f t="shared" si="0"/>
        <v>132</v>
      </c>
      <c r="K13">
        <v>42</v>
      </c>
      <c r="L13" s="75">
        <f>IF(B13="Camera",$T$13, IF(B13="Headphones",$U$13, IF(B13="Laptop",$V$13, IF(B13="Smartphone",$W$13, IF(B13="Smartwatch",$X$13,$Y$13)))))</f>
        <v>363.0286738351254</v>
      </c>
      <c r="M13" s="75">
        <f t="shared" si="1"/>
        <v>321.0286738351254</v>
      </c>
      <c r="N13" s="32">
        <f>I13/((F13+K13)/2)</f>
        <v>4.5151515151515156</v>
      </c>
      <c r="O13">
        <v>8</v>
      </c>
      <c r="P13">
        <v>0.99681946512844499</v>
      </c>
      <c r="Q13" s="2">
        <v>83.574056140398596</v>
      </c>
      <c r="S13" s="29" t="s">
        <v>56</v>
      </c>
      <c r="T13" s="30">
        <f>T8*T9-T11*T12</f>
        <v>363.0286738351254</v>
      </c>
      <c r="U13" s="30">
        <f t="shared" ref="U13:Y13" si="4">U8*U9-U11*U12</f>
        <v>257.49962664277177</v>
      </c>
      <c r="V13" s="30">
        <f t="shared" si="4"/>
        <v>445.16255973715647</v>
      </c>
      <c r="W13" s="30">
        <f t="shared" si="4"/>
        <v>358.04485264834722</v>
      </c>
      <c r="X13" s="30">
        <f t="shared" si="4"/>
        <v>363.12350657108726</v>
      </c>
      <c r="Y13" s="31">
        <f t="shared" si="4"/>
        <v>384.30142373556356</v>
      </c>
    </row>
    <row r="14" spans="1:25" x14ac:dyDescent="0.2">
      <c r="A14">
        <v>6</v>
      </c>
      <c r="B14" t="s">
        <v>15</v>
      </c>
      <c r="C14" s="7" t="str">
        <f>IF(B14="Smartphone", "Electronics", IF(B14="Laptop", "Computing", IF(B14="Tablet", "Mobile", IF(B14="Smartwatch", "Wearables", IF(B14="Headphones", "Audio", "Photography")))))</f>
        <v>Photography</v>
      </c>
      <c r="D14" s="1">
        <v>43831</v>
      </c>
      <c r="E14" s="13" t="str">
        <f>IF(OR(MONTH(D14)=9, MONTH(D14)=10, MONTH(D14)=11), "Spring",
 IF(OR(MONTH(D14)=12, MONTH(D14)=1, MONTH(D14)=2), "Summer",
 IF(OR(MONTH(D14)=3, MONTH(D14)=4, MONTH(D14)=5), "Autumn",
 IF(OR(MONTH(D14)=6, MONTH(D14)=7, MONTH(D14)=8), "Winter", "Unknown"
))))</f>
        <v>Summer</v>
      </c>
      <c r="F14">
        <v>63</v>
      </c>
      <c r="G14">
        <v>349</v>
      </c>
      <c r="H14" s="7">
        <f>F14+G14</f>
        <v>412</v>
      </c>
      <c r="I14">
        <v>253</v>
      </c>
      <c r="J14" s="7">
        <f t="shared" si="0"/>
        <v>159</v>
      </c>
      <c r="K14">
        <v>96</v>
      </c>
      <c r="L14" s="75">
        <f>IF(B14="Camera",$T$13, IF(B14="Headphones",$U$13, IF(B14="Laptop",$V$13, IF(B14="Smartphone",$W$13, IF(B14="Smartwatch",$X$13,$Y$13)))))</f>
        <v>363.0286738351254</v>
      </c>
      <c r="M14" s="75">
        <f t="shared" si="1"/>
        <v>267.0286738351254</v>
      </c>
      <c r="N14" s="32">
        <f>I14/((F14+K14)/2)</f>
        <v>3.1823899371069184</v>
      </c>
      <c r="O14">
        <v>4</v>
      </c>
      <c r="P14">
        <v>0.94775770584504104</v>
      </c>
      <c r="Q14" s="2">
        <v>34.434849234606098</v>
      </c>
    </row>
    <row r="15" spans="1:25" x14ac:dyDescent="0.2">
      <c r="A15">
        <v>6</v>
      </c>
      <c r="B15" t="s">
        <v>15</v>
      </c>
      <c r="C15" s="7" t="str">
        <f>IF(B15="Smartphone", "Electronics", IF(B15="Laptop", "Computing", IF(B15="Tablet", "Mobile", IF(B15="Smartwatch", "Wearables", IF(B15="Headphones", "Audio", "Photography")))))</f>
        <v>Photography</v>
      </c>
      <c r="D15" s="1">
        <v>43862</v>
      </c>
      <c r="E15" s="13" t="str">
        <f>IF(OR(MONTH(D15)=9, MONTH(D15)=10, MONTH(D15)=11), "Spring",
 IF(OR(MONTH(D15)=12, MONTH(D15)=1, MONTH(D15)=2), "Summer",
 IF(OR(MONTH(D15)=3, MONTH(D15)=4, MONTH(D15)=5), "Autumn",
 IF(OR(MONTH(D15)=6, MONTH(D15)=7, MONTH(D15)=8), "Winter", "Unknown"
))))</f>
        <v>Summer</v>
      </c>
      <c r="F15">
        <v>77</v>
      </c>
      <c r="G15">
        <v>360</v>
      </c>
      <c r="H15" s="7">
        <f>F15+G15</f>
        <v>437</v>
      </c>
      <c r="I15">
        <v>309</v>
      </c>
      <c r="J15" s="7">
        <f t="shared" si="0"/>
        <v>128</v>
      </c>
      <c r="K15">
        <v>51</v>
      </c>
      <c r="L15" s="75">
        <f>IF(B15="Camera",$T$13, IF(B15="Headphones",$U$13, IF(B15="Laptop",$V$13, IF(B15="Smartphone",$W$13, IF(B15="Smartwatch",$X$13,$Y$13)))))</f>
        <v>363.0286738351254</v>
      </c>
      <c r="M15" s="75">
        <f t="shared" si="1"/>
        <v>312.0286738351254</v>
      </c>
      <c r="N15" s="32">
        <f>I15/((F15+K15)/2)</f>
        <v>4.828125</v>
      </c>
      <c r="O15">
        <v>25</v>
      </c>
      <c r="P15">
        <v>0.89961353888726303</v>
      </c>
      <c r="Q15" s="2">
        <v>32.029173284210998</v>
      </c>
    </row>
    <row r="16" spans="1:25" x14ac:dyDescent="0.2">
      <c r="A16">
        <v>6</v>
      </c>
      <c r="B16" t="s">
        <v>15</v>
      </c>
      <c r="C16" s="7" t="str">
        <f>IF(B16="Smartphone", "Electronics", IF(B16="Laptop", "Computing", IF(B16="Tablet", "Mobile", IF(B16="Smartwatch", "Wearables", IF(B16="Headphones", "Audio", "Photography")))))</f>
        <v>Photography</v>
      </c>
      <c r="D16" s="1">
        <v>43891</v>
      </c>
      <c r="E16" s="13" t="str">
        <f>IF(OR(MONTH(D16)=9, MONTH(D16)=10, MONTH(D16)=11), "Spring",
 IF(OR(MONTH(D16)=12, MONTH(D16)=1, MONTH(D16)=2), "Summer",
 IF(OR(MONTH(D16)=3, MONTH(D16)=4, MONTH(D16)=5), "Autumn",
 IF(OR(MONTH(D16)=6, MONTH(D16)=7, MONTH(D16)=8), "Winter", "Unknown"
))))</f>
        <v>Autumn</v>
      </c>
      <c r="F16">
        <v>126</v>
      </c>
      <c r="G16">
        <v>104</v>
      </c>
      <c r="H16" s="7">
        <f>F16+G16</f>
        <v>230</v>
      </c>
      <c r="I16">
        <v>220</v>
      </c>
      <c r="J16" s="7">
        <f t="shared" si="0"/>
        <v>10</v>
      </c>
      <c r="K16">
        <v>15</v>
      </c>
      <c r="L16" s="75">
        <f>IF(B16="Camera",$T$13, IF(B16="Headphones",$U$13, IF(B16="Laptop",$V$13, IF(B16="Smartphone",$W$13, IF(B16="Smartwatch",$X$13,$Y$13)))))</f>
        <v>363.0286738351254</v>
      </c>
      <c r="M16" s="75">
        <f t="shared" si="1"/>
        <v>348.0286738351254</v>
      </c>
      <c r="N16" s="32">
        <f>I16/((F16+K16)/2)</f>
        <v>3.1205673758865249</v>
      </c>
      <c r="O16">
        <v>27</v>
      </c>
      <c r="P16">
        <v>0.93945670125733405</v>
      </c>
      <c r="Q16" s="2">
        <v>66.044668473207295</v>
      </c>
    </row>
    <row r="17" spans="1:17" x14ac:dyDescent="0.2">
      <c r="A17">
        <v>6</v>
      </c>
      <c r="B17" t="s">
        <v>15</v>
      </c>
      <c r="C17" s="7" t="str">
        <f>IF(B17="Smartphone", "Electronics", IF(B17="Laptop", "Computing", IF(B17="Tablet", "Mobile", IF(B17="Smartwatch", "Wearables", IF(B17="Headphones", "Audio", "Photography")))))</f>
        <v>Photography</v>
      </c>
      <c r="D17" s="1">
        <v>43922</v>
      </c>
      <c r="E17" s="13" t="str">
        <f>IF(OR(MONTH(D17)=9, MONTH(D17)=10, MONTH(D17)=11), "Spring",
 IF(OR(MONTH(D17)=12, MONTH(D17)=1, MONTH(D17)=2), "Summer",
 IF(OR(MONTH(D17)=3, MONTH(D17)=4, MONTH(D17)=5), "Autumn",
 IF(OR(MONTH(D17)=6, MONTH(D17)=7, MONTH(D17)=8), "Winter", "Unknown"
))))</f>
        <v>Autumn</v>
      </c>
      <c r="F17">
        <v>27</v>
      </c>
      <c r="G17">
        <v>185</v>
      </c>
      <c r="H17" s="7">
        <f>F17+G17</f>
        <v>212</v>
      </c>
      <c r="I17">
        <v>176</v>
      </c>
      <c r="J17" s="7">
        <f t="shared" si="0"/>
        <v>36</v>
      </c>
      <c r="K17">
        <v>9</v>
      </c>
      <c r="L17" s="75">
        <f>IF(B17="Camera",$T$13, IF(B17="Headphones",$U$13, IF(B17="Laptop",$V$13, IF(B17="Smartphone",$W$13, IF(B17="Smartwatch",$X$13,$Y$13)))))</f>
        <v>363.0286738351254</v>
      </c>
      <c r="M17" s="75">
        <f t="shared" si="1"/>
        <v>354.0286738351254</v>
      </c>
      <c r="N17" s="32">
        <f>I17/((F17+K17)/2)</f>
        <v>9.7777777777777786</v>
      </c>
      <c r="O17">
        <v>20</v>
      </c>
      <c r="P17">
        <v>0.95070524656398503</v>
      </c>
      <c r="Q17" s="2">
        <v>49.6869904073558</v>
      </c>
    </row>
    <row r="18" spans="1:17" x14ac:dyDescent="0.2">
      <c r="A18">
        <v>6</v>
      </c>
      <c r="B18" t="s">
        <v>15</v>
      </c>
      <c r="C18" s="7" t="str">
        <f>IF(B18="Smartphone", "Electronics", IF(B18="Laptop", "Computing", IF(B18="Tablet", "Mobile", IF(B18="Smartwatch", "Wearables", IF(B18="Headphones", "Audio", "Photography")))))</f>
        <v>Photography</v>
      </c>
      <c r="D18" s="1">
        <v>43952</v>
      </c>
      <c r="E18" s="13" t="str">
        <f>IF(OR(MONTH(D18)=9, MONTH(D18)=10, MONTH(D18)=11), "Spring",
 IF(OR(MONTH(D18)=12, MONTH(D18)=1, MONTH(D18)=2), "Summer",
 IF(OR(MONTH(D18)=3, MONTH(D18)=4, MONTH(D18)=5), "Autumn",
 IF(OR(MONTH(D18)=6, MONTH(D18)=7, MONTH(D18)=8), "Winter", "Unknown"
))))</f>
        <v>Autumn</v>
      </c>
      <c r="F18">
        <v>29</v>
      </c>
      <c r="G18">
        <v>397</v>
      </c>
      <c r="H18" s="7">
        <f>F18+G18</f>
        <v>426</v>
      </c>
      <c r="I18">
        <v>374</v>
      </c>
      <c r="J18" s="7">
        <f t="shared" si="0"/>
        <v>52</v>
      </c>
      <c r="K18">
        <v>23</v>
      </c>
      <c r="L18" s="75">
        <f>IF(B18="Camera",$T$13, IF(B18="Headphones",$U$13, IF(B18="Laptop",$V$13, IF(B18="Smartphone",$W$13, IF(B18="Smartwatch",$X$13,$Y$13)))))</f>
        <v>363.0286738351254</v>
      </c>
      <c r="M18" s="75">
        <f t="shared" si="1"/>
        <v>340.0286738351254</v>
      </c>
      <c r="N18" s="32">
        <f>I18/((F18+K18)/2)</f>
        <v>14.384615384615385</v>
      </c>
      <c r="O18">
        <v>22</v>
      </c>
      <c r="P18">
        <v>0.90946439471177698</v>
      </c>
      <c r="Q18" s="2">
        <v>155.67122555973901</v>
      </c>
    </row>
    <row r="19" spans="1:17" x14ac:dyDescent="0.2">
      <c r="A19">
        <v>6</v>
      </c>
      <c r="B19" t="s">
        <v>15</v>
      </c>
      <c r="C19" s="7" t="str">
        <f>IF(B19="Smartphone", "Electronics", IF(B19="Laptop", "Computing", IF(B19="Tablet", "Mobile", IF(B19="Smartwatch", "Wearables", IF(B19="Headphones", "Audio", "Photography")))))</f>
        <v>Photography</v>
      </c>
      <c r="D19" s="1">
        <v>43983</v>
      </c>
      <c r="E19" s="13" t="str">
        <f>IF(OR(MONTH(D19)=9, MONTH(D19)=10, MONTH(D19)=11), "Spring",
 IF(OR(MONTH(D19)=12, MONTH(D19)=1, MONTH(D19)=2), "Summer",
 IF(OR(MONTH(D19)=3, MONTH(D19)=4, MONTH(D19)=5), "Autumn",
 IF(OR(MONTH(D19)=6, MONTH(D19)=7, MONTH(D19)=8), "Winter", "Unknown"
))))</f>
        <v>Winter</v>
      </c>
      <c r="F19">
        <v>23</v>
      </c>
      <c r="G19">
        <v>297</v>
      </c>
      <c r="H19" s="7">
        <f>F19+G19</f>
        <v>320</v>
      </c>
      <c r="I19">
        <v>100</v>
      </c>
      <c r="J19" s="7">
        <f t="shared" si="0"/>
        <v>220</v>
      </c>
      <c r="K19">
        <v>197</v>
      </c>
      <c r="L19" s="75">
        <f>IF(B19="Camera",$T$13, IF(B19="Headphones",$U$13, IF(B19="Laptop",$V$13, IF(B19="Smartphone",$W$13, IF(B19="Smartwatch",$X$13,$Y$13)))))</f>
        <v>363.0286738351254</v>
      </c>
      <c r="M19" s="75">
        <f t="shared" si="1"/>
        <v>166.0286738351254</v>
      </c>
      <c r="N19" s="32">
        <f>I19/((F19+K19)/2)</f>
        <v>0.90909090909090906</v>
      </c>
      <c r="O19">
        <v>2</v>
      </c>
      <c r="P19">
        <v>0.85637423422040604</v>
      </c>
      <c r="Q19" s="2">
        <v>609.98941973681099</v>
      </c>
    </row>
    <row r="20" spans="1:17" x14ac:dyDescent="0.2">
      <c r="A20">
        <v>6</v>
      </c>
      <c r="B20" t="s">
        <v>15</v>
      </c>
      <c r="C20" s="7" t="str">
        <f>IF(B20="Smartphone", "Electronics", IF(B20="Laptop", "Computing", IF(B20="Tablet", "Mobile", IF(B20="Smartwatch", "Wearables", IF(B20="Headphones", "Audio", "Photography")))))</f>
        <v>Photography</v>
      </c>
      <c r="D20" s="1">
        <v>44013</v>
      </c>
      <c r="E20" s="13" t="str">
        <f>IF(OR(MONTH(D20)=9, MONTH(D20)=10, MONTH(D20)=11), "Spring",
 IF(OR(MONTH(D20)=12, MONTH(D20)=1, MONTH(D20)=2), "Summer",
 IF(OR(MONTH(D20)=3, MONTH(D20)=4, MONTH(D20)=5), "Autumn",
 IF(OR(MONTH(D20)=6, MONTH(D20)=7, MONTH(D20)=8), "Winter", "Unknown"
))))</f>
        <v>Winter</v>
      </c>
      <c r="F20">
        <v>96</v>
      </c>
      <c r="G20">
        <v>133</v>
      </c>
      <c r="H20" s="7">
        <f>F20+G20</f>
        <v>229</v>
      </c>
      <c r="I20">
        <v>145</v>
      </c>
      <c r="J20" s="7">
        <f t="shared" si="0"/>
        <v>84</v>
      </c>
      <c r="K20">
        <v>4</v>
      </c>
      <c r="L20" s="75">
        <f>IF(B20="Camera",$T$13, IF(B20="Headphones",$U$13, IF(B20="Laptop",$V$13, IF(B20="Smartphone",$W$13, IF(B20="Smartwatch",$X$13,$Y$13)))))</f>
        <v>363.0286738351254</v>
      </c>
      <c r="M20" s="75">
        <f t="shared" si="1"/>
        <v>359.0286738351254</v>
      </c>
      <c r="N20" s="32">
        <f>I20/((F20+K20)/2)</f>
        <v>2.9</v>
      </c>
      <c r="O20">
        <v>19</v>
      </c>
      <c r="P20">
        <v>0.99402175732013198</v>
      </c>
      <c r="Q20" s="2">
        <v>67.736677653765796</v>
      </c>
    </row>
    <row r="21" spans="1:17" x14ac:dyDescent="0.2">
      <c r="A21">
        <v>6</v>
      </c>
      <c r="B21" t="s">
        <v>15</v>
      </c>
      <c r="C21" s="7" t="str">
        <f>IF(B21="Smartphone", "Electronics", IF(B21="Laptop", "Computing", IF(B21="Tablet", "Mobile", IF(B21="Smartwatch", "Wearables", IF(B21="Headphones", "Audio", "Photography")))))</f>
        <v>Photography</v>
      </c>
      <c r="D21" s="1">
        <v>44044</v>
      </c>
      <c r="E21" s="13" t="str">
        <f>IF(OR(MONTH(D21)=9, MONTH(D21)=10, MONTH(D21)=11), "Spring",
 IF(OR(MONTH(D21)=12, MONTH(D21)=1, MONTH(D21)=2), "Summer",
 IF(OR(MONTH(D21)=3, MONTH(D21)=4, MONTH(D21)=5), "Autumn",
 IF(OR(MONTH(D21)=6, MONTH(D21)=7, MONTH(D21)=8), "Winter", "Unknown"
))))</f>
        <v>Winter</v>
      </c>
      <c r="F21">
        <v>79</v>
      </c>
      <c r="G21">
        <v>87</v>
      </c>
      <c r="H21" s="7">
        <f>F21+G21</f>
        <v>166</v>
      </c>
      <c r="I21">
        <v>72</v>
      </c>
      <c r="J21" s="7">
        <f t="shared" si="0"/>
        <v>94</v>
      </c>
      <c r="K21">
        <v>15</v>
      </c>
      <c r="L21" s="75">
        <f>IF(B21="Camera",$T$13, IF(B21="Headphones",$U$13, IF(B21="Laptop",$V$13, IF(B21="Smartphone",$W$13, IF(B21="Smartwatch",$X$13,$Y$13)))))</f>
        <v>363.0286738351254</v>
      </c>
      <c r="M21" s="75">
        <f t="shared" si="1"/>
        <v>348.0286738351254</v>
      </c>
      <c r="N21" s="32">
        <f>I21/((F21+K21)/2)</f>
        <v>1.5319148936170213</v>
      </c>
      <c r="O21">
        <v>26</v>
      </c>
      <c r="P21">
        <v>0.89642771714506098</v>
      </c>
      <c r="Q21" s="2">
        <v>63.189353321870001</v>
      </c>
    </row>
    <row r="22" spans="1:17" x14ac:dyDescent="0.2">
      <c r="A22">
        <v>6</v>
      </c>
      <c r="B22" t="s">
        <v>15</v>
      </c>
      <c r="C22" s="7" t="str">
        <f>IF(B22="Smartphone", "Electronics", IF(B22="Laptop", "Computing", IF(B22="Tablet", "Mobile", IF(B22="Smartwatch", "Wearables", IF(B22="Headphones", "Audio", "Photography")))))</f>
        <v>Photography</v>
      </c>
      <c r="D22" s="1">
        <v>44075</v>
      </c>
      <c r="E22" s="13" t="str">
        <f>IF(OR(MONTH(D22)=9, MONTH(D22)=10, MONTH(D22)=11), "Spring",
 IF(OR(MONTH(D22)=12, MONTH(D22)=1, MONTH(D22)=2), "Summer",
 IF(OR(MONTH(D22)=3, MONTH(D22)=4, MONTH(D22)=5), "Autumn",
 IF(OR(MONTH(D22)=6, MONTH(D22)=7, MONTH(D22)=8), "Winter", "Unknown"
))))</f>
        <v>Spring</v>
      </c>
      <c r="F22">
        <v>59</v>
      </c>
      <c r="G22">
        <v>286</v>
      </c>
      <c r="H22" s="7">
        <f>F22+G22</f>
        <v>345</v>
      </c>
      <c r="I22">
        <v>200</v>
      </c>
      <c r="J22" s="7">
        <f t="shared" si="0"/>
        <v>145</v>
      </c>
      <c r="K22">
        <v>86</v>
      </c>
      <c r="L22" s="75">
        <f>IF(B22="Camera",$T$13, IF(B22="Headphones",$U$13, IF(B22="Laptop",$V$13, IF(B22="Smartphone",$W$13, IF(B22="Smartwatch",$X$13,$Y$13)))))</f>
        <v>363.0286738351254</v>
      </c>
      <c r="M22" s="75">
        <f t="shared" si="1"/>
        <v>277.0286738351254</v>
      </c>
      <c r="N22" s="32">
        <f>I22/((F22+K22)/2)</f>
        <v>2.7586206896551726</v>
      </c>
      <c r="O22">
        <v>10</v>
      </c>
      <c r="P22">
        <v>0.862122514438035</v>
      </c>
      <c r="Q22" s="2">
        <v>37.435082527065099</v>
      </c>
    </row>
    <row r="23" spans="1:17" x14ac:dyDescent="0.2">
      <c r="A23">
        <v>6</v>
      </c>
      <c r="B23" t="s">
        <v>15</v>
      </c>
      <c r="C23" s="7" t="str">
        <f>IF(B23="Smartphone", "Electronics", IF(B23="Laptop", "Computing", IF(B23="Tablet", "Mobile", IF(B23="Smartwatch", "Wearables", IF(B23="Headphones", "Audio", "Photography")))))</f>
        <v>Photography</v>
      </c>
      <c r="D23" s="1">
        <v>44105</v>
      </c>
      <c r="E23" s="13" t="str">
        <f>IF(OR(MONTH(D23)=9, MONTH(D23)=10, MONTH(D23)=11), "Spring",
 IF(OR(MONTH(D23)=12, MONTH(D23)=1, MONTH(D23)=2), "Summer",
 IF(OR(MONTH(D23)=3, MONTH(D23)=4, MONTH(D23)=5), "Autumn",
 IF(OR(MONTH(D23)=6, MONTH(D23)=7, MONTH(D23)=8), "Winter", "Unknown"
))))</f>
        <v>Spring</v>
      </c>
      <c r="F23">
        <v>32</v>
      </c>
      <c r="G23">
        <v>498</v>
      </c>
      <c r="H23" s="7">
        <f>F23+G23</f>
        <v>530</v>
      </c>
      <c r="I23">
        <v>369</v>
      </c>
      <c r="J23" s="7">
        <f t="shared" si="0"/>
        <v>161</v>
      </c>
      <c r="K23">
        <v>129</v>
      </c>
      <c r="L23" s="75">
        <f>IF(B23="Camera",$T$13, IF(B23="Headphones",$U$13, IF(B23="Laptop",$V$13, IF(B23="Smartphone",$W$13, IF(B23="Smartwatch",$X$13,$Y$13)))))</f>
        <v>363.0286738351254</v>
      </c>
      <c r="M23" s="75">
        <f t="shared" si="1"/>
        <v>234.0286738351254</v>
      </c>
      <c r="N23" s="32">
        <f>I23/((F23+K23)/2)</f>
        <v>4.5838509316770191</v>
      </c>
      <c r="O23">
        <v>6</v>
      </c>
      <c r="P23">
        <v>0.96013136505238295</v>
      </c>
      <c r="Q23" s="2">
        <v>100.219389199962</v>
      </c>
    </row>
    <row r="24" spans="1:17" x14ac:dyDescent="0.2">
      <c r="A24">
        <v>6</v>
      </c>
      <c r="B24" t="s">
        <v>15</v>
      </c>
      <c r="C24" s="7" t="str">
        <f>IF(B24="Smartphone", "Electronics", IF(B24="Laptop", "Computing", IF(B24="Tablet", "Mobile", IF(B24="Smartwatch", "Wearables", IF(B24="Headphones", "Audio", "Photography")))))</f>
        <v>Photography</v>
      </c>
      <c r="D24" s="1">
        <v>44136</v>
      </c>
      <c r="E24" s="13" t="str">
        <f>IF(OR(MONTH(D24)=9, MONTH(D24)=10, MONTH(D24)=11), "Spring",
 IF(OR(MONTH(D24)=12, MONTH(D24)=1, MONTH(D24)=2), "Summer",
 IF(OR(MONTH(D24)=3, MONTH(D24)=4, MONTH(D24)=5), "Autumn",
 IF(OR(MONTH(D24)=6, MONTH(D24)=7, MONTH(D24)=8), "Winter", "Unknown"
))))</f>
        <v>Spring</v>
      </c>
      <c r="F24">
        <v>2</v>
      </c>
      <c r="G24">
        <v>203</v>
      </c>
      <c r="H24" s="7">
        <f>F24+G24</f>
        <v>205</v>
      </c>
      <c r="I24">
        <v>167</v>
      </c>
      <c r="J24" s="7">
        <f t="shared" si="0"/>
        <v>38</v>
      </c>
      <c r="K24">
        <v>36</v>
      </c>
      <c r="L24" s="75">
        <f>IF(B24="Camera",$T$13, IF(B24="Headphones",$U$13, IF(B24="Laptop",$V$13, IF(B24="Smartphone",$W$13, IF(B24="Smartwatch",$X$13,$Y$13)))))</f>
        <v>363.0286738351254</v>
      </c>
      <c r="M24" s="75">
        <f t="shared" si="1"/>
        <v>327.0286738351254</v>
      </c>
      <c r="N24" s="32">
        <f>I24/((F24+K24)/2)</f>
        <v>8.7894736842105257</v>
      </c>
      <c r="O24">
        <v>10</v>
      </c>
      <c r="P24">
        <v>0.92030425985081099</v>
      </c>
      <c r="Q24" s="2">
        <v>32.5805222479609</v>
      </c>
    </row>
    <row r="25" spans="1:17" x14ac:dyDescent="0.2">
      <c r="A25">
        <v>6</v>
      </c>
      <c r="B25" t="s">
        <v>15</v>
      </c>
      <c r="C25" s="7" t="str">
        <f>IF(B25="Smartphone", "Electronics", IF(B25="Laptop", "Computing", IF(B25="Tablet", "Mobile", IF(B25="Smartwatch", "Wearables", IF(B25="Headphones", "Audio", "Photography")))))</f>
        <v>Photography</v>
      </c>
      <c r="D25" s="1">
        <v>44166</v>
      </c>
      <c r="E25" s="13" t="str">
        <f>IF(OR(MONTH(D25)=9, MONTH(D25)=10, MONTH(D25)=11), "Spring",
 IF(OR(MONTH(D25)=12, MONTH(D25)=1, MONTH(D25)=2), "Summer",
 IF(OR(MONTH(D25)=3, MONTH(D25)=4, MONTH(D25)=5), "Autumn",
 IF(OR(MONTH(D25)=6, MONTH(D25)=7, MONTH(D25)=8), "Winter", "Unknown"
))))</f>
        <v>Summer</v>
      </c>
      <c r="F25">
        <v>42</v>
      </c>
      <c r="G25">
        <v>476</v>
      </c>
      <c r="H25" s="7">
        <f>F25+G25</f>
        <v>518</v>
      </c>
      <c r="I25">
        <v>100</v>
      </c>
      <c r="J25" s="7">
        <f t="shared" si="0"/>
        <v>418</v>
      </c>
      <c r="K25">
        <v>376</v>
      </c>
      <c r="L25" s="75">
        <f>IF(B25="Camera",$T$13, IF(B25="Headphones",$U$13, IF(B25="Laptop",$V$13, IF(B25="Smartphone",$W$13, IF(B25="Smartwatch",$X$13,$Y$13)))))</f>
        <v>363.0286738351254</v>
      </c>
      <c r="M25" s="75">
        <f t="shared" si="1"/>
        <v>-12.971326164874597</v>
      </c>
      <c r="N25" s="32">
        <f>I25/((F25+K25)/2)</f>
        <v>0.4784688995215311</v>
      </c>
      <c r="O25">
        <v>13</v>
      </c>
      <c r="P25">
        <v>0.99003293149817795</v>
      </c>
      <c r="Q25" s="2">
        <v>198.97545583846099</v>
      </c>
    </row>
    <row r="26" spans="1:17" x14ac:dyDescent="0.2">
      <c r="A26">
        <v>6</v>
      </c>
      <c r="B26" t="s">
        <v>15</v>
      </c>
      <c r="C26" s="7" t="str">
        <f>IF(B26="Smartphone", "Electronics", IF(B26="Laptop", "Computing", IF(B26="Tablet", "Mobile", IF(B26="Smartwatch", "Wearables", IF(B26="Headphones", "Audio", "Photography")))))</f>
        <v>Photography</v>
      </c>
      <c r="D26" s="1">
        <v>44197</v>
      </c>
      <c r="E26" s="13" t="str">
        <f>IF(OR(MONTH(D26)=9, MONTH(D26)=10, MONTH(D26)=11), "Spring",
 IF(OR(MONTH(D26)=12, MONTH(D26)=1, MONTH(D26)=2), "Summer",
 IF(OR(MONTH(D26)=3, MONTH(D26)=4, MONTH(D26)=5), "Autumn",
 IF(OR(MONTH(D26)=6, MONTH(D26)=7, MONTH(D26)=8), "Winter", "Unknown"
))))</f>
        <v>Summer</v>
      </c>
      <c r="F26">
        <v>96</v>
      </c>
      <c r="G26">
        <v>61</v>
      </c>
      <c r="H26" s="7">
        <f>F26+G26</f>
        <v>157</v>
      </c>
      <c r="I26">
        <v>9</v>
      </c>
      <c r="J26" s="7">
        <f t="shared" si="0"/>
        <v>148</v>
      </c>
      <c r="K26">
        <v>52</v>
      </c>
      <c r="L26" s="75">
        <f>IF(B26="Camera",$T$13, IF(B26="Headphones",$U$13, IF(B26="Laptop",$V$13, IF(B26="Smartphone",$W$13, IF(B26="Smartwatch",$X$13,$Y$13)))))</f>
        <v>363.0286738351254</v>
      </c>
      <c r="M26" s="75">
        <f t="shared" si="1"/>
        <v>311.0286738351254</v>
      </c>
      <c r="N26" s="32">
        <f>I26/((F26+K26)/2)</f>
        <v>0.12162162162162163</v>
      </c>
      <c r="O26">
        <v>29</v>
      </c>
      <c r="P26">
        <v>0.97785492703121002</v>
      </c>
      <c r="Q26" s="2">
        <v>44.424320410784397</v>
      </c>
    </row>
    <row r="27" spans="1:17" x14ac:dyDescent="0.2">
      <c r="A27">
        <v>6</v>
      </c>
      <c r="B27" t="s">
        <v>15</v>
      </c>
      <c r="C27" s="7" t="str">
        <f>IF(B27="Smartphone", "Electronics", IF(B27="Laptop", "Computing", IF(B27="Tablet", "Mobile", IF(B27="Smartwatch", "Wearables", IF(B27="Headphones", "Audio", "Photography")))))</f>
        <v>Photography</v>
      </c>
      <c r="D27" s="1">
        <v>44228</v>
      </c>
      <c r="E27" s="13" t="str">
        <f>IF(OR(MONTH(D27)=9, MONTH(D27)=10, MONTH(D27)=11), "Spring",
 IF(OR(MONTH(D27)=12, MONTH(D27)=1, MONTH(D27)=2), "Summer",
 IF(OR(MONTH(D27)=3, MONTH(D27)=4, MONTH(D27)=5), "Autumn",
 IF(OR(MONTH(D27)=6, MONTH(D27)=7, MONTH(D27)=8), "Winter", "Unknown"
))))</f>
        <v>Summer</v>
      </c>
      <c r="F27">
        <v>51</v>
      </c>
      <c r="G27">
        <v>478</v>
      </c>
      <c r="H27" s="7">
        <f>F27+G27</f>
        <v>529</v>
      </c>
      <c r="I27">
        <v>443</v>
      </c>
      <c r="J27" s="7">
        <f t="shared" si="0"/>
        <v>86</v>
      </c>
      <c r="K27">
        <v>35</v>
      </c>
      <c r="L27" s="75">
        <f>IF(B27="Camera",$T$13, IF(B27="Headphones",$U$13, IF(B27="Laptop",$V$13, IF(B27="Smartphone",$W$13, IF(B27="Smartwatch",$X$13,$Y$13)))))</f>
        <v>363.0286738351254</v>
      </c>
      <c r="M27" s="75">
        <f t="shared" si="1"/>
        <v>328.0286738351254</v>
      </c>
      <c r="N27" s="32">
        <f>I27/((F27+K27)/2)</f>
        <v>10.302325581395349</v>
      </c>
      <c r="O27">
        <v>26</v>
      </c>
      <c r="P27">
        <v>0.94651280781209701</v>
      </c>
      <c r="Q27" s="2">
        <v>59.190266063401303</v>
      </c>
    </row>
    <row r="28" spans="1:17" x14ac:dyDescent="0.2">
      <c r="A28">
        <v>6</v>
      </c>
      <c r="B28" t="s">
        <v>15</v>
      </c>
      <c r="C28" s="7" t="str">
        <f>IF(B28="Smartphone", "Electronics", IF(B28="Laptop", "Computing", IF(B28="Tablet", "Mobile", IF(B28="Smartwatch", "Wearables", IF(B28="Headphones", "Audio", "Photography")))))</f>
        <v>Photography</v>
      </c>
      <c r="D28" s="1">
        <v>44256</v>
      </c>
      <c r="E28" s="13" t="str">
        <f>IF(OR(MONTH(D28)=9, MONTH(D28)=10, MONTH(D28)=11), "Spring",
 IF(OR(MONTH(D28)=12, MONTH(D28)=1, MONTH(D28)=2), "Summer",
 IF(OR(MONTH(D28)=3, MONTH(D28)=4, MONTH(D28)=5), "Autumn",
 IF(OR(MONTH(D28)=6, MONTH(D28)=7, MONTH(D28)=8), "Winter", "Unknown"
))))</f>
        <v>Autumn</v>
      </c>
      <c r="F28">
        <v>15</v>
      </c>
      <c r="G28">
        <v>116</v>
      </c>
      <c r="H28" s="7">
        <f>F28+G28</f>
        <v>131</v>
      </c>
      <c r="I28">
        <v>73</v>
      </c>
      <c r="J28" s="7">
        <f t="shared" si="0"/>
        <v>58</v>
      </c>
      <c r="K28">
        <v>43</v>
      </c>
      <c r="L28" s="75">
        <f>IF(B28="Camera",$T$13, IF(B28="Headphones",$U$13, IF(B28="Laptop",$V$13, IF(B28="Smartphone",$W$13, IF(B28="Smartwatch",$X$13,$Y$13)))))</f>
        <v>363.0286738351254</v>
      </c>
      <c r="M28" s="75">
        <f t="shared" si="1"/>
        <v>320.0286738351254</v>
      </c>
      <c r="N28" s="32">
        <f>I28/((F28+K28)/2)</f>
        <v>2.5172413793103448</v>
      </c>
      <c r="O28">
        <v>2</v>
      </c>
      <c r="P28">
        <v>0.891305667920541</v>
      </c>
      <c r="Q28" s="2">
        <v>24.171766521637501</v>
      </c>
    </row>
    <row r="29" spans="1:17" x14ac:dyDescent="0.2">
      <c r="A29">
        <v>6</v>
      </c>
      <c r="B29" t="s">
        <v>15</v>
      </c>
      <c r="C29" s="7" t="str">
        <f>IF(B29="Smartphone", "Electronics", IF(B29="Laptop", "Computing", IF(B29="Tablet", "Mobile", IF(B29="Smartwatch", "Wearables", IF(B29="Headphones", "Audio", "Photography")))))</f>
        <v>Photography</v>
      </c>
      <c r="D29" s="1">
        <v>44287</v>
      </c>
      <c r="E29" s="13" t="str">
        <f>IF(OR(MONTH(D29)=9, MONTH(D29)=10, MONTH(D29)=11), "Spring",
 IF(OR(MONTH(D29)=12, MONTH(D29)=1, MONTH(D29)=2), "Summer",
 IF(OR(MONTH(D29)=3, MONTH(D29)=4, MONTH(D29)=5), "Autumn",
 IF(OR(MONTH(D29)=6, MONTH(D29)=7, MONTH(D29)=8), "Winter", "Unknown"
))))</f>
        <v>Autumn</v>
      </c>
      <c r="F29">
        <v>9</v>
      </c>
      <c r="G29">
        <v>448</v>
      </c>
      <c r="H29" s="7">
        <f>F29+G29</f>
        <v>457</v>
      </c>
      <c r="I29">
        <v>431</v>
      </c>
      <c r="J29" s="7">
        <f t="shared" si="0"/>
        <v>26</v>
      </c>
      <c r="K29">
        <v>17</v>
      </c>
      <c r="L29" s="75">
        <f>IF(B29="Camera",$T$13, IF(B29="Headphones",$U$13, IF(B29="Laptop",$V$13, IF(B29="Smartphone",$W$13, IF(B29="Smartwatch",$X$13,$Y$13)))))</f>
        <v>363.0286738351254</v>
      </c>
      <c r="M29" s="75">
        <f t="shared" si="1"/>
        <v>346.0286738351254</v>
      </c>
      <c r="N29" s="32">
        <f>I29/((F29+K29)/2)</f>
        <v>33.153846153846153</v>
      </c>
      <c r="O29">
        <v>17</v>
      </c>
      <c r="P29">
        <v>0.90756988439466002</v>
      </c>
      <c r="Q29" s="2">
        <v>114.03048179450199</v>
      </c>
    </row>
    <row r="30" spans="1:17" x14ac:dyDescent="0.2">
      <c r="A30">
        <v>6</v>
      </c>
      <c r="B30" t="s">
        <v>15</v>
      </c>
      <c r="C30" s="7" t="str">
        <f>IF(B30="Smartphone", "Electronics", IF(B30="Laptop", "Computing", IF(B30="Tablet", "Mobile", IF(B30="Smartwatch", "Wearables", IF(B30="Headphones", "Audio", "Photography")))))</f>
        <v>Photography</v>
      </c>
      <c r="D30" s="1">
        <v>44317</v>
      </c>
      <c r="E30" s="13" t="str">
        <f>IF(OR(MONTH(D30)=9, MONTH(D30)=10, MONTH(D30)=11), "Spring",
 IF(OR(MONTH(D30)=12, MONTH(D30)=1, MONTH(D30)=2), "Summer",
 IF(OR(MONTH(D30)=3, MONTH(D30)=4, MONTH(D30)=5), "Autumn",
 IF(OR(MONTH(D30)=6, MONTH(D30)=7, MONTH(D30)=8), "Winter", "Unknown"
))))</f>
        <v>Autumn</v>
      </c>
      <c r="F30">
        <v>23</v>
      </c>
      <c r="G30">
        <v>468</v>
      </c>
      <c r="H30" s="7">
        <f>F30+G30</f>
        <v>491</v>
      </c>
      <c r="I30">
        <v>214</v>
      </c>
      <c r="J30" s="7">
        <f t="shared" si="0"/>
        <v>277</v>
      </c>
      <c r="K30">
        <v>341</v>
      </c>
      <c r="L30" s="75">
        <f>IF(B30="Camera",$T$13, IF(B30="Headphones",$U$13, IF(B30="Laptop",$V$13, IF(B30="Smartphone",$W$13, IF(B30="Smartwatch",$X$13,$Y$13)))))</f>
        <v>363.0286738351254</v>
      </c>
      <c r="M30" s="75">
        <f t="shared" si="1"/>
        <v>22.028673835125403</v>
      </c>
      <c r="N30" s="32">
        <f>I30/((F30+K30)/2)</f>
        <v>1.1758241758241759</v>
      </c>
      <c r="O30">
        <v>12</v>
      </c>
      <c r="P30">
        <v>0.91708644573702103</v>
      </c>
      <c r="Q30" s="2">
        <v>241.24697991992301</v>
      </c>
    </row>
    <row r="31" spans="1:17" x14ac:dyDescent="0.2">
      <c r="A31">
        <v>6</v>
      </c>
      <c r="B31" t="s">
        <v>15</v>
      </c>
      <c r="C31" s="7" t="str">
        <f>IF(B31="Smartphone", "Electronics", IF(B31="Laptop", "Computing", IF(B31="Tablet", "Mobile", IF(B31="Smartwatch", "Wearables", IF(B31="Headphones", "Audio", "Photography")))))</f>
        <v>Photography</v>
      </c>
      <c r="D31" s="1">
        <v>44348</v>
      </c>
      <c r="E31" s="13" t="str">
        <f>IF(OR(MONTH(D31)=9, MONTH(D31)=10, MONTH(D31)=11), "Spring",
 IF(OR(MONTH(D31)=12, MONTH(D31)=1, MONTH(D31)=2), "Summer",
 IF(OR(MONTH(D31)=3, MONTH(D31)=4, MONTH(D31)=5), "Autumn",
 IF(OR(MONTH(D31)=6, MONTH(D31)=7, MONTH(D31)=8), "Winter", "Unknown"
))))</f>
        <v>Winter</v>
      </c>
      <c r="F31">
        <v>197</v>
      </c>
      <c r="G31">
        <v>499</v>
      </c>
      <c r="H31" s="7">
        <f>F31+G31</f>
        <v>696</v>
      </c>
      <c r="I31">
        <v>509</v>
      </c>
      <c r="J31" s="7">
        <f t="shared" si="0"/>
        <v>187</v>
      </c>
      <c r="K31">
        <v>279</v>
      </c>
      <c r="L31" s="75">
        <f>IF(B31="Camera",$T$13, IF(B31="Headphones",$U$13, IF(B31="Laptop",$V$13, IF(B31="Smartphone",$W$13, IF(B31="Smartwatch",$X$13,$Y$13)))))</f>
        <v>363.0286738351254</v>
      </c>
      <c r="M31" s="75">
        <f t="shared" si="1"/>
        <v>84.028673835125403</v>
      </c>
      <c r="N31" s="32">
        <f>I31/((F31+K31)/2)</f>
        <v>2.1386554621848739</v>
      </c>
      <c r="O31">
        <v>16</v>
      </c>
      <c r="P31">
        <v>0.88199839426725701</v>
      </c>
      <c r="Q31" s="2">
        <v>59.428070307739603</v>
      </c>
    </row>
    <row r="32" spans="1:17" x14ac:dyDescent="0.2">
      <c r="A32">
        <v>6</v>
      </c>
      <c r="B32" t="s">
        <v>15</v>
      </c>
      <c r="C32" s="7" t="str">
        <f>IF(B32="Smartphone", "Electronics", IF(B32="Laptop", "Computing", IF(B32="Tablet", "Mobile", IF(B32="Smartwatch", "Wearables", IF(B32="Headphones", "Audio", "Photography")))))</f>
        <v>Photography</v>
      </c>
      <c r="D32" s="1">
        <v>44378</v>
      </c>
      <c r="E32" s="13" t="str">
        <f>IF(OR(MONTH(D32)=9, MONTH(D32)=10, MONTH(D32)=11), "Spring",
 IF(OR(MONTH(D32)=12, MONTH(D32)=1, MONTH(D32)=2), "Summer",
 IF(OR(MONTH(D32)=3, MONTH(D32)=4, MONTH(D32)=5), "Autumn",
 IF(OR(MONTH(D32)=6, MONTH(D32)=7, MONTH(D32)=8), "Winter", "Unknown"
))))</f>
        <v>Winter</v>
      </c>
      <c r="F32">
        <v>4</v>
      </c>
      <c r="G32">
        <v>144</v>
      </c>
      <c r="H32" s="7">
        <f>F32+G32</f>
        <v>148</v>
      </c>
      <c r="I32">
        <v>50</v>
      </c>
      <c r="J32" s="7">
        <f t="shared" si="0"/>
        <v>98</v>
      </c>
      <c r="K32">
        <v>94</v>
      </c>
      <c r="L32" s="75">
        <f>IF(B32="Camera",$T$13, IF(B32="Headphones",$U$13, IF(B32="Laptop",$V$13, IF(B32="Smartphone",$W$13, IF(B32="Smartwatch",$X$13,$Y$13)))))</f>
        <v>363.0286738351254</v>
      </c>
      <c r="M32" s="75">
        <f t="shared" si="1"/>
        <v>269.0286738351254</v>
      </c>
      <c r="N32" s="32">
        <f>I32/((F32+K32)/2)</f>
        <v>1.0204081632653061</v>
      </c>
      <c r="O32">
        <v>1</v>
      </c>
      <c r="P32">
        <v>0.87948592820145</v>
      </c>
      <c r="Q32" s="2">
        <v>62.126651015397101</v>
      </c>
    </row>
    <row r="33" spans="1:17" x14ac:dyDescent="0.2">
      <c r="A33">
        <v>6</v>
      </c>
      <c r="B33" t="s">
        <v>15</v>
      </c>
      <c r="C33" s="7" t="str">
        <f>IF(B33="Smartphone", "Electronics", IF(B33="Laptop", "Computing", IF(B33="Tablet", "Mobile", IF(B33="Smartwatch", "Wearables", IF(B33="Headphones", "Audio", "Photography")))))</f>
        <v>Photography</v>
      </c>
      <c r="D33" s="1">
        <v>44409</v>
      </c>
      <c r="E33" s="13" t="str">
        <f>IF(OR(MONTH(D33)=9, MONTH(D33)=10, MONTH(D33)=11), "Spring",
 IF(OR(MONTH(D33)=12, MONTH(D33)=1, MONTH(D33)=2), "Summer",
 IF(OR(MONTH(D33)=3, MONTH(D33)=4, MONTH(D33)=5), "Autumn",
 IF(OR(MONTH(D33)=6, MONTH(D33)=7, MONTH(D33)=8), "Winter", "Unknown"
))))</f>
        <v>Winter</v>
      </c>
      <c r="F33">
        <v>15</v>
      </c>
      <c r="G33">
        <v>287</v>
      </c>
      <c r="H33" s="7">
        <f>F33+G33</f>
        <v>302</v>
      </c>
      <c r="I33">
        <v>197</v>
      </c>
      <c r="J33" s="7">
        <f t="shared" si="0"/>
        <v>105</v>
      </c>
      <c r="K33">
        <v>90</v>
      </c>
      <c r="L33" s="75">
        <f>IF(B33="Camera",$T$13, IF(B33="Headphones",$U$13, IF(B33="Laptop",$V$13, IF(B33="Smartphone",$W$13, IF(B33="Smartwatch",$X$13,$Y$13)))))</f>
        <v>363.0286738351254</v>
      </c>
      <c r="M33" s="75">
        <f t="shared" si="1"/>
        <v>273.0286738351254</v>
      </c>
      <c r="N33" s="32">
        <f>I33/((F33+K33)/2)</f>
        <v>3.7523809523809524</v>
      </c>
      <c r="O33">
        <v>27</v>
      </c>
      <c r="P33">
        <v>0.85830824082800905</v>
      </c>
      <c r="Q33" s="2">
        <v>120.243965221918</v>
      </c>
    </row>
    <row r="34" spans="1:17" x14ac:dyDescent="0.2">
      <c r="A34">
        <v>6</v>
      </c>
      <c r="B34" t="s">
        <v>15</v>
      </c>
      <c r="C34" s="7" t="str">
        <f>IF(B34="Smartphone", "Electronics", IF(B34="Laptop", "Computing", IF(B34="Tablet", "Mobile", IF(B34="Smartwatch", "Wearables", IF(B34="Headphones", "Audio", "Photography")))))</f>
        <v>Photography</v>
      </c>
      <c r="D34" s="1">
        <v>44440</v>
      </c>
      <c r="E34" s="13" t="str">
        <f>IF(OR(MONTH(D34)=9, MONTH(D34)=10, MONTH(D34)=11), "Spring",
 IF(OR(MONTH(D34)=12, MONTH(D34)=1, MONTH(D34)=2), "Summer",
 IF(OR(MONTH(D34)=3, MONTH(D34)=4, MONTH(D34)=5), "Autumn",
 IF(OR(MONTH(D34)=6, MONTH(D34)=7, MONTH(D34)=8), "Winter", "Unknown"
))))</f>
        <v>Spring</v>
      </c>
      <c r="F34">
        <v>86</v>
      </c>
      <c r="G34">
        <v>74</v>
      </c>
      <c r="H34" s="7">
        <f>F34+G34</f>
        <v>160</v>
      </c>
      <c r="I34">
        <v>46</v>
      </c>
      <c r="J34" s="7">
        <f t="shared" si="0"/>
        <v>114</v>
      </c>
      <c r="K34">
        <v>28</v>
      </c>
      <c r="L34" s="75">
        <f>IF(B34="Camera",$T$13, IF(B34="Headphones",$U$13, IF(B34="Laptop",$V$13, IF(B34="Smartphone",$W$13, IF(B34="Smartwatch",$X$13,$Y$13)))))</f>
        <v>363.0286738351254</v>
      </c>
      <c r="M34" s="75">
        <f t="shared" si="1"/>
        <v>335.0286738351254</v>
      </c>
      <c r="N34" s="32">
        <f>I34/((F34+K34)/2)</f>
        <v>0.80701754385964908</v>
      </c>
      <c r="O34">
        <v>13</v>
      </c>
      <c r="P34">
        <v>0.97085219104737996</v>
      </c>
      <c r="Q34" s="2">
        <v>118.88114084035401</v>
      </c>
    </row>
    <row r="35" spans="1:17" x14ac:dyDescent="0.2">
      <c r="A35">
        <v>6</v>
      </c>
      <c r="B35" t="s">
        <v>15</v>
      </c>
      <c r="C35" s="7" t="str">
        <f>IF(B35="Smartphone", "Electronics", IF(B35="Laptop", "Computing", IF(B35="Tablet", "Mobile", IF(B35="Smartwatch", "Wearables", IF(B35="Headphones", "Audio", "Photography")))))</f>
        <v>Photography</v>
      </c>
      <c r="D35" s="1">
        <v>44470</v>
      </c>
      <c r="E35" s="13" t="str">
        <f>IF(OR(MONTH(D35)=9, MONTH(D35)=10, MONTH(D35)=11), "Spring",
 IF(OR(MONTH(D35)=12, MONTH(D35)=1, MONTH(D35)=2), "Summer",
 IF(OR(MONTH(D35)=3, MONTH(D35)=4, MONTH(D35)=5), "Autumn",
 IF(OR(MONTH(D35)=6, MONTH(D35)=7, MONTH(D35)=8), "Winter", "Unknown"
))))</f>
        <v>Spring</v>
      </c>
      <c r="F35">
        <v>129</v>
      </c>
      <c r="G35">
        <v>128</v>
      </c>
      <c r="H35" s="7">
        <f>F35+G35</f>
        <v>257</v>
      </c>
      <c r="I35">
        <v>243</v>
      </c>
      <c r="J35" s="7">
        <f t="shared" si="0"/>
        <v>14</v>
      </c>
      <c r="K35">
        <v>71</v>
      </c>
      <c r="L35" s="75">
        <f>IF(B35="Camera",$T$13, IF(B35="Headphones",$U$13, IF(B35="Laptop",$V$13, IF(B35="Smartphone",$W$13, IF(B35="Smartwatch",$X$13,$Y$13)))))</f>
        <v>363.0286738351254</v>
      </c>
      <c r="M35" s="75">
        <f t="shared" si="1"/>
        <v>292.0286738351254</v>
      </c>
      <c r="N35" s="32">
        <f>I35/((F35+K35)/2)</f>
        <v>2.4300000000000002</v>
      </c>
      <c r="O35">
        <v>16</v>
      </c>
      <c r="P35">
        <v>0.89177917797693096</v>
      </c>
      <c r="Q35" s="2">
        <v>10.162026533108699</v>
      </c>
    </row>
    <row r="36" spans="1:17" x14ac:dyDescent="0.2">
      <c r="A36">
        <v>6</v>
      </c>
      <c r="B36" t="s">
        <v>15</v>
      </c>
      <c r="C36" s="7" t="str">
        <f>IF(B36="Smartphone", "Electronics", IF(B36="Laptop", "Computing", IF(B36="Tablet", "Mobile", IF(B36="Smartwatch", "Wearables", IF(B36="Headphones", "Audio", "Photography")))))</f>
        <v>Photography</v>
      </c>
      <c r="D36" s="1">
        <v>44501</v>
      </c>
      <c r="E36" s="13" t="str">
        <f>IF(OR(MONTH(D36)=9, MONTH(D36)=10, MONTH(D36)=11), "Spring",
 IF(OR(MONTH(D36)=12, MONTH(D36)=1, MONTH(D36)=2), "Summer",
 IF(OR(MONTH(D36)=3, MONTH(D36)=4, MONTH(D36)=5), "Autumn",
 IF(OR(MONTH(D36)=6, MONTH(D36)=7, MONTH(D36)=8), "Winter", "Unknown"
))))</f>
        <v>Spring</v>
      </c>
      <c r="F36">
        <v>36</v>
      </c>
      <c r="G36">
        <v>177</v>
      </c>
      <c r="H36" s="7">
        <f>F36+G36</f>
        <v>213</v>
      </c>
      <c r="I36">
        <v>164</v>
      </c>
      <c r="J36" s="7">
        <f t="shared" si="0"/>
        <v>49</v>
      </c>
      <c r="K36">
        <v>13</v>
      </c>
      <c r="L36" s="75">
        <f>IF(B36="Camera",$T$13, IF(B36="Headphones",$U$13, IF(B36="Laptop",$V$13, IF(B36="Smartphone",$W$13, IF(B36="Smartwatch",$X$13,$Y$13)))))</f>
        <v>363.0286738351254</v>
      </c>
      <c r="M36" s="75">
        <f t="shared" si="1"/>
        <v>350.0286738351254</v>
      </c>
      <c r="N36" s="32">
        <f>I36/((F36+K36)/2)</f>
        <v>6.6938775510204085</v>
      </c>
      <c r="O36">
        <v>14</v>
      </c>
      <c r="P36">
        <v>0.90771585633181395</v>
      </c>
      <c r="Q36" s="2">
        <v>41.542877780843703</v>
      </c>
    </row>
    <row r="37" spans="1:17" x14ac:dyDescent="0.2">
      <c r="A37">
        <v>6</v>
      </c>
      <c r="B37" t="s">
        <v>15</v>
      </c>
      <c r="C37" s="7" t="str">
        <f>IF(B37="Smartphone", "Electronics", IF(B37="Laptop", "Computing", IF(B37="Tablet", "Mobile", IF(B37="Smartwatch", "Wearables", IF(B37="Headphones", "Audio", "Photography")))))</f>
        <v>Photography</v>
      </c>
      <c r="D37" s="1">
        <v>44531</v>
      </c>
      <c r="E37" s="13" t="str">
        <f>IF(OR(MONTH(D37)=9, MONTH(D37)=10, MONTH(D37)=11), "Spring",
 IF(OR(MONTH(D37)=12, MONTH(D37)=1, MONTH(D37)=2), "Summer",
 IF(OR(MONTH(D37)=3, MONTH(D37)=4, MONTH(D37)=5), "Autumn",
 IF(OR(MONTH(D37)=6, MONTH(D37)=7, MONTH(D37)=8), "Winter", "Unknown"
))))</f>
        <v>Summer</v>
      </c>
      <c r="F37">
        <v>376</v>
      </c>
      <c r="G37">
        <v>69</v>
      </c>
      <c r="H37" s="7">
        <f>F37+G37</f>
        <v>445</v>
      </c>
      <c r="I37">
        <v>461</v>
      </c>
      <c r="J37" s="7">
        <f t="shared" si="0"/>
        <v>-16</v>
      </c>
      <c r="K37">
        <v>108</v>
      </c>
      <c r="L37" s="75">
        <f>IF(B37="Camera",$T$13, IF(B37="Headphones",$U$13, IF(B37="Laptop",$V$13, IF(B37="Smartphone",$W$13, IF(B37="Smartwatch",$X$13,$Y$13)))))</f>
        <v>363.0286738351254</v>
      </c>
      <c r="M37" s="75">
        <f t="shared" si="1"/>
        <v>255.0286738351254</v>
      </c>
      <c r="N37" s="32">
        <f>I37/((F37+K37)/2)</f>
        <v>1.9049586776859504</v>
      </c>
      <c r="O37">
        <v>16</v>
      </c>
      <c r="P37">
        <v>0.90506783557732695</v>
      </c>
      <c r="Q37" s="2">
        <v>93.844434067556605</v>
      </c>
    </row>
    <row r="38" spans="1:17" x14ac:dyDescent="0.2">
      <c r="A38">
        <v>5</v>
      </c>
      <c r="B38" t="s">
        <v>14</v>
      </c>
      <c r="C38" s="7" t="str">
        <f>IF(B38="Smartphone", "Electronics", IF(B38="Laptop", "Computing", IF(B38="Tablet", "Mobile", IF(B38="Smartwatch", "Wearables", IF(B38="Headphones", "Audio", "Photography")))))</f>
        <v>Audio</v>
      </c>
      <c r="D38" s="1">
        <v>43466</v>
      </c>
      <c r="E38" s="13" t="str">
        <f>IF(OR(MONTH(D38)=9, MONTH(D38)=10, MONTH(D38)=11), "Spring",
 IF(OR(MONTH(D38)=12, MONTH(D38)=1, MONTH(D38)=2), "Summer",
 IF(OR(MONTH(D38)=3, MONTH(D38)=4, MONTH(D38)=5), "Autumn",
 IF(OR(MONTH(D38)=6, MONTH(D38)=7, MONTH(D38)=8), "Winter", "Unknown"
))))</f>
        <v>Summer</v>
      </c>
      <c r="F38">
        <v>7</v>
      </c>
      <c r="G38">
        <v>490</v>
      </c>
      <c r="H38" s="7">
        <f>F38+G38</f>
        <v>497</v>
      </c>
      <c r="I38">
        <v>417</v>
      </c>
      <c r="J38" s="7">
        <f t="shared" si="0"/>
        <v>80</v>
      </c>
      <c r="K38">
        <v>73</v>
      </c>
      <c r="L38" s="75">
        <f>IF(B38="Camera",$T$13, IF(B38="Headphones",$U$13, IF(B38="Laptop",$V$13, IF(B38="Smartphone",$W$13, IF(B38="Smartwatch",$X$13,$Y$13)))))</f>
        <v>257.49962664277177</v>
      </c>
      <c r="M38" s="75">
        <f t="shared" si="1"/>
        <v>184.49962664277177</v>
      </c>
      <c r="N38" s="32">
        <f>I38/((F38+K38)/2)</f>
        <v>10.425000000000001</v>
      </c>
      <c r="O38">
        <v>14</v>
      </c>
      <c r="P38">
        <v>0.96110616511865199</v>
      </c>
      <c r="Q38" s="2">
        <v>128.48638734773601</v>
      </c>
    </row>
    <row r="39" spans="1:17" x14ac:dyDescent="0.2">
      <c r="A39">
        <v>5</v>
      </c>
      <c r="B39" t="s">
        <v>14</v>
      </c>
      <c r="C39" s="7" t="str">
        <f>IF(B39="Smartphone", "Electronics", IF(B39="Laptop", "Computing", IF(B39="Tablet", "Mobile", IF(B39="Smartwatch", "Wearables", IF(B39="Headphones", "Audio", "Photography")))))</f>
        <v>Audio</v>
      </c>
      <c r="D39" s="1">
        <v>43497</v>
      </c>
      <c r="E39" s="13" t="str">
        <f>IF(OR(MONTH(D39)=9, MONTH(D39)=10, MONTH(D39)=11), "Spring",
 IF(OR(MONTH(D39)=12, MONTH(D39)=1, MONTH(D39)=2), "Summer",
 IF(OR(MONTH(D39)=3, MONTH(D39)=4, MONTH(D39)=5), "Autumn",
 IF(OR(MONTH(D39)=6, MONTH(D39)=7, MONTH(D39)=8), "Winter", "Unknown"
))))</f>
        <v>Summer</v>
      </c>
      <c r="F39">
        <v>5</v>
      </c>
      <c r="G39">
        <v>312</v>
      </c>
      <c r="H39" s="7">
        <f>F39+G39</f>
        <v>317</v>
      </c>
      <c r="I39">
        <v>271</v>
      </c>
      <c r="J39" s="7">
        <f t="shared" si="0"/>
        <v>46</v>
      </c>
      <c r="K39">
        <v>41</v>
      </c>
      <c r="L39" s="75">
        <f>IF(B39="Camera",$T$13, IF(B39="Headphones",$U$13, IF(B39="Laptop",$V$13, IF(B39="Smartphone",$W$13, IF(B39="Smartwatch",$X$13,$Y$13)))))</f>
        <v>257.49962664277177</v>
      </c>
      <c r="M39" s="75">
        <f t="shared" si="1"/>
        <v>216.49962664277177</v>
      </c>
      <c r="N39" s="32">
        <f>I39/((F39+K39)/2)</f>
        <v>11.782608695652174</v>
      </c>
      <c r="O39">
        <v>23</v>
      </c>
      <c r="P39">
        <v>0.81163513234447104</v>
      </c>
      <c r="Q39" s="2">
        <v>72.220302797218096</v>
      </c>
    </row>
    <row r="40" spans="1:17" x14ac:dyDescent="0.2">
      <c r="A40">
        <v>5</v>
      </c>
      <c r="B40" t="s">
        <v>14</v>
      </c>
      <c r="C40" s="7" t="str">
        <f>IF(B40="Smartphone", "Electronics", IF(B40="Laptop", "Computing", IF(B40="Tablet", "Mobile", IF(B40="Smartwatch", "Wearables", IF(B40="Headphones", "Audio", "Photography")))))</f>
        <v>Audio</v>
      </c>
      <c r="D40" s="1">
        <v>43525</v>
      </c>
      <c r="E40" s="13" t="str">
        <f>IF(OR(MONTH(D40)=9, MONTH(D40)=10, MONTH(D40)=11), "Spring",
 IF(OR(MONTH(D40)=12, MONTH(D40)=1, MONTH(D40)=2), "Summer",
 IF(OR(MONTH(D40)=3, MONTH(D40)=4, MONTH(D40)=5), "Autumn",
 IF(OR(MONTH(D40)=6, MONTH(D40)=7, MONTH(D40)=8), "Winter", "Unknown"
))))</f>
        <v>Autumn</v>
      </c>
      <c r="F40">
        <v>74</v>
      </c>
      <c r="G40">
        <v>174</v>
      </c>
      <c r="H40" s="7">
        <f>F40+G40</f>
        <v>248</v>
      </c>
      <c r="I40">
        <v>137</v>
      </c>
      <c r="J40" s="7">
        <f t="shared" si="0"/>
        <v>111</v>
      </c>
      <c r="K40">
        <v>37</v>
      </c>
      <c r="L40" s="75">
        <f>IF(B40="Camera",$T$13, IF(B40="Headphones",$U$13, IF(B40="Laptop",$V$13, IF(B40="Smartphone",$W$13, IF(B40="Smartwatch",$X$13,$Y$13)))))</f>
        <v>257.49962664277177</v>
      </c>
      <c r="M40" s="75">
        <f t="shared" si="1"/>
        <v>220.49962664277177</v>
      </c>
      <c r="N40" s="32">
        <f>I40/((F40+K40)/2)</f>
        <v>2.4684684684684686</v>
      </c>
      <c r="O40">
        <v>18</v>
      </c>
      <c r="P40">
        <v>0.87931454161626899</v>
      </c>
      <c r="Q40" s="2">
        <v>78.950484744089806</v>
      </c>
    </row>
    <row r="41" spans="1:17" x14ac:dyDescent="0.2">
      <c r="A41">
        <v>5</v>
      </c>
      <c r="B41" t="s">
        <v>14</v>
      </c>
      <c r="C41" s="7" t="str">
        <f>IF(B41="Smartphone", "Electronics", IF(B41="Laptop", "Computing", IF(B41="Tablet", "Mobile", IF(B41="Smartwatch", "Wearables", IF(B41="Headphones", "Audio", "Photography")))))</f>
        <v>Audio</v>
      </c>
      <c r="D41" s="1">
        <v>43556</v>
      </c>
      <c r="E41" s="13" t="str">
        <f>IF(OR(MONTH(D41)=9, MONTH(D41)=10, MONTH(D41)=11), "Spring",
 IF(OR(MONTH(D41)=12, MONTH(D41)=1, MONTH(D41)=2), "Summer",
 IF(OR(MONTH(D41)=3, MONTH(D41)=4, MONTH(D41)=5), "Autumn",
 IF(OR(MONTH(D41)=6, MONTH(D41)=7, MONTH(D41)=8), "Winter", "Unknown"
))))</f>
        <v>Autumn</v>
      </c>
      <c r="F41">
        <v>97</v>
      </c>
      <c r="G41">
        <v>351</v>
      </c>
      <c r="H41" s="7">
        <f>F41+G41</f>
        <v>448</v>
      </c>
      <c r="I41">
        <v>360</v>
      </c>
      <c r="J41" s="7">
        <f t="shared" si="0"/>
        <v>88</v>
      </c>
      <c r="K41">
        <v>88</v>
      </c>
      <c r="L41" s="75">
        <f>IF(B41="Camera",$T$13, IF(B41="Headphones",$U$13, IF(B41="Laptop",$V$13, IF(B41="Smartphone",$W$13, IF(B41="Smartwatch",$X$13,$Y$13)))))</f>
        <v>257.49962664277177</v>
      </c>
      <c r="M41" s="75">
        <f t="shared" si="1"/>
        <v>169.49962664277177</v>
      </c>
      <c r="N41" s="32">
        <f>I41/((F41+K41)/2)</f>
        <v>3.8918918918918921</v>
      </c>
      <c r="O41">
        <v>8</v>
      </c>
      <c r="P41">
        <v>0.85689750592977498</v>
      </c>
      <c r="Q41" s="2">
        <v>103.122810948989</v>
      </c>
    </row>
    <row r="42" spans="1:17" x14ac:dyDescent="0.2">
      <c r="A42">
        <v>5</v>
      </c>
      <c r="B42" t="s">
        <v>14</v>
      </c>
      <c r="C42" s="7" t="str">
        <f>IF(B42="Smartphone", "Electronics", IF(B42="Laptop", "Computing", IF(B42="Tablet", "Mobile", IF(B42="Smartwatch", "Wearables", IF(B42="Headphones", "Audio", "Photography")))))</f>
        <v>Audio</v>
      </c>
      <c r="D42" s="1">
        <v>43586</v>
      </c>
      <c r="E42" s="13" t="str">
        <f>IF(OR(MONTH(D42)=9, MONTH(D42)=10, MONTH(D42)=11), "Spring",
 IF(OR(MONTH(D42)=12, MONTH(D42)=1, MONTH(D42)=2), "Summer",
 IF(OR(MONTH(D42)=3, MONTH(D42)=4, MONTH(D42)=5), "Autumn",
 IF(OR(MONTH(D42)=6, MONTH(D42)=7, MONTH(D42)=8), "Winter", "Unknown"
))))</f>
        <v>Autumn</v>
      </c>
      <c r="F42">
        <v>44</v>
      </c>
      <c r="G42">
        <v>337</v>
      </c>
      <c r="H42" s="7">
        <f>F42+G42</f>
        <v>381</v>
      </c>
      <c r="I42">
        <v>251</v>
      </c>
      <c r="J42" s="7">
        <f t="shared" si="0"/>
        <v>130</v>
      </c>
      <c r="K42">
        <v>86</v>
      </c>
      <c r="L42" s="75">
        <f>IF(B42="Camera",$T$13, IF(B42="Headphones",$U$13, IF(B42="Laptop",$V$13, IF(B42="Smartphone",$W$13, IF(B42="Smartwatch",$X$13,$Y$13)))))</f>
        <v>257.49962664277177</v>
      </c>
      <c r="M42" s="75">
        <f t="shared" si="1"/>
        <v>171.49962664277177</v>
      </c>
      <c r="N42" s="32">
        <f>I42/((F42+K42)/2)</f>
        <v>3.8615384615384616</v>
      </c>
      <c r="O42">
        <v>22</v>
      </c>
      <c r="P42">
        <v>0.87418789564954202</v>
      </c>
      <c r="Q42" s="2">
        <v>64.561929690372395</v>
      </c>
    </row>
    <row r="43" spans="1:17" x14ac:dyDescent="0.2">
      <c r="A43">
        <v>5</v>
      </c>
      <c r="B43" t="s">
        <v>14</v>
      </c>
      <c r="C43" s="7" t="str">
        <f>IF(B43="Smartphone", "Electronics", IF(B43="Laptop", "Computing", IF(B43="Tablet", "Mobile", IF(B43="Smartwatch", "Wearables", IF(B43="Headphones", "Audio", "Photography")))))</f>
        <v>Audio</v>
      </c>
      <c r="D43" s="1">
        <v>43617</v>
      </c>
      <c r="E43" s="13" t="str">
        <f>IF(OR(MONTH(D43)=9, MONTH(D43)=10, MONTH(D43)=11), "Spring",
 IF(OR(MONTH(D43)=12, MONTH(D43)=1, MONTH(D43)=2), "Summer",
 IF(OR(MONTH(D43)=3, MONTH(D43)=4, MONTH(D43)=5), "Autumn",
 IF(OR(MONTH(D43)=6, MONTH(D43)=7, MONTH(D43)=8), "Winter", "Unknown"
))))</f>
        <v>Winter</v>
      </c>
      <c r="F43">
        <v>48</v>
      </c>
      <c r="G43">
        <v>402</v>
      </c>
      <c r="H43" s="7">
        <f>F43+G43</f>
        <v>450</v>
      </c>
      <c r="I43">
        <v>379</v>
      </c>
      <c r="J43" s="7">
        <f t="shared" si="0"/>
        <v>71</v>
      </c>
      <c r="K43">
        <v>23</v>
      </c>
      <c r="L43" s="75">
        <f>IF(B43="Camera",$T$13, IF(B43="Headphones",$U$13, IF(B43="Laptop",$V$13, IF(B43="Smartphone",$W$13, IF(B43="Smartwatch",$X$13,$Y$13)))))</f>
        <v>257.49962664277177</v>
      </c>
      <c r="M43" s="75">
        <f t="shared" si="1"/>
        <v>234.49962664277177</v>
      </c>
      <c r="N43" s="32">
        <f>I43/((F43+K43)/2)</f>
        <v>10.67605633802817</v>
      </c>
      <c r="O43">
        <v>29</v>
      </c>
      <c r="P43">
        <v>0.90152477523768004</v>
      </c>
      <c r="Q43" s="2">
        <v>39.804300871906797</v>
      </c>
    </row>
    <row r="44" spans="1:17" x14ac:dyDescent="0.2">
      <c r="A44">
        <v>5</v>
      </c>
      <c r="B44" t="s">
        <v>14</v>
      </c>
      <c r="C44" s="7" t="str">
        <f>IF(B44="Smartphone", "Electronics", IF(B44="Laptop", "Computing", IF(B44="Tablet", "Mobile", IF(B44="Smartwatch", "Wearables", IF(B44="Headphones", "Audio", "Photography")))))</f>
        <v>Audio</v>
      </c>
      <c r="D44" s="1">
        <v>43647</v>
      </c>
      <c r="E44" s="13" t="str">
        <f>IF(OR(MONTH(D44)=9, MONTH(D44)=10, MONTH(D44)=11), "Spring",
 IF(OR(MONTH(D44)=12, MONTH(D44)=1, MONTH(D44)=2), "Summer",
 IF(OR(MONTH(D44)=3, MONTH(D44)=4, MONTH(D44)=5), "Autumn",
 IF(OR(MONTH(D44)=6, MONTH(D44)=7, MONTH(D44)=8), "Winter", "Unknown"
))))</f>
        <v>Winter</v>
      </c>
      <c r="F44">
        <v>12</v>
      </c>
      <c r="G44">
        <v>428</v>
      </c>
      <c r="H44" s="7">
        <f>F44+G44</f>
        <v>440</v>
      </c>
      <c r="I44">
        <v>394</v>
      </c>
      <c r="J44" s="7">
        <f t="shared" si="0"/>
        <v>46</v>
      </c>
      <c r="K44">
        <v>34</v>
      </c>
      <c r="L44" s="75">
        <f>IF(B44="Camera",$T$13, IF(B44="Headphones",$U$13, IF(B44="Laptop",$V$13, IF(B44="Smartphone",$W$13, IF(B44="Smartwatch",$X$13,$Y$13)))))</f>
        <v>257.49962664277177</v>
      </c>
      <c r="M44" s="75">
        <f t="shared" si="1"/>
        <v>223.49962664277177</v>
      </c>
      <c r="N44" s="32">
        <f>I44/((F44+K44)/2)</f>
        <v>17.130434782608695</v>
      </c>
      <c r="O44">
        <v>15</v>
      </c>
      <c r="P44">
        <v>0.91466310516233895</v>
      </c>
      <c r="Q44" s="2">
        <v>37.906821649754797</v>
      </c>
    </row>
    <row r="45" spans="1:17" x14ac:dyDescent="0.2">
      <c r="A45">
        <v>5</v>
      </c>
      <c r="B45" t="s">
        <v>14</v>
      </c>
      <c r="C45" s="7" t="str">
        <f>IF(B45="Smartphone", "Electronics", IF(B45="Laptop", "Computing", IF(B45="Tablet", "Mobile", IF(B45="Smartwatch", "Wearables", IF(B45="Headphones", "Audio", "Photography")))))</f>
        <v>Audio</v>
      </c>
      <c r="D45" s="1">
        <v>43678</v>
      </c>
      <c r="E45" s="13" t="str">
        <f>IF(OR(MONTH(D45)=9, MONTH(D45)=10, MONTH(D45)=11), "Spring",
 IF(OR(MONTH(D45)=12, MONTH(D45)=1, MONTH(D45)=2), "Summer",
 IF(OR(MONTH(D45)=3, MONTH(D45)=4, MONTH(D45)=5), "Autumn",
 IF(OR(MONTH(D45)=6, MONTH(D45)=7, MONTH(D45)=8), "Winter", "Unknown"
))))</f>
        <v>Winter</v>
      </c>
      <c r="F45">
        <v>11</v>
      </c>
      <c r="G45">
        <v>365</v>
      </c>
      <c r="H45" s="7">
        <f>F45+G45</f>
        <v>376</v>
      </c>
      <c r="I45">
        <v>284</v>
      </c>
      <c r="J45" s="7">
        <f t="shared" si="0"/>
        <v>92</v>
      </c>
      <c r="K45">
        <v>81</v>
      </c>
      <c r="L45" s="75">
        <f>IF(B45="Camera",$T$13, IF(B45="Headphones",$U$13, IF(B45="Laptop",$V$13, IF(B45="Smartphone",$W$13, IF(B45="Smartwatch",$X$13,$Y$13)))))</f>
        <v>257.49962664277177</v>
      </c>
      <c r="M45" s="75">
        <f t="shared" si="1"/>
        <v>176.49962664277177</v>
      </c>
      <c r="N45" s="32">
        <f>I45/((F45+K45)/2)</f>
        <v>6.1739130434782608</v>
      </c>
      <c r="O45">
        <v>23</v>
      </c>
      <c r="P45">
        <v>0.84757379433974001</v>
      </c>
      <c r="Q45" s="2">
        <v>58.756055775779501</v>
      </c>
    </row>
    <row r="46" spans="1:17" x14ac:dyDescent="0.2">
      <c r="A46">
        <v>5</v>
      </c>
      <c r="B46" t="s">
        <v>14</v>
      </c>
      <c r="C46" s="7" t="str">
        <f>IF(B46="Smartphone", "Electronics", IF(B46="Laptop", "Computing", IF(B46="Tablet", "Mobile", IF(B46="Smartwatch", "Wearables", IF(B46="Headphones", "Audio", "Photography")))))</f>
        <v>Audio</v>
      </c>
      <c r="D46" s="1">
        <v>43709</v>
      </c>
      <c r="E46" s="13" t="str">
        <f>IF(OR(MONTH(D46)=9, MONTH(D46)=10, MONTH(D46)=11), "Spring",
 IF(OR(MONTH(D46)=12, MONTH(D46)=1, MONTH(D46)=2), "Summer",
 IF(OR(MONTH(D46)=3, MONTH(D46)=4, MONTH(D46)=5), "Autumn",
 IF(OR(MONTH(D46)=6, MONTH(D46)=7, MONTH(D46)=8), "Winter", "Unknown"
))))</f>
        <v>Spring</v>
      </c>
      <c r="F46">
        <v>1</v>
      </c>
      <c r="G46">
        <v>209</v>
      </c>
      <c r="H46" s="7">
        <f>F46+G46</f>
        <v>210</v>
      </c>
      <c r="I46">
        <v>204</v>
      </c>
      <c r="J46" s="7">
        <f t="shared" si="0"/>
        <v>6</v>
      </c>
      <c r="K46">
        <v>5</v>
      </c>
      <c r="L46" s="75">
        <f>IF(B46="Camera",$T$13, IF(B46="Headphones",$U$13, IF(B46="Laptop",$V$13, IF(B46="Smartphone",$W$13, IF(B46="Smartwatch",$X$13,$Y$13)))))</f>
        <v>257.49962664277177</v>
      </c>
      <c r="M46" s="75">
        <f t="shared" si="1"/>
        <v>252.49962664277177</v>
      </c>
      <c r="N46" s="32">
        <f>I46/((F46+K46)/2)</f>
        <v>68</v>
      </c>
      <c r="O46">
        <v>5</v>
      </c>
      <c r="P46">
        <v>0.92275305694694798</v>
      </c>
      <c r="Q46" s="2">
        <v>62.744973437706101</v>
      </c>
    </row>
    <row r="47" spans="1:17" x14ac:dyDescent="0.2">
      <c r="A47">
        <v>5</v>
      </c>
      <c r="B47" t="s">
        <v>14</v>
      </c>
      <c r="C47" s="7" t="str">
        <f>IF(B47="Smartphone", "Electronics", IF(B47="Laptop", "Computing", IF(B47="Tablet", "Mobile", IF(B47="Smartwatch", "Wearables", IF(B47="Headphones", "Audio", "Photography")))))</f>
        <v>Audio</v>
      </c>
      <c r="D47" s="1">
        <v>43739</v>
      </c>
      <c r="E47" s="13" t="str">
        <f>IF(OR(MONTH(D47)=9, MONTH(D47)=10, MONTH(D47)=11), "Spring",
 IF(OR(MONTH(D47)=12, MONTH(D47)=1, MONTH(D47)=2), "Summer",
 IF(OR(MONTH(D47)=3, MONTH(D47)=4, MONTH(D47)=5), "Autumn",
 IF(OR(MONTH(D47)=6, MONTH(D47)=7, MONTH(D47)=8), "Winter", "Unknown"
))))</f>
        <v>Spring</v>
      </c>
      <c r="F47">
        <v>47</v>
      </c>
      <c r="G47">
        <v>116</v>
      </c>
      <c r="H47" s="7">
        <f>F47+G47</f>
        <v>163</v>
      </c>
      <c r="I47">
        <v>38</v>
      </c>
      <c r="J47" s="7">
        <f t="shared" si="0"/>
        <v>125</v>
      </c>
      <c r="K47">
        <v>78</v>
      </c>
      <c r="L47" s="75">
        <f>IF(B47="Camera",$T$13, IF(B47="Headphones",$U$13, IF(B47="Laptop",$V$13, IF(B47="Smartphone",$W$13, IF(B47="Smartwatch",$X$13,$Y$13)))))</f>
        <v>257.49962664277177</v>
      </c>
      <c r="M47" s="75">
        <f t="shared" si="1"/>
        <v>179.49962664277177</v>
      </c>
      <c r="N47" s="32">
        <f>I47/((F47+K47)/2)</f>
        <v>0.60799999999999998</v>
      </c>
      <c r="O47">
        <v>19</v>
      </c>
      <c r="P47">
        <v>0.86607353323176195</v>
      </c>
      <c r="Q47" s="2">
        <v>72.146257214624598</v>
      </c>
    </row>
    <row r="48" spans="1:17" x14ac:dyDescent="0.2">
      <c r="A48">
        <v>5</v>
      </c>
      <c r="B48" t="s">
        <v>14</v>
      </c>
      <c r="C48" s="7" t="str">
        <f>IF(B48="Smartphone", "Electronics", IF(B48="Laptop", "Computing", IF(B48="Tablet", "Mobile", IF(B48="Smartwatch", "Wearables", IF(B48="Headphones", "Audio", "Photography")))))</f>
        <v>Audio</v>
      </c>
      <c r="D48" s="1">
        <v>43770</v>
      </c>
      <c r="E48" s="13" t="str">
        <f>IF(OR(MONTH(D48)=9, MONTH(D48)=10, MONTH(D48)=11), "Spring",
 IF(OR(MONTH(D48)=12, MONTH(D48)=1, MONTH(D48)=2), "Summer",
 IF(OR(MONTH(D48)=3, MONTH(D48)=4, MONTH(D48)=5), "Autumn",
 IF(OR(MONTH(D48)=6, MONTH(D48)=7, MONTH(D48)=8), "Winter", "Unknown"
))))</f>
        <v>Spring</v>
      </c>
      <c r="F48">
        <v>35</v>
      </c>
      <c r="G48">
        <v>375</v>
      </c>
      <c r="H48" s="7">
        <f>F48+G48</f>
        <v>410</v>
      </c>
      <c r="I48">
        <v>310</v>
      </c>
      <c r="J48" s="7">
        <f t="shared" si="0"/>
        <v>100</v>
      </c>
      <c r="K48">
        <v>65</v>
      </c>
      <c r="L48" s="75">
        <f>IF(B48="Camera",$T$13, IF(B48="Headphones",$U$13, IF(B48="Laptop",$V$13, IF(B48="Smartphone",$W$13, IF(B48="Smartwatch",$X$13,$Y$13)))))</f>
        <v>257.49962664277177</v>
      </c>
      <c r="M48" s="75">
        <f t="shared" si="1"/>
        <v>192.49962664277177</v>
      </c>
      <c r="N48" s="32">
        <f>I48/((F48+K48)/2)</f>
        <v>6.2</v>
      </c>
      <c r="O48">
        <v>25</v>
      </c>
      <c r="P48">
        <v>0.91086071548236702</v>
      </c>
      <c r="Q48" s="2">
        <v>55.032914307840002</v>
      </c>
    </row>
    <row r="49" spans="1:17" x14ac:dyDescent="0.2">
      <c r="A49">
        <v>5</v>
      </c>
      <c r="B49" t="s">
        <v>14</v>
      </c>
      <c r="C49" s="7" t="str">
        <f>IF(B49="Smartphone", "Electronics", IF(B49="Laptop", "Computing", IF(B49="Tablet", "Mobile", IF(B49="Smartwatch", "Wearables", IF(B49="Headphones", "Audio", "Photography")))))</f>
        <v>Audio</v>
      </c>
      <c r="D49" s="1">
        <v>43800</v>
      </c>
      <c r="E49" s="13" t="str">
        <f>IF(OR(MONTH(D49)=9, MONTH(D49)=10, MONTH(D49)=11), "Spring",
 IF(OR(MONTH(D49)=12, MONTH(D49)=1, MONTH(D49)=2), "Summer",
 IF(OR(MONTH(D49)=3, MONTH(D49)=4, MONTH(D49)=5), "Autumn",
 IF(OR(MONTH(D49)=6, MONTH(D49)=7, MONTH(D49)=8), "Winter", "Unknown"
))))</f>
        <v>Summer</v>
      </c>
      <c r="F49">
        <v>35</v>
      </c>
      <c r="G49">
        <v>258</v>
      </c>
      <c r="H49" s="7">
        <f>F49+G49</f>
        <v>293</v>
      </c>
      <c r="I49">
        <v>223</v>
      </c>
      <c r="J49" s="7">
        <f t="shared" si="0"/>
        <v>70</v>
      </c>
      <c r="K49">
        <v>35</v>
      </c>
      <c r="L49" s="75">
        <f>IF(B49="Camera",$T$13, IF(B49="Headphones",$U$13, IF(B49="Laptop",$V$13, IF(B49="Smartphone",$W$13, IF(B49="Smartwatch",$X$13,$Y$13)))))</f>
        <v>257.49962664277177</v>
      </c>
      <c r="M49" s="75">
        <f t="shared" si="1"/>
        <v>222.49962664277177</v>
      </c>
      <c r="N49" s="32">
        <f>I49/((F49+K49)/2)</f>
        <v>6.371428571428571</v>
      </c>
      <c r="O49">
        <v>16</v>
      </c>
      <c r="P49">
        <v>0.80925634778128797</v>
      </c>
      <c r="Q49" s="2">
        <v>117.370677901858</v>
      </c>
    </row>
    <row r="50" spans="1:17" x14ac:dyDescent="0.2">
      <c r="A50">
        <v>5</v>
      </c>
      <c r="B50" t="s">
        <v>14</v>
      </c>
      <c r="C50" s="7" t="str">
        <f>IF(B50="Smartphone", "Electronics", IF(B50="Laptop", "Computing", IF(B50="Tablet", "Mobile", IF(B50="Smartwatch", "Wearables", IF(B50="Headphones", "Audio", "Photography")))))</f>
        <v>Audio</v>
      </c>
      <c r="D50" s="1">
        <v>43831</v>
      </c>
      <c r="E50" s="13" t="str">
        <f>IF(OR(MONTH(D50)=9, MONTH(D50)=10, MONTH(D50)=11), "Spring",
 IF(OR(MONTH(D50)=12, MONTH(D50)=1, MONTH(D50)=2), "Summer",
 IF(OR(MONTH(D50)=3, MONTH(D50)=4, MONTH(D50)=5), "Autumn",
 IF(OR(MONTH(D50)=6, MONTH(D50)=7, MONTH(D50)=8), "Winter", "Unknown"
))))</f>
        <v>Summer</v>
      </c>
      <c r="F50">
        <v>73</v>
      </c>
      <c r="G50">
        <v>199</v>
      </c>
      <c r="H50" s="7">
        <f>F50+G50</f>
        <v>272</v>
      </c>
      <c r="I50">
        <v>127</v>
      </c>
      <c r="J50" s="7">
        <f t="shared" si="0"/>
        <v>145</v>
      </c>
      <c r="K50">
        <v>72</v>
      </c>
      <c r="L50" s="75">
        <f>IF(B50="Camera",$T$13, IF(B50="Headphones",$U$13, IF(B50="Laptop",$V$13, IF(B50="Smartphone",$W$13, IF(B50="Smartwatch",$X$13,$Y$13)))))</f>
        <v>257.49962664277177</v>
      </c>
      <c r="M50" s="75">
        <f t="shared" si="1"/>
        <v>185.49962664277177</v>
      </c>
      <c r="N50" s="32">
        <f>I50/((F50+K50)/2)</f>
        <v>1.7517241379310344</v>
      </c>
      <c r="O50">
        <v>1</v>
      </c>
      <c r="P50">
        <v>0.89467026195426702</v>
      </c>
      <c r="Q50" s="2">
        <v>92.921740974054003</v>
      </c>
    </row>
    <row r="51" spans="1:17" x14ac:dyDescent="0.2">
      <c r="A51">
        <v>5</v>
      </c>
      <c r="B51" t="s">
        <v>14</v>
      </c>
      <c r="C51" s="7" t="str">
        <f>IF(B51="Smartphone", "Electronics", IF(B51="Laptop", "Computing", IF(B51="Tablet", "Mobile", IF(B51="Smartwatch", "Wearables", IF(B51="Headphones", "Audio", "Photography")))))</f>
        <v>Audio</v>
      </c>
      <c r="D51" s="1">
        <v>43862</v>
      </c>
      <c r="E51" s="13" t="str">
        <f>IF(OR(MONTH(D51)=9, MONTH(D51)=10, MONTH(D51)=11), "Spring",
 IF(OR(MONTH(D51)=12, MONTH(D51)=1, MONTH(D51)=2), "Summer",
 IF(OR(MONTH(D51)=3, MONTH(D51)=4, MONTH(D51)=5), "Autumn",
 IF(OR(MONTH(D51)=6, MONTH(D51)=7, MONTH(D51)=8), "Winter", "Unknown"
))))</f>
        <v>Summer</v>
      </c>
      <c r="F51">
        <v>41</v>
      </c>
      <c r="G51">
        <v>352</v>
      </c>
      <c r="H51" s="7">
        <f>F51+G51</f>
        <v>393</v>
      </c>
      <c r="I51">
        <v>324</v>
      </c>
      <c r="J51" s="7">
        <f t="shared" si="0"/>
        <v>69</v>
      </c>
      <c r="K51">
        <v>28</v>
      </c>
      <c r="L51" s="75">
        <f>IF(B51="Camera",$T$13, IF(B51="Headphones",$U$13, IF(B51="Laptop",$V$13, IF(B51="Smartphone",$W$13, IF(B51="Smartwatch",$X$13,$Y$13)))))</f>
        <v>257.49962664277177</v>
      </c>
      <c r="M51" s="75">
        <f t="shared" si="1"/>
        <v>229.49962664277177</v>
      </c>
      <c r="N51" s="32">
        <f>I51/((F51+K51)/2)</f>
        <v>9.3913043478260878</v>
      </c>
      <c r="O51">
        <v>11</v>
      </c>
      <c r="P51">
        <v>0.90815305337147001</v>
      </c>
      <c r="Q51" s="2">
        <v>23.413711494751901</v>
      </c>
    </row>
    <row r="52" spans="1:17" x14ac:dyDescent="0.2">
      <c r="A52">
        <v>5</v>
      </c>
      <c r="B52" t="s">
        <v>14</v>
      </c>
      <c r="C52" s="7" t="str">
        <f>IF(B52="Smartphone", "Electronics", IF(B52="Laptop", "Computing", IF(B52="Tablet", "Mobile", IF(B52="Smartwatch", "Wearables", IF(B52="Headphones", "Audio", "Photography")))))</f>
        <v>Audio</v>
      </c>
      <c r="D52" s="1">
        <v>43891</v>
      </c>
      <c r="E52" s="13" t="str">
        <f>IF(OR(MONTH(D52)=9, MONTH(D52)=10, MONTH(D52)=11), "Spring",
 IF(OR(MONTH(D52)=12, MONTH(D52)=1, MONTH(D52)=2), "Summer",
 IF(OR(MONTH(D52)=3, MONTH(D52)=4, MONTH(D52)=5), "Autumn",
 IF(OR(MONTH(D52)=6, MONTH(D52)=7, MONTH(D52)=8), "Winter", "Unknown"
))))</f>
        <v>Autumn</v>
      </c>
      <c r="F52">
        <v>37</v>
      </c>
      <c r="G52">
        <v>170</v>
      </c>
      <c r="H52" s="7">
        <f>F52+G52</f>
        <v>207</v>
      </c>
      <c r="I52">
        <v>71</v>
      </c>
      <c r="J52" s="7">
        <f t="shared" si="0"/>
        <v>136</v>
      </c>
      <c r="K52">
        <v>99</v>
      </c>
      <c r="L52" s="75">
        <f>IF(B52="Camera",$T$13, IF(B52="Headphones",$U$13, IF(B52="Laptop",$V$13, IF(B52="Smartphone",$W$13, IF(B52="Smartwatch",$X$13,$Y$13)))))</f>
        <v>257.49962664277177</v>
      </c>
      <c r="M52" s="75">
        <f t="shared" si="1"/>
        <v>158.49962664277177</v>
      </c>
      <c r="N52" s="32">
        <f>I52/((F52+K52)/2)</f>
        <v>1.0441176470588236</v>
      </c>
      <c r="O52">
        <v>27</v>
      </c>
      <c r="P52">
        <v>0.94427294794501604</v>
      </c>
      <c r="Q52" s="2">
        <v>81.901975536303794</v>
      </c>
    </row>
    <row r="53" spans="1:17" x14ac:dyDescent="0.2">
      <c r="A53">
        <v>5</v>
      </c>
      <c r="B53" t="s">
        <v>14</v>
      </c>
      <c r="C53" s="7" t="str">
        <f>IF(B53="Smartphone", "Electronics", IF(B53="Laptop", "Computing", IF(B53="Tablet", "Mobile", IF(B53="Smartwatch", "Wearables", IF(B53="Headphones", "Audio", "Photography")))))</f>
        <v>Audio</v>
      </c>
      <c r="D53" s="1">
        <v>43922</v>
      </c>
      <c r="E53" s="13" t="str">
        <f>IF(OR(MONTH(D53)=9, MONTH(D53)=10, MONTH(D53)=11), "Spring",
 IF(OR(MONTH(D53)=12, MONTH(D53)=1, MONTH(D53)=2), "Summer",
 IF(OR(MONTH(D53)=3, MONTH(D53)=4, MONTH(D53)=5), "Autumn",
 IF(OR(MONTH(D53)=6, MONTH(D53)=7, MONTH(D53)=8), "Winter", "Unknown"
))))</f>
        <v>Autumn</v>
      </c>
      <c r="F53">
        <v>88</v>
      </c>
      <c r="G53">
        <v>445</v>
      </c>
      <c r="H53" s="7">
        <f>F53+G53</f>
        <v>533</v>
      </c>
      <c r="I53">
        <v>382</v>
      </c>
      <c r="J53" s="7">
        <f t="shared" si="0"/>
        <v>151</v>
      </c>
      <c r="K53">
        <v>63</v>
      </c>
      <c r="L53" s="75">
        <f>IF(B53="Camera",$T$13, IF(B53="Headphones",$U$13, IF(B53="Laptop",$V$13, IF(B53="Smartphone",$W$13, IF(B53="Smartwatch",$X$13,$Y$13)))))</f>
        <v>257.49962664277177</v>
      </c>
      <c r="M53" s="75">
        <f t="shared" si="1"/>
        <v>194.49962664277177</v>
      </c>
      <c r="N53" s="32">
        <f>I53/((F53+K53)/2)</f>
        <v>5.0596026490066226</v>
      </c>
      <c r="O53">
        <v>9</v>
      </c>
      <c r="P53">
        <v>0.87358605132990097</v>
      </c>
      <c r="Q53" s="2">
        <v>51.269356376127497</v>
      </c>
    </row>
    <row r="54" spans="1:17" x14ac:dyDescent="0.2">
      <c r="A54">
        <v>5</v>
      </c>
      <c r="B54" t="s">
        <v>14</v>
      </c>
      <c r="C54" s="7" t="str">
        <f>IF(B54="Smartphone", "Electronics", IF(B54="Laptop", "Computing", IF(B54="Tablet", "Mobile", IF(B54="Smartwatch", "Wearables", IF(B54="Headphones", "Audio", "Photography")))))</f>
        <v>Audio</v>
      </c>
      <c r="D54" s="1">
        <v>43952</v>
      </c>
      <c r="E54" s="13" t="str">
        <f>IF(OR(MONTH(D54)=9, MONTH(D54)=10, MONTH(D54)=11), "Spring",
 IF(OR(MONTH(D54)=12, MONTH(D54)=1, MONTH(D54)=2), "Summer",
 IF(OR(MONTH(D54)=3, MONTH(D54)=4, MONTH(D54)=5), "Autumn",
 IF(OR(MONTH(D54)=6, MONTH(D54)=7, MONTH(D54)=8), "Winter", "Unknown"
))))</f>
        <v>Autumn</v>
      </c>
      <c r="F54">
        <v>86</v>
      </c>
      <c r="G54">
        <v>328</v>
      </c>
      <c r="H54" s="7">
        <f>F54+G54</f>
        <v>414</v>
      </c>
      <c r="I54">
        <v>237</v>
      </c>
      <c r="J54" s="7">
        <f t="shared" si="0"/>
        <v>177</v>
      </c>
      <c r="K54">
        <v>91</v>
      </c>
      <c r="L54" s="75">
        <f>IF(B54="Camera",$T$13, IF(B54="Headphones",$U$13, IF(B54="Laptop",$V$13, IF(B54="Smartphone",$W$13, IF(B54="Smartwatch",$X$13,$Y$13)))))</f>
        <v>257.49962664277177</v>
      </c>
      <c r="M54" s="75">
        <f t="shared" si="1"/>
        <v>166.49962664277177</v>
      </c>
      <c r="N54" s="32">
        <f>I54/((F54+K54)/2)</f>
        <v>2.6779661016949152</v>
      </c>
      <c r="O54">
        <v>26</v>
      </c>
      <c r="P54">
        <v>0.86931015615785601</v>
      </c>
      <c r="Q54" s="2">
        <v>167.07415842139099</v>
      </c>
    </row>
    <row r="55" spans="1:17" x14ac:dyDescent="0.2">
      <c r="A55">
        <v>5</v>
      </c>
      <c r="B55" t="s">
        <v>14</v>
      </c>
      <c r="C55" s="7" t="str">
        <f>IF(B55="Smartphone", "Electronics", IF(B55="Laptop", "Computing", IF(B55="Tablet", "Mobile", IF(B55="Smartwatch", "Wearables", IF(B55="Headphones", "Audio", "Photography")))))</f>
        <v>Audio</v>
      </c>
      <c r="D55" s="1">
        <v>43983</v>
      </c>
      <c r="E55" s="13" t="str">
        <f>IF(OR(MONTH(D55)=9, MONTH(D55)=10, MONTH(D55)=11), "Spring",
 IF(OR(MONTH(D55)=12, MONTH(D55)=1, MONTH(D55)=2), "Summer",
 IF(OR(MONTH(D55)=3, MONTH(D55)=4, MONTH(D55)=5), "Autumn",
 IF(OR(MONTH(D55)=6, MONTH(D55)=7, MONTH(D55)=8), "Winter", "Unknown"
))))</f>
        <v>Winter</v>
      </c>
      <c r="F55">
        <v>23</v>
      </c>
      <c r="G55">
        <v>409</v>
      </c>
      <c r="H55" s="7">
        <f>F55+G55</f>
        <v>432</v>
      </c>
      <c r="I55">
        <v>347</v>
      </c>
      <c r="J55" s="7">
        <f t="shared" si="0"/>
        <v>85</v>
      </c>
      <c r="K55">
        <v>62</v>
      </c>
      <c r="L55" s="75">
        <f>IF(B55="Camera",$T$13, IF(B55="Headphones",$U$13, IF(B55="Laptop",$V$13, IF(B55="Smartphone",$W$13, IF(B55="Smartwatch",$X$13,$Y$13)))))</f>
        <v>257.49962664277177</v>
      </c>
      <c r="M55" s="75">
        <f t="shared" si="1"/>
        <v>195.49962664277177</v>
      </c>
      <c r="N55" s="32">
        <f>I55/((F55+K55)/2)</f>
        <v>8.1647058823529406</v>
      </c>
      <c r="O55">
        <v>25</v>
      </c>
      <c r="P55">
        <v>0.88887290820428</v>
      </c>
      <c r="Q55" s="2">
        <v>66.993160202438503</v>
      </c>
    </row>
    <row r="56" spans="1:17" x14ac:dyDescent="0.2">
      <c r="A56">
        <v>5</v>
      </c>
      <c r="B56" t="s">
        <v>14</v>
      </c>
      <c r="C56" s="7" t="str">
        <f>IF(B56="Smartphone", "Electronics", IF(B56="Laptop", "Computing", IF(B56="Tablet", "Mobile", IF(B56="Smartwatch", "Wearables", IF(B56="Headphones", "Audio", "Photography")))))</f>
        <v>Audio</v>
      </c>
      <c r="D56" s="1">
        <v>44013</v>
      </c>
      <c r="E56" s="13" t="str">
        <f>IF(OR(MONTH(D56)=9, MONTH(D56)=10, MONTH(D56)=11), "Spring",
 IF(OR(MONTH(D56)=12, MONTH(D56)=1, MONTH(D56)=2), "Summer",
 IF(OR(MONTH(D56)=3, MONTH(D56)=4, MONTH(D56)=5), "Autumn",
 IF(OR(MONTH(D56)=6, MONTH(D56)=7, MONTH(D56)=8), "Winter", "Unknown"
))))</f>
        <v>Winter</v>
      </c>
      <c r="F56">
        <v>34</v>
      </c>
      <c r="G56">
        <v>198</v>
      </c>
      <c r="H56" s="7">
        <f>F56+G56</f>
        <v>232</v>
      </c>
      <c r="I56">
        <v>165</v>
      </c>
      <c r="J56" s="7">
        <f t="shared" si="0"/>
        <v>67</v>
      </c>
      <c r="K56">
        <v>33</v>
      </c>
      <c r="L56" s="75">
        <f>IF(B56="Camera",$T$13, IF(B56="Headphones",$U$13, IF(B56="Laptop",$V$13, IF(B56="Smartphone",$W$13, IF(B56="Smartwatch",$X$13,$Y$13)))))</f>
        <v>257.49962664277177</v>
      </c>
      <c r="M56" s="75">
        <f t="shared" si="1"/>
        <v>224.49962664277177</v>
      </c>
      <c r="N56" s="32">
        <f>I56/((F56+K56)/2)</f>
        <v>4.9253731343283578</v>
      </c>
      <c r="O56">
        <v>16</v>
      </c>
      <c r="P56">
        <v>0.95483767133999697</v>
      </c>
      <c r="Q56" s="2">
        <v>50.6032694128439</v>
      </c>
    </row>
    <row r="57" spans="1:17" x14ac:dyDescent="0.2">
      <c r="A57">
        <v>5</v>
      </c>
      <c r="B57" t="s">
        <v>14</v>
      </c>
      <c r="C57" s="7" t="str">
        <f>IF(B57="Smartphone", "Electronics", IF(B57="Laptop", "Computing", IF(B57="Tablet", "Mobile", IF(B57="Smartwatch", "Wearables", IF(B57="Headphones", "Audio", "Photography")))))</f>
        <v>Audio</v>
      </c>
      <c r="D57" s="1">
        <v>44044</v>
      </c>
      <c r="E57" s="13" t="str">
        <f>IF(OR(MONTH(D57)=9, MONTH(D57)=10, MONTH(D57)=11), "Spring",
 IF(OR(MONTH(D57)=12, MONTH(D57)=1, MONTH(D57)=2), "Summer",
 IF(OR(MONTH(D57)=3, MONTH(D57)=4, MONTH(D57)=5), "Autumn",
 IF(OR(MONTH(D57)=6, MONTH(D57)=7, MONTH(D57)=8), "Winter", "Unknown"
))))</f>
        <v>Winter</v>
      </c>
      <c r="F57">
        <v>81</v>
      </c>
      <c r="G57">
        <v>321</v>
      </c>
      <c r="H57" s="7">
        <f>F57+G57</f>
        <v>402</v>
      </c>
      <c r="I57">
        <v>313</v>
      </c>
      <c r="J57" s="7">
        <f t="shared" si="0"/>
        <v>89</v>
      </c>
      <c r="K57">
        <v>8</v>
      </c>
      <c r="L57" s="75">
        <f>IF(B57="Camera",$T$13, IF(B57="Headphones",$U$13, IF(B57="Laptop",$V$13, IF(B57="Smartphone",$W$13, IF(B57="Smartwatch",$X$13,$Y$13)))))</f>
        <v>257.49962664277177</v>
      </c>
      <c r="M57" s="75">
        <f t="shared" si="1"/>
        <v>249.49962664277177</v>
      </c>
      <c r="N57" s="32">
        <f>I57/((F57+K57)/2)</f>
        <v>7.0337078651685392</v>
      </c>
      <c r="O57">
        <v>5</v>
      </c>
      <c r="P57">
        <v>0.84169955554623799</v>
      </c>
      <c r="Q57" s="2">
        <v>99.048631314318598</v>
      </c>
    </row>
    <row r="58" spans="1:17" x14ac:dyDescent="0.2">
      <c r="A58">
        <v>5</v>
      </c>
      <c r="B58" t="s">
        <v>14</v>
      </c>
      <c r="C58" s="7" t="str">
        <f>IF(B58="Smartphone", "Electronics", IF(B58="Laptop", "Computing", IF(B58="Tablet", "Mobile", IF(B58="Smartwatch", "Wearables", IF(B58="Headphones", "Audio", "Photography")))))</f>
        <v>Audio</v>
      </c>
      <c r="D58" s="1">
        <v>44075</v>
      </c>
      <c r="E58" s="13" t="str">
        <f>IF(OR(MONTH(D58)=9, MONTH(D58)=10, MONTH(D58)=11), "Spring",
 IF(OR(MONTH(D58)=12, MONTH(D58)=1, MONTH(D58)=2), "Summer",
 IF(OR(MONTH(D58)=3, MONTH(D58)=4, MONTH(D58)=5), "Autumn",
 IF(OR(MONTH(D58)=6, MONTH(D58)=7, MONTH(D58)=8), "Winter", "Unknown"
))))</f>
        <v>Spring</v>
      </c>
      <c r="F58">
        <v>5</v>
      </c>
      <c r="G58">
        <v>163</v>
      </c>
      <c r="H58" s="7">
        <f>F58+G58</f>
        <v>168</v>
      </c>
      <c r="I58">
        <v>73</v>
      </c>
      <c r="J58" s="7">
        <f t="shared" si="0"/>
        <v>95</v>
      </c>
      <c r="K58">
        <v>90</v>
      </c>
      <c r="L58" s="75">
        <f>IF(B58="Camera",$T$13, IF(B58="Headphones",$U$13, IF(B58="Laptop",$V$13, IF(B58="Smartphone",$W$13, IF(B58="Smartwatch",$X$13,$Y$13)))))</f>
        <v>257.49962664277177</v>
      </c>
      <c r="M58" s="75">
        <f t="shared" si="1"/>
        <v>167.49962664277177</v>
      </c>
      <c r="N58" s="32">
        <f>I58/((F58+K58)/2)</f>
        <v>1.5368421052631578</v>
      </c>
      <c r="O58">
        <v>20</v>
      </c>
      <c r="P58">
        <v>0.82036994578281897</v>
      </c>
      <c r="Q58" s="2">
        <v>53.157847709232797</v>
      </c>
    </row>
    <row r="59" spans="1:17" x14ac:dyDescent="0.2">
      <c r="A59">
        <v>5</v>
      </c>
      <c r="B59" t="s">
        <v>14</v>
      </c>
      <c r="C59" s="7" t="str">
        <f>IF(B59="Smartphone", "Electronics", IF(B59="Laptop", "Computing", IF(B59="Tablet", "Mobile", IF(B59="Smartwatch", "Wearables", IF(B59="Headphones", "Audio", "Photography")))))</f>
        <v>Audio</v>
      </c>
      <c r="D59" s="1">
        <v>44105</v>
      </c>
      <c r="E59" s="13" t="str">
        <f>IF(OR(MONTH(D59)=9, MONTH(D59)=10, MONTH(D59)=11), "Spring",
 IF(OR(MONTH(D59)=12, MONTH(D59)=1, MONTH(D59)=2), "Summer",
 IF(OR(MONTH(D59)=3, MONTH(D59)=4, MONTH(D59)=5), "Autumn",
 IF(OR(MONTH(D59)=6, MONTH(D59)=7, MONTH(D59)=8), "Winter", "Unknown"
))))</f>
        <v>Spring</v>
      </c>
      <c r="F59">
        <v>78</v>
      </c>
      <c r="G59">
        <v>268</v>
      </c>
      <c r="H59" s="7">
        <f>F59+G59</f>
        <v>346</v>
      </c>
      <c r="I59">
        <v>295</v>
      </c>
      <c r="J59" s="7">
        <f t="shared" si="0"/>
        <v>51</v>
      </c>
      <c r="K59">
        <v>3</v>
      </c>
      <c r="L59" s="75">
        <f>IF(B59="Camera",$T$13, IF(B59="Headphones",$U$13, IF(B59="Laptop",$V$13, IF(B59="Smartphone",$W$13, IF(B59="Smartwatch",$X$13,$Y$13)))))</f>
        <v>257.49962664277177</v>
      </c>
      <c r="M59" s="75">
        <f t="shared" si="1"/>
        <v>254.49962664277177</v>
      </c>
      <c r="N59" s="32">
        <f>I59/((F59+K59)/2)</f>
        <v>7.283950617283951</v>
      </c>
      <c r="O59">
        <v>5</v>
      </c>
      <c r="P59">
        <v>0.90860606861677196</v>
      </c>
      <c r="Q59" s="2">
        <v>57.736836990382699</v>
      </c>
    </row>
    <row r="60" spans="1:17" x14ac:dyDescent="0.2">
      <c r="A60">
        <v>5</v>
      </c>
      <c r="B60" t="s">
        <v>14</v>
      </c>
      <c r="C60" s="7" t="str">
        <f>IF(B60="Smartphone", "Electronics", IF(B60="Laptop", "Computing", IF(B60="Tablet", "Mobile", IF(B60="Smartwatch", "Wearables", IF(B60="Headphones", "Audio", "Photography")))))</f>
        <v>Audio</v>
      </c>
      <c r="D60" s="1">
        <v>44136</v>
      </c>
      <c r="E60" s="13" t="str">
        <f>IF(OR(MONTH(D60)=9, MONTH(D60)=10, MONTH(D60)=11), "Spring",
 IF(OR(MONTH(D60)=12, MONTH(D60)=1, MONTH(D60)=2), "Summer",
 IF(OR(MONTH(D60)=3, MONTH(D60)=4, MONTH(D60)=5), "Autumn",
 IF(OR(MONTH(D60)=6, MONTH(D60)=7, MONTH(D60)=8), "Winter", "Unknown"
))))</f>
        <v>Spring</v>
      </c>
      <c r="F60">
        <v>65</v>
      </c>
      <c r="G60">
        <v>456</v>
      </c>
      <c r="H60" s="7">
        <f>F60+G60</f>
        <v>521</v>
      </c>
      <c r="I60">
        <v>357</v>
      </c>
      <c r="J60" s="7">
        <f t="shared" si="0"/>
        <v>164</v>
      </c>
      <c r="K60">
        <v>99</v>
      </c>
      <c r="L60" s="75">
        <f>IF(B60="Camera",$T$13, IF(B60="Headphones",$U$13, IF(B60="Laptop",$V$13, IF(B60="Smartphone",$W$13, IF(B60="Smartwatch",$X$13,$Y$13)))))</f>
        <v>257.49962664277177</v>
      </c>
      <c r="M60" s="75">
        <f t="shared" si="1"/>
        <v>158.49962664277177</v>
      </c>
      <c r="N60" s="32">
        <f>I60/((F60+K60)/2)</f>
        <v>4.3536585365853657</v>
      </c>
      <c r="O60">
        <v>21</v>
      </c>
      <c r="P60">
        <v>0.93389718924763299</v>
      </c>
      <c r="Q60" s="2">
        <v>54.5520939956142</v>
      </c>
    </row>
    <row r="61" spans="1:17" x14ac:dyDescent="0.2">
      <c r="A61">
        <v>5</v>
      </c>
      <c r="B61" t="s">
        <v>14</v>
      </c>
      <c r="C61" s="7" t="str">
        <f>IF(B61="Smartphone", "Electronics", IF(B61="Laptop", "Computing", IF(B61="Tablet", "Mobile", IF(B61="Smartwatch", "Wearables", IF(B61="Headphones", "Audio", "Photography")))))</f>
        <v>Audio</v>
      </c>
      <c r="D61" s="1">
        <v>44166</v>
      </c>
      <c r="E61" s="13" t="str">
        <f>IF(OR(MONTH(D61)=9, MONTH(D61)=10, MONTH(D61)=11), "Spring",
 IF(OR(MONTH(D61)=12, MONTH(D61)=1, MONTH(D61)=2), "Summer",
 IF(OR(MONTH(D61)=3, MONTH(D61)=4, MONTH(D61)=5), "Autumn",
 IF(OR(MONTH(D61)=6, MONTH(D61)=7, MONTH(D61)=8), "Winter", "Unknown"
))))</f>
        <v>Summer</v>
      </c>
      <c r="F61">
        <v>35</v>
      </c>
      <c r="G61">
        <v>455</v>
      </c>
      <c r="H61" s="7">
        <f>F61+G61</f>
        <v>490</v>
      </c>
      <c r="I61">
        <v>422</v>
      </c>
      <c r="J61" s="7">
        <f t="shared" si="0"/>
        <v>68</v>
      </c>
      <c r="K61">
        <v>33</v>
      </c>
      <c r="L61" s="75">
        <f>IF(B61="Camera",$T$13, IF(B61="Headphones",$U$13, IF(B61="Laptop",$V$13, IF(B61="Smartphone",$W$13, IF(B61="Smartwatch",$X$13,$Y$13)))))</f>
        <v>257.49962664277177</v>
      </c>
      <c r="M61" s="75">
        <f t="shared" si="1"/>
        <v>224.49962664277177</v>
      </c>
      <c r="N61" s="32">
        <f>I61/((F61+K61)/2)</f>
        <v>12.411764705882353</v>
      </c>
      <c r="O61">
        <v>25</v>
      </c>
      <c r="P61">
        <v>0.8</v>
      </c>
      <c r="Q61" s="2">
        <v>55.858679142285503</v>
      </c>
    </row>
    <row r="62" spans="1:17" x14ac:dyDescent="0.2">
      <c r="A62">
        <v>5</v>
      </c>
      <c r="B62" t="s">
        <v>14</v>
      </c>
      <c r="C62" s="7" t="str">
        <f>IF(B62="Smartphone", "Electronics", IF(B62="Laptop", "Computing", IF(B62="Tablet", "Mobile", IF(B62="Smartwatch", "Wearables", IF(B62="Headphones", "Audio", "Photography")))))</f>
        <v>Audio</v>
      </c>
      <c r="D62" s="1">
        <v>44197</v>
      </c>
      <c r="E62" s="13" t="str">
        <f>IF(OR(MONTH(D62)=9, MONTH(D62)=10, MONTH(D62)=11), "Spring",
 IF(OR(MONTH(D62)=12, MONTH(D62)=1, MONTH(D62)=2), "Summer",
 IF(OR(MONTH(D62)=3, MONTH(D62)=4, MONTH(D62)=5), "Autumn",
 IF(OR(MONTH(D62)=6, MONTH(D62)=7, MONTH(D62)=8), "Winter", "Unknown"
))))</f>
        <v>Summer</v>
      </c>
      <c r="F62">
        <v>72</v>
      </c>
      <c r="G62">
        <v>293</v>
      </c>
      <c r="H62" s="7">
        <f>F62+G62</f>
        <v>365</v>
      </c>
      <c r="I62">
        <v>281</v>
      </c>
      <c r="J62" s="7">
        <f t="shared" si="0"/>
        <v>84</v>
      </c>
      <c r="K62">
        <v>12</v>
      </c>
      <c r="L62" s="75">
        <f>IF(B62="Camera",$T$13, IF(B62="Headphones",$U$13, IF(B62="Laptop",$V$13, IF(B62="Smartphone",$W$13, IF(B62="Smartwatch",$X$13,$Y$13)))))</f>
        <v>257.49962664277177</v>
      </c>
      <c r="M62" s="75">
        <f t="shared" si="1"/>
        <v>245.49962664277177</v>
      </c>
      <c r="N62" s="32">
        <f>I62/((F62+K62)/2)</f>
        <v>6.6904761904761907</v>
      </c>
      <c r="O62">
        <v>4</v>
      </c>
      <c r="P62">
        <v>0.86522653843391895</v>
      </c>
      <c r="Q62" s="2">
        <v>66.801345449583593</v>
      </c>
    </row>
    <row r="63" spans="1:17" x14ac:dyDescent="0.2">
      <c r="A63">
        <v>5</v>
      </c>
      <c r="B63" t="s">
        <v>14</v>
      </c>
      <c r="C63" s="7" t="str">
        <f>IF(B63="Smartphone", "Electronics", IF(B63="Laptop", "Computing", IF(B63="Tablet", "Mobile", IF(B63="Smartwatch", "Wearables", IF(B63="Headphones", "Audio", "Photography")))))</f>
        <v>Audio</v>
      </c>
      <c r="D63" s="1">
        <v>44228</v>
      </c>
      <c r="E63" s="13" t="str">
        <f>IF(OR(MONTH(D63)=9, MONTH(D63)=10, MONTH(D63)=11), "Spring",
 IF(OR(MONTH(D63)=12, MONTH(D63)=1, MONTH(D63)=2), "Summer",
 IF(OR(MONTH(D63)=3, MONTH(D63)=4, MONTH(D63)=5), "Autumn",
 IF(OR(MONTH(D63)=6, MONTH(D63)=7, MONTH(D63)=8), "Winter", "Unknown"
))))</f>
        <v>Summer</v>
      </c>
      <c r="F63">
        <v>28</v>
      </c>
      <c r="G63">
        <v>131</v>
      </c>
      <c r="H63" s="7">
        <f>F63+G63</f>
        <v>159</v>
      </c>
      <c r="I63">
        <v>124</v>
      </c>
      <c r="J63" s="7">
        <f t="shared" si="0"/>
        <v>35</v>
      </c>
      <c r="K63">
        <v>7</v>
      </c>
      <c r="L63" s="75">
        <f>IF(B63="Camera",$T$13, IF(B63="Headphones",$U$13, IF(B63="Laptop",$V$13, IF(B63="Smartphone",$W$13, IF(B63="Smartwatch",$X$13,$Y$13)))))</f>
        <v>257.49962664277177</v>
      </c>
      <c r="M63" s="75">
        <f t="shared" si="1"/>
        <v>250.49962664277177</v>
      </c>
      <c r="N63" s="32">
        <f>I63/((F63+K63)/2)</f>
        <v>7.0857142857142854</v>
      </c>
      <c r="O63">
        <v>16</v>
      </c>
      <c r="P63">
        <v>0.93534087146568601</v>
      </c>
      <c r="Q63" s="2">
        <v>29.698729868128002</v>
      </c>
    </row>
    <row r="64" spans="1:17" x14ac:dyDescent="0.2">
      <c r="A64">
        <v>5</v>
      </c>
      <c r="B64" t="s">
        <v>14</v>
      </c>
      <c r="C64" s="7" t="str">
        <f>IF(B64="Smartphone", "Electronics", IF(B64="Laptop", "Computing", IF(B64="Tablet", "Mobile", IF(B64="Smartwatch", "Wearables", IF(B64="Headphones", "Audio", "Photography")))))</f>
        <v>Audio</v>
      </c>
      <c r="D64" s="1">
        <v>44256</v>
      </c>
      <c r="E64" s="13" t="str">
        <f>IF(OR(MONTH(D64)=9, MONTH(D64)=10, MONTH(D64)=11), "Spring",
 IF(OR(MONTH(D64)=12, MONTH(D64)=1, MONTH(D64)=2), "Summer",
 IF(OR(MONTH(D64)=3, MONTH(D64)=4, MONTH(D64)=5), "Autumn",
 IF(OR(MONTH(D64)=6, MONTH(D64)=7, MONTH(D64)=8), "Winter", "Unknown"
))))</f>
        <v>Autumn</v>
      </c>
      <c r="F64">
        <v>99</v>
      </c>
      <c r="G64">
        <v>183</v>
      </c>
      <c r="H64" s="7">
        <f>F64+G64</f>
        <v>282</v>
      </c>
      <c r="I64">
        <v>139</v>
      </c>
      <c r="J64" s="7">
        <f t="shared" si="0"/>
        <v>143</v>
      </c>
      <c r="K64">
        <v>44</v>
      </c>
      <c r="L64" s="75">
        <f>IF(B64="Camera",$T$13, IF(B64="Headphones",$U$13, IF(B64="Laptop",$V$13, IF(B64="Smartphone",$W$13, IF(B64="Smartwatch",$X$13,$Y$13)))))</f>
        <v>257.49962664277177</v>
      </c>
      <c r="M64" s="75">
        <f t="shared" si="1"/>
        <v>213.49962664277177</v>
      </c>
      <c r="N64" s="32">
        <f>I64/((F64+K64)/2)</f>
        <v>1.944055944055944</v>
      </c>
      <c r="O64">
        <v>24</v>
      </c>
      <c r="P64">
        <v>0.92398937214920795</v>
      </c>
      <c r="Q64" s="2">
        <v>25.367471795186798</v>
      </c>
    </row>
    <row r="65" spans="1:17" x14ac:dyDescent="0.2">
      <c r="A65">
        <v>5</v>
      </c>
      <c r="B65" t="s">
        <v>14</v>
      </c>
      <c r="C65" s="7" t="str">
        <f>IF(B65="Smartphone", "Electronics", IF(B65="Laptop", "Computing", IF(B65="Tablet", "Mobile", IF(B65="Smartwatch", "Wearables", IF(B65="Headphones", "Audio", "Photography")))))</f>
        <v>Audio</v>
      </c>
      <c r="D65" s="1">
        <v>44287</v>
      </c>
      <c r="E65" s="13" t="str">
        <f>IF(OR(MONTH(D65)=9, MONTH(D65)=10, MONTH(D65)=11), "Spring",
 IF(OR(MONTH(D65)=12, MONTH(D65)=1, MONTH(D65)=2), "Summer",
 IF(OR(MONTH(D65)=3, MONTH(D65)=4, MONTH(D65)=5), "Autumn",
 IF(OR(MONTH(D65)=6, MONTH(D65)=7, MONTH(D65)=8), "Winter", "Unknown"
))))</f>
        <v>Autumn</v>
      </c>
      <c r="F65">
        <v>63</v>
      </c>
      <c r="G65">
        <v>122</v>
      </c>
      <c r="H65" s="7">
        <f>F65+G65</f>
        <v>185</v>
      </c>
      <c r="I65">
        <v>111</v>
      </c>
      <c r="J65" s="7">
        <f t="shared" si="0"/>
        <v>74</v>
      </c>
      <c r="K65">
        <v>11</v>
      </c>
      <c r="L65" s="75">
        <f>IF(B65="Camera",$T$13, IF(B65="Headphones",$U$13, IF(B65="Laptop",$V$13, IF(B65="Smartphone",$W$13, IF(B65="Smartwatch",$X$13,$Y$13)))))</f>
        <v>257.49962664277177</v>
      </c>
      <c r="M65" s="75">
        <f t="shared" si="1"/>
        <v>246.49962664277177</v>
      </c>
      <c r="N65" s="32">
        <f>I65/((F65+K65)/2)</f>
        <v>3</v>
      </c>
      <c r="O65">
        <v>19</v>
      </c>
      <c r="P65">
        <v>0.94292565767237402</v>
      </c>
      <c r="Q65" s="2">
        <v>39.328348386585198</v>
      </c>
    </row>
    <row r="66" spans="1:17" x14ac:dyDescent="0.2">
      <c r="A66">
        <v>5</v>
      </c>
      <c r="B66" t="s">
        <v>14</v>
      </c>
      <c r="C66" s="7" t="str">
        <f>IF(B66="Smartphone", "Electronics", IF(B66="Laptop", "Computing", IF(B66="Tablet", "Mobile", IF(B66="Smartwatch", "Wearables", IF(B66="Headphones", "Audio", "Photography")))))</f>
        <v>Audio</v>
      </c>
      <c r="D66" s="1">
        <v>44317</v>
      </c>
      <c r="E66" s="13" t="str">
        <f>IF(OR(MONTH(D66)=9, MONTH(D66)=10, MONTH(D66)=11), "Spring",
 IF(OR(MONTH(D66)=12, MONTH(D66)=1, MONTH(D66)=2), "Summer",
 IF(OR(MONTH(D66)=3, MONTH(D66)=4, MONTH(D66)=5), "Autumn",
 IF(OR(MONTH(D66)=6, MONTH(D66)=7, MONTH(D66)=8), "Winter", "Unknown"
))))</f>
        <v>Autumn</v>
      </c>
      <c r="F66">
        <v>91</v>
      </c>
      <c r="G66">
        <v>179</v>
      </c>
      <c r="H66" s="7">
        <f>F66+G66</f>
        <v>270</v>
      </c>
      <c r="I66">
        <v>144</v>
      </c>
      <c r="J66" s="7">
        <f t="shared" si="0"/>
        <v>126</v>
      </c>
      <c r="K66">
        <v>35</v>
      </c>
      <c r="L66" s="75">
        <f>IF(B66="Camera",$T$13, IF(B66="Headphones",$U$13, IF(B66="Laptop",$V$13, IF(B66="Smartphone",$W$13, IF(B66="Smartwatch",$X$13,$Y$13)))))</f>
        <v>257.49962664277177</v>
      </c>
      <c r="M66" s="75">
        <f t="shared" si="1"/>
        <v>222.49962664277177</v>
      </c>
      <c r="N66" s="32">
        <f>I66/((F66+K66)/2)</f>
        <v>2.2857142857142856</v>
      </c>
      <c r="O66">
        <v>13</v>
      </c>
      <c r="P66">
        <v>0.86253965211428696</v>
      </c>
      <c r="Q66" s="2">
        <v>80.959597461381094</v>
      </c>
    </row>
    <row r="67" spans="1:17" x14ac:dyDescent="0.2">
      <c r="A67">
        <v>5</v>
      </c>
      <c r="B67" t="s">
        <v>14</v>
      </c>
      <c r="C67" s="7" t="str">
        <f>IF(B67="Smartphone", "Electronics", IF(B67="Laptop", "Computing", IF(B67="Tablet", "Mobile", IF(B67="Smartwatch", "Wearables", IF(B67="Headphones", "Audio", "Photography")))))</f>
        <v>Audio</v>
      </c>
      <c r="D67" s="1">
        <v>44348</v>
      </c>
      <c r="E67" s="13" t="str">
        <f>IF(OR(MONTH(D67)=9, MONTH(D67)=10, MONTH(D67)=11), "Spring",
 IF(OR(MONTH(D67)=12, MONTH(D67)=1, MONTH(D67)=2), "Summer",
 IF(OR(MONTH(D67)=3, MONTH(D67)=4, MONTH(D67)=5), "Autumn",
 IF(OR(MONTH(D67)=6, MONTH(D67)=7, MONTH(D67)=8), "Winter", "Unknown"
))))</f>
        <v>Winter</v>
      </c>
      <c r="F67">
        <v>62</v>
      </c>
      <c r="G67">
        <v>74</v>
      </c>
      <c r="H67" s="7">
        <f>F67+G67</f>
        <v>136</v>
      </c>
      <c r="I67">
        <v>0</v>
      </c>
      <c r="J67" s="7">
        <f t="shared" ref="J67:J130" si="5">H67-I67</f>
        <v>136</v>
      </c>
      <c r="K67">
        <v>74</v>
      </c>
      <c r="L67" s="75">
        <f>IF(B67="Camera",$T$13, IF(B67="Headphones",$U$13, IF(B67="Laptop",$V$13, IF(B67="Smartphone",$W$13, IF(B67="Smartwatch",$X$13,$Y$13)))))</f>
        <v>257.49962664277177</v>
      </c>
      <c r="M67" s="75">
        <f t="shared" ref="M67:M130" si="6">L67-K67</f>
        <v>183.49962664277177</v>
      </c>
      <c r="N67" s="32">
        <f>I67/((F67+K67)/2)</f>
        <v>0</v>
      </c>
      <c r="O67">
        <v>19</v>
      </c>
      <c r="P67">
        <v>0.92750475285138401</v>
      </c>
      <c r="Q67" s="2">
        <v>68.159526396595098</v>
      </c>
    </row>
    <row r="68" spans="1:17" x14ac:dyDescent="0.2">
      <c r="A68">
        <v>5</v>
      </c>
      <c r="B68" t="s">
        <v>14</v>
      </c>
      <c r="C68" s="7" t="str">
        <f>IF(B68="Smartphone", "Electronics", IF(B68="Laptop", "Computing", IF(B68="Tablet", "Mobile", IF(B68="Smartwatch", "Wearables", IF(B68="Headphones", "Audio", "Photography")))))</f>
        <v>Audio</v>
      </c>
      <c r="D68" s="1">
        <v>44378</v>
      </c>
      <c r="E68" s="13" t="str">
        <f>IF(OR(MONTH(D68)=9, MONTH(D68)=10, MONTH(D68)=11), "Spring",
 IF(OR(MONTH(D68)=12, MONTH(D68)=1, MONTH(D68)=2), "Summer",
 IF(OR(MONTH(D68)=3, MONTH(D68)=4, MONTH(D68)=5), "Autumn",
 IF(OR(MONTH(D68)=6, MONTH(D68)=7, MONTH(D68)=8), "Winter", "Unknown"
))))</f>
        <v>Winter</v>
      </c>
      <c r="F68">
        <v>33</v>
      </c>
      <c r="G68">
        <v>213</v>
      </c>
      <c r="H68" s="7">
        <f>F68+G68</f>
        <v>246</v>
      </c>
      <c r="I68">
        <v>165</v>
      </c>
      <c r="J68" s="7">
        <f t="shared" si="5"/>
        <v>81</v>
      </c>
      <c r="K68">
        <v>48</v>
      </c>
      <c r="L68" s="75">
        <f>IF(B68="Camera",$T$13, IF(B68="Headphones",$U$13, IF(B68="Laptop",$V$13, IF(B68="Smartphone",$W$13, IF(B68="Smartwatch",$X$13,$Y$13)))))</f>
        <v>257.49962664277177</v>
      </c>
      <c r="M68" s="75">
        <f t="shared" si="6"/>
        <v>209.49962664277177</v>
      </c>
      <c r="N68" s="32">
        <f>I68/((F68+K68)/2)</f>
        <v>4.0740740740740744</v>
      </c>
      <c r="O68">
        <v>23</v>
      </c>
      <c r="P68">
        <v>1</v>
      </c>
      <c r="Q68" s="2">
        <v>69.658116504079999</v>
      </c>
    </row>
    <row r="69" spans="1:17" x14ac:dyDescent="0.2">
      <c r="A69">
        <v>5</v>
      </c>
      <c r="B69" t="s">
        <v>14</v>
      </c>
      <c r="C69" s="7" t="str">
        <f>IF(B69="Smartphone", "Electronics", IF(B69="Laptop", "Computing", IF(B69="Tablet", "Mobile", IF(B69="Smartwatch", "Wearables", IF(B69="Headphones", "Audio", "Photography")))))</f>
        <v>Audio</v>
      </c>
      <c r="D69" s="1">
        <v>44409</v>
      </c>
      <c r="E69" s="13" t="str">
        <f>IF(OR(MONTH(D69)=9, MONTH(D69)=10, MONTH(D69)=11), "Spring",
 IF(OR(MONTH(D69)=12, MONTH(D69)=1, MONTH(D69)=2), "Summer",
 IF(OR(MONTH(D69)=3, MONTH(D69)=4, MONTH(D69)=5), "Autumn",
 IF(OR(MONTH(D69)=6, MONTH(D69)=7, MONTH(D69)=8), "Winter", "Unknown"
))))</f>
        <v>Winter</v>
      </c>
      <c r="F69">
        <v>8</v>
      </c>
      <c r="G69">
        <v>359</v>
      </c>
      <c r="H69" s="7">
        <f>F69+G69</f>
        <v>367</v>
      </c>
      <c r="I69">
        <v>324</v>
      </c>
      <c r="J69" s="7">
        <f t="shared" si="5"/>
        <v>43</v>
      </c>
      <c r="K69">
        <v>35</v>
      </c>
      <c r="L69" s="75">
        <f>IF(B69="Camera",$T$13, IF(B69="Headphones",$U$13, IF(B69="Laptop",$V$13, IF(B69="Smartphone",$W$13, IF(B69="Smartwatch",$X$13,$Y$13)))))</f>
        <v>257.49962664277177</v>
      </c>
      <c r="M69" s="75">
        <f t="shared" si="6"/>
        <v>222.49962664277177</v>
      </c>
      <c r="N69" s="32">
        <f>I69/((F69+K69)/2)</f>
        <v>15.069767441860465</v>
      </c>
      <c r="O69">
        <v>28</v>
      </c>
      <c r="P69">
        <v>0.91440631183638499</v>
      </c>
      <c r="Q69" s="2">
        <v>36.476803274869098</v>
      </c>
    </row>
    <row r="70" spans="1:17" x14ac:dyDescent="0.2">
      <c r="A70">
        <v>5</v>
      </c>
      <c r="B70" t="s">
        <v>14</v>
      </c>
      <c r="C70" s="7" t="str">
        <f>IF(B70="Smartphone", "Electronics", IF(B70="Laptop", "Computing", IF(B70="Tablet", "Mobile", IF(B70="Smartwatch", "Wearables", IF(B70="Headphones", "Audio", "Photography")))))</f>
        <v>Audio</v>
      </c>
      <c r="D70" s="1">
        <v>44440</v>
      </c>
      <c r="E70" s="13" t="str">
        <f>IF(OR(MONTH(D70)=9, MONTH(D70)=10, MONTH(D70)=11), "Spring",
 IF(OR(MONTH(D70)=12, MONTH(D70)=1, MONTH(D70)=2), "Summer",
 IF(OR(MONTH(D70)=3, MONTH(D70)=4, MONTH(D70)=5), "Autumn",
 IF(OR(MONTH(D70)=6, MONTH(D70)=7, MONTH(D70)=8), "Winter", "Unknown"
))))</f>
        <v>Spring</v>
      </c>
      <c r="F70">
        <v>90</v>
      </c>
      <c r="G70">
        <v>439</v>
      </c>
      <c r="H70" s="7">
        <f>F70+G70</f>
        <v>529</v>
      </c>
      <c r="I70">
        <v>425</v>
      </c>
      <c r="J70" s="7">
        <f t="shared" si="5"/>
        <v>104</v>
      </c>
      <c r="K70">
        <v>14</v>
      </c>
      <c r="L70" s="75">
        <f>IF(B70="Camera",$T$13, IF(B70="Headphones",$U$13, IF(B70="Laptop",$V$13, IF(B70="Smartphone",$W$13, IF(B70="Smartwatch",$X$13,$Y$13)))))</f>
        <v>257.49962664277177</v>
      </c>
      <c r="M70" s="75">
        <f t="shared" si="6"/>
        <v>243.49962664277177</v>
      </c>
      <c r="N70" s="32">
        <f>I70/((F70+K70)/2)</f>
        <v>8.1730769230769234</v>
      </c>
      <c r="O70">
        <v>22</v>
      </c>
      <c r="P70">
        <v>0.85844150570976596</v>
      </c>
      <c r="Q70" s="2">
        <v>47.334920398744103</v>
      </c>
    </row>
    <row r="71" spans="1:17" x14ac:dyDescent="0.2">
      <c r="A71">
        <v>5</v>
      </c>
      <c r="B71" t="s">
        <v>14</v>
      </c>
      <c r="C71" s="7" t="str">
        <f>IF(B71="Smartphone", "Electronics", IF(B71="Laptop", "Computing", IF(B71="Tablet", "Mobile", IF(B71="Smartwatch", "Wearables", IF(B71="Headphones", "Audio", "Photography")))))</f>
        <v>Audio</v>
      </c>
      <c r="D71" s="1">
        <v>44470</v>
      </c>
      <c r="E71" s="13" t="str">
        <f>IF(OR(MONTH(D71)=9, MONTH(D71)=10, MONTH(D71)=11), "Spring",
 IF(OR(MONTH(D71)=12, MONTH(D71)=1, MONTH(D71)=2), "Summer",
 IF(OR(MONTH(D71)=3, MONTH(D71)=4, MONTH(D71)=5), "Autumn",
 IF(OR(MONTH(D71)=6, MONTH(D71)=7, MONTH(D71)=8), "Winter", "Unknown"
))))</f>
        <v>Spring</v>
      </c>
      <c r="F71">
        <v>3</v>
      </c>
      <c r="G71">
        <v>74</v>
      </c>
      <c r="H71" s="7">
        <f>F71+G71</f>
        <v>77</v>
      </c>
      <c r="I71">
        <v>73</v>
      </c>
      <c r="J71" s="7">
        <f t="shared" si="5"/>
        <v>4</v>
      </c>
      <c r="K71">
        <v>1</v>
      </c>
      <c r="L71" s="75">
        <f>IF(B71="Camera",$T$13, IF(B71="Headphones",$U$13, IF(B71="Laptop",$V$13, IF(B71="Smartphone",$W$13, IF(B71="Smartwatch",$X$13,$Y$13)))))</f>
        <v>257.49962664277177</v>
      </c>
      <c r="M71" s="75">
        <f t="shared" si="6"/>
        <v>256.49962664277177</v>
      </c>
      <c r="N71" s="32">
        <f>I71/((F71+K71)/2)</f>
        <v>36.5</v>
      </c>
      <c r="O71">
        <v>20</v>
      </c>
      <c r="P71">
        <v>0.93364431081587196</v>
      </c>
      <c r="Q71" s="2">
        <v>35.008653059620599</v>
      </c>
    </row>
    <row r="72" spans="1:17" x14ac:dyDescent="0.2">
      <c r="A72">
        <v>5</v>
      </c>
      <c r="B72" t="s">
        <v>14</v>
      </c>
      <c r="C72" s="7" t="str">
        <f>IF(B72="Smartphone", "Electronics", IF(B72="Laptop", "Computing", IF(B72="Tablet", "Mobile", IF(B72="Smartwatch", "Wearables", IF(B72="Headphones", "Audio", "Photography")))))</f>
        <v>Audio</v>
      </c>
      <c r="D72" s="1">
        <v>44501</v>
      </c>
      <c r="E72" s="13" t="str">
        <f>IF(OR(MONTH(D72)=9, MONTH(D72)=10, MONTH(D72)=11), "Spring",
 IF(OR(MONTH(D72)=12, MONTH(D72)=1, MONTH(D72)=2), "Summer",
 IF(OR(MONTH(D72)=3, MONTH(D72)=4, MONTH(D72)=5), "Autumn",
 IF(OR(MONTH(D72)=6, MONTH(D72)=7, MONTH(D72)=8), "Winter", "Unknown"
))))</f>
        <v>Spring</v>
      </c>
      <c r="F72">
        <v>99</v>
      </c>
      <c r="G72">
        <v>337</v>
      </c>
      <c r="H72" s="7">
        <f>F72+G72</f>
        <v>436</v>
      </c>
      <c r="I72">
        <v>290</v>
      </c>
      <c r="J72" s="7">
        <f t="shared" si="5"/>
        <v>146</v>
      </c>
      <c r="K72">
        <v>47</v>
      </c>
      <c r="L72" s="75">
        <f>IF(B72="Camera",$T$13, IF(B72="Headphones",$U$13, IF(B72="Laptop",$V$13, IF(B72="Smartphone",$W$13, IF(B72="Smartwatch",$X$13,$Y$13)))))</f>
        <v>257.49962664277177</v>
      </c>
      <c r="M72" s="75">
        <f t="shared" si="6"/>
        <v>210.49962664277177</v>
      </c>
      <c r="N72" s="32">
        <f>I72/((F72+K72)/2)</f>
        <v>3.9726027397260273</v>
      </c>
      <c r="O72">
        <v>15</v>
      </c>
      <c r="P72">
        <v>0.85959032074747799</v>
      </c>
      <c r="Q72" s="2">
        <v>27.6353524234245</v>
      </c>
    </row>
    <row r="73" spans="1:17" x14ac:dyDescent="0.2">
      <c r="A73">
        <v>5</v>
      </c>
      <c r="B73" t="s">
        <v>14</v>
      </c>
      <c r="C73" s="7" t="str">
        <f>IF(B73="Smartphone", "Electronics", IF(B73="Laptop", "Computing", IF(B73="Tablet", "Mobile", IF(B73="Smartwatch", "Wearables", IF(B73="Headphones", "Audio", "Photography")))))</f>
        <v>Audio</v>
      </c>
      <c r="D73" s="1">
        <v>44531</v>
      </c>
      <c r="E73" s="13" t="str">
        <f>IF(OR(MONTH(D73)=9, MONTH(D73)=10, MONTH(D73)=11), "Spring",
 IF(OR(MONTH(D73)=12, MONTH(D73)=1, MONTH(D73)=2), "Summer",
 IF(OR(MONTH(D73)=3, MONTH(D73)=4, MONTH(D73)=5), "Autumn",
 IF(OR(MONTH(D73)=6, MONTH(D73)=7, MONTH(D73)=8), "Winter", "Unknown"
))))</f>
        <v>Summer</v>
      </c>
      <c r="F73">
        <v>33</v>
      </c>
      <c r="G73">
        <v>383</v>
      </c>
      <c r="H73" s="7">
        <f>F73+G73</f>
        <v>416</v>
      </c>
      <c r="I73">
        <v>378</v>
      </c>
      <c r="J73" s="7">
        <f t="shared" si="5"/>
        <v>38</v>
      </c>
      <c r="K73">
        <v>5</v>
      </c>
      <c r="L73" s="75">
        <f>IF(B73="Camera",$T$13, IF(B73="Headphones",$U$13, IF(B73="Laptop",$V$13, IF(B73="Smartphone",$W$13, IF(B73="Smartwatch",$X$13,$Y$13)))))</f>
        <v>257.49962664277177</v>
      </c>
      <c r="M73" s="75">
        <f t="shared" si="6"/>
        <v>252.49962664277177</v>
      </c>
      <c r="N73" s="32">
        <f>I73/((F73+K73)/2)</f>
        <v>19.894736842105264</v>
      </c>
      <c r="O73">
        <v>26</v>
      </c>
      <c r="P73">
        <v>0.853709040842621</v>
      </c>
      <c r="Q73" s="2">
        <v>49.521782892855697</v>
      </c>
    </row>
    <row r="74" spans="1:17" x14ac:dyDescent="0.2">
      <c r="A74">
        <v>2</v>
      </c>
      <c r="B74" t="s">
        <v>11</v>
      </c>
      <c r="C74" s="7" t="str">
        <f>IF(B74="Smartphone", "Electronics", IF(B74="Laptop", "Computing", IF(B74="Tablet", "Mobile", IF(B74="Smartwatch", "Wearables", IF(B74="Headphones", "Audio", "Photography")))))</f>
        <v>Computing</v>
      </c>
      <c r="D74" s="1">
        <v>43466</v>
      </c>
      <c r="E74" s="13" t="str">
        <f>IF(OR(MONTH(D74)=9, MONTH(D74)=10, MONTH(D74)=11), "Spring",
 IF(OR(MONTH(D74)=12, MONTH(D74)=1, MONTH(D74)=2), "Summer",
 IF(OR(MONTH(D74)=3, MONTH(D74)=4, MONTH(D74)=5), "Autumn",
 IF(OR(MONTH(D74)=6, MONTH(D74)=7, MONTH(D74)=8), "Winter", "Unknown"
))))</f>
        <v>Summer</v>
      </c>
      <c r="F74">
        <v>47</v>
      </c>
      <c r="G74">
        <v>187</v>
      </c>
      <c r="H74" s="7">
        <f>F74+G74</f>
        <v>234</v>
      </c>
      <c r="I74">
        <v>117</v>
      </c>
      <c r="J74" s="7">
        <f t="shared" si="5"/>
        <v>117</v>
      </c>
      <c r="K74">
        <v>70</v>
      </c>
      <c r="L74" s="75">
        <f>IF(B74="Camera",$T$13, IF(B74="Headphones",$U$13, IF(B74="Laptop",$V$13, IF(B74="Smartphone",$W$13, IF(B74="Smartwatch",$X$13,$Y$13)))))</f>
        <v>445.16255973715647</v>
      </c>
      <c r="M74" s="75">
        <f t="shared" si="6"/>
        <v>375.16255973715647</v>
      </c>
      <c r="N74" s="32">
        <f>I74/((F74+K74)/2)</f>
        <v>2</v>
      </c>
      <c r="O74">
        <v>21</v>
      </c>
      <c r="P74">
        <v>0.91672496008890603</v>
      </c>
      <c r="Q74" s="2">
        <v>381.10319774690299</v>
      </c>
    </row>
    <row r="75" spans="1:17" x14ac:dyDescent="0.2">
      <c r="A75">
        <v>2</v>
      </c>
      <c r="B75" t="s">
        <v>11</v>
      </c>
      <c r="C75" s="7" t="str">
        <f>IF(B75="Smartphone", "Electronics", IF(B75="Laptop", "Computing", IF(B75="Tablet", "Mobile", IF(B75="Smartwatch", "Wearables", IF(B75="Headphones", "Audio", "Photography")))))</f>
        <v>Computing</v>
      </c>
      <c r="D75" s="1">
        <v>43497</v>
      </c>
      <c r="E75" s="13" t="str">
        <f>IF(OR(MONTH(D75)=9, MONTH(D75)=10, MONTH(D75)=11), "Spring",
 IF(OR(MONTH(D75)=12, MONTH(D75)=1, MONTH(D75)=2), "Summer",
 IF(OR(MONTH(D75)=3, MONTH(D75)=4, MONTH(D75)=5), "Autumn",
 IF(OR(MONTH(D75)=6, MONTH(D75)=7, MONTH(D75)=8), "Winter", "Unknown"
))))</f>
        <v>Summer</v>
      </c>
      <c r="F75">
        <v>62</v>
      </c>
      <c r="G75">
        <v>307</v>
      </c>
      <c r="H75" s="7">
        <f>F75+G75</f>
        <v>369</v>
      </c>
      <c r="I75">
        <v>181</v>
      </c>
      <c r="J75" s="7">
        <f t="shared" si="5"/>
        <v>188</v>
      </c>
      <c r="K75">
        <v>126</v>
      </c>
      <c r="L75" s="75">
        <f>IF(B75="Camera",$T$13, IF(B75="Headphones",$U$13, IF(B75="Laptop",$V$13, IF(B75="Smartphone",$W$13, IF(B75="Smartwatch",$X$13,$Y$13)))))</f>
        <v>445.16255973715647</v>
      </c>
      <c r="M75" s="75">
        <f t="shared" si="6"/>
        <v>319.16255973715647</v>
      </c>
      <c r="N75" s="32">
        <f>I75/((F75+K75)/2)</f>
        <v>1.925531914893617</v>
      </c>
      <c r="O75">
        <v>21</v>
      </c>
      <c r="P75">
        <v>1</v>
      </c>
      <c r="Q75" s="2">
        <v>127.091014638804</v>
      </c>
    </row>
    <row r="76" spans="1:17" x14ac:dyDescent="0.2">
      <c r="A76">
        <v>2</v>
      </c>
      <c r="B76" t="s">
        <v>11</v>
      </c>
      <c r="C76" s="7" t="str">
        <f>IF(B76="Smartphone", "Electronics", IF(B76="Laptop", "Computing", IF(B76="Tablet", "Mobile", IF(B76="Smartwatch", "Wearables", IF(B76="Headphones", "Audio", "Photography")))))</f>
        <v>Computing</v>
      </c>
      <c r="D76" s="1">
        <v>43525</v>
      </c>
      <c r="E76" s="13" t="str">
        <f>IF(OR(MONTH(D76)=9, MONTH(D76)=10, MONTH(D76)=11), "Spring",
 IF(OR(MONTH(D76)=12, MONTH(D76)=1, MONTH(D76)=2), "Summer",
 IF(OR(MONTH(D76)=3, MONTH(D76)=4, MONTH(D76)=5), "Autumn",
 IF(OR(MONTH(D76)=6, MONTH(D76)=7, MONTH(D76)=8), "Winter", "Unknown"
))))</f>
        <v>Autumn</v>
      </c>
      <c r="F76">
        <v>116</v>
      </c>
      <c r="G76">
        <v>372</v>
      </c>
      <c r="H76" s="7">
        <f>F76+G76</f>
        <v>488</v>
      </c>
      <c r="I76">
        <v>533</v>
      </c>
      <c r="J76" s="7">
        <f t="shared" si="5"/>
        <v>-45</v>
      </c>
      <c r="K76">
        <v>14</v>
      </c>
      <c r="L76" s="75">
        <f>IF(B76="Camera",$T$13, IF(B76="Headphones",$U$13, IF(B76="Laptop",$V$13, IF(B76="Smartphone",$W$13, IF(B76="Smartwatch",$X$13,$Y$13)))))</f>
        <v>445.16255973715647</v>
      </c>
      <c r="M76" s="75">
        <f t="shared" si="6"/>
        <v>431.16255973715647</v>
      </c>
      <c r="N76" s="32">
        <f>I76/((F76+K76)/2)</f>
        <v>8.1999999999999993</v>
      </c>
      <c r="O76">
        <v>12</v>
      </c>
      <c r="P76">
        <v>0.87781908477414705</v>
      </c>
      <c r="Q76" s="2">
        <v>91.350677796670695</v>
      </c>
    </row>
    <row r="77" spans="1:17" x14ac:dyDescent="0.2">
      <c r="A77">
        <v>2</v>
      </c>
      <c r="B77" t="s">
        <v>11</v>
      </c>
      <c r="C77" s="7" t="str">
        <f>IF(B77="Smartphone", "Electronics", IF(B77="Laptop", "Computing", IF(B77="Tablet", "Mobile", IF(B77="Smartwatch", "Wearables", IF(B77="Headphones", "Audio", "Photography")))))</f>
        <v>Computing</v>
      </c>
      <c r="D77" s="1">
        <v>43556</v>
      </c>
      <c r="E77" s="13" t="str">
        <f>IF(OR(MONTH(D77)=9, MONTH(D77)=10, MONTH(D77)=11), "Spring",
 IF(OR(MONTH(D77)=12, MONTH(D77)=1, MONTH(D77)=2), "Summer",
 IF(OR(MONTH(D77)=3, MONTH(D77)=4, MONTH(D77)=5), "Autumn",
 IF(OR(MONTH(D77)=6, MONTH(D77)=7, MONTH(D77)=8), "Winter", "Unknown"
))))</f>
        <v>Autumn</v>
      </c>
      <c r="F77">
        <v>129</v>
      </c>
      <c r="G77">
        <v>290</v>
      </c>
      <c r="H77" s="7">
        <f>F77+G77</f>
        <v>419</v>
      </c>
      <c r="I77">
        <v>328</v>
      </c>
      <c r="J77" s="7">
        <f t="shared" si="5"/>
        <v>91</v>
      </c>
      <c r="K77">
        <v>91</v>
      </c>
      <c r="L77" s="75">
        <f>IF(B77="Camera",$T$13, IF(B77="Headphones",$U$13, IF(B77="Laptop",$V$13, IF(B77="Smartphone",$W$13, IF(B77="Smartwatch",$X$13,$Y$13)))))</f>
        <v>445.16255973715647</v>
      </c>
      <c r="M77" s="75">
        <f t="shared" si="6"/>
        <v>354.16255973715647</v>
      </c>
      <c r="N77" s="32">
        <f>I77/((F77+K77)/2)</f>
        <v>2.9818181818181819</v>
      </c>
      <c r="O77">
        <v>21</v>
      </c>
      <c r="P77">
        <v>0.8</v>
      </c>
      <c r="Q77" s="2">
        <v>17.733266829623901</v>
      </c>
    </row>
    <row r="78" spans="1:17" x14ac:dyDescent="0.2">
      <c r="A78">
        <v>2</v>
      </c>
      <c r="B78" t="s">
        <v>11</v>
      </c>
      <c r="C78" s="7" t="str">
        <f>IF(B78="Smartphone", "Electronics", IF(B78="Laptop", "Computing", IF(B78="Tablet", "Mobile", IF(B78="Smartwatch", "Wearables", IF(B78="Headphones", "Audio", "Photography")))))</f>
        <v>Computing</v>
      </c>
      <c r="D78" s="1">
        <v>43586</v>
      </c>
      <c r="E78" s="13" t="str">
        <f>IF(OR(MONTH(D78)=9, MONTH(D78)=10, MONTH(D78)=11), "Spring",
 IF(OR(MONTH(D78)=12, MONTH(D78)=1, MONTH(D78)=2), "Summer",
 IF(OR(MONTH(D78)=3, MONTH(D78)=4, MONTH(D78)=5), "Autumn",
 IF(OR(MONTH(D78)=6, MONTH(D78)=7, MONTH(D78)=8), "Winter", "Unknown"
))))</f>
        <v>Autumn</v>
      </c>
      <c r="F78">
        <v>51</v>
      </c>
      <c r="G78">
        <v>267</v>
      </c>
      <c r="H78" s="7">
        <f>F78+G78</f>
        <v>318</v>
      </c>
      <c r="I78">
        <v>260</v>
      </c>
      <c r="J78" s="7">
        <f t="shared" si="5"/>
        <v>58</v>
      </c>
      <c r="K78">
        <v>7</v>
      </c>
      <c r="L78" s="75">
        <f>IF(B78="Camera",$T$13, IF(B78="Headphones",$U$13, IF(B78="Laptop",$V$13, IF(B78="Smartphone",$W$13, IF(B78="Smartwatch",$X$13,$Y$13)))))</f>
        <v>445.16255973715647</v>
      </c>
      <c r="M78" s="75">
        <f t="shared" si="6"/>
        <v>438.16255973715647</v>
      </c>
      <c r="N78" s="32">
        <f>I78/((F78+K78)/2)</f>
        <v>8.9655172413793096</v>
      </c>
      <c r="O78">
        <v>23</v>
      </c>
      <c r="P78">
        <v>0.91649199768116696</v>
      </c>
      <c r="Q78" s="2">
        <v>57.012184042034697</v>
      </c>
    </row>
    <row r="79" spans="1:17" x14ac:dyDescent="0.2">
      <c r="A79">
        <v>2</v>
      </c>
      <c r="B79" t="s">
        <v>11</v>
      </c>
      <c r="C79" s="7" t="str">
        <f>IF(B79="Smartphone", "Electronics", IF(B79="Laptop", "Computing", IF(B79="Tablet", "Mobile", IF(B79="Smartwatch", "Wearables", IF(B79="Headphones", "Audio", "Photography")))))</f>
        <v>Computing</v>
      </c>
      <c r="D79" s="1">
        <v>43617</v>
      </c>
      <c r="E79" s="13" t="str">
        <f>IF(OR(MONTH(D79)=9, MONTH(D79)=10, MONTH(D79)=11), "Spring",
 IF(OR(MONTH(D79)=12, MONTH(D79)=1, MONTH(D79)=2), "Summer",
 IF(OR(MONTH(D79)=3, MONTH(D79)=4, MONTH(D79)=5), "Autumn",
 IF(OR(MONTH(D79)=6, MONTH(D79)=7, MONTH(D79)=8), "Winter", "Unknown"
))))</f>
        <v>Winter</v>
      </c>
      <c r="F79">
        <v>51</v>
      </c>
      <c r="G79">
        <v>85</v>
      </c>
      <c r="H79" s="7">
        <f>F79+G79</f>
        <v>136</v>
      </c>
      <c r="I79">
        <v>87</v>
      </c>
      <c r="J79" s="7">
        <f t="shared" si="5"/>
        <v>49</v>
      </c>
      <c r="K79">
        <v>55</v>
      </c>
      <c r="L79" s="75">
        <f>IF(B79="Camera",$T$13, IF(B79="Headphones",$U$13, IF(B79="Laptop",$V$13, IF(B79="Smartphone",$W$13, IF(B79="Smartwatch",$X$13,$Y$13)))))</f>
        <v>445.16255973715647</v>
      </c>
      <c r="M79" s="75">
        <f t="shared" si="6"/>
        <v>390.16255973715647</v>
      </c>
      <c r="N79" s="32">
        <f>I79/((F79+K79)/2)</f>
        <v>1.6415094339622642</v>
      </c>
      <c r="O79">
        <v>25</v>
      </c>
      <c r="P79">
        <v>0.95099622897984804</v>
      </c>
      <c r="Q79" s="2">
        <v>81.369789051371697</v>
      </c>
    </row>
    <row r="80" spans="1:17" x14ac:dyDescent="0.2">
      <c r="A80">
        <v>2</v>
      </c>
      <c r="B80" t="s">
        <v>11</v>
      </c>
      <c r="C80" s="7" t="str">
        <f>IF(B80="Smartphone", "Electronics", IF(B80="Laptop", "Computing", IF(B80="Tablet", "Mobile", IF(B80="Smartwatch", "Wearables", IF(B80="Headphones", "Audio", "Photography")))))</f>
        <v>Computing</v>
      </c>
      <c r="D80" s="1">
        <v>43647</v>
      </c>
      <c r="E80" s="13" t="str">
        <f>IF(OR(MONTH(D80)=9, MONTH(D80)=10, MONTH(D80)=11), "Spring",
 IF(OR(MONTH(D80)=12, MONTH(D80)=1, MONTH(D80)=2), "Summer",
 IF(OR(MONTH(D80)=3, MONTH(D80)=4, MONTH(D80)=5), "Autumn",
 IF(OR(MONTH(D80)=6, MONTH(D80)=7, MONTH(D80)=8), "Winter", "Unknown"
))))</f>
        <v>Winter</v>
      </c>
      <c r="F80">
        <v>168</v>
      </c>
      <c r="G80">
        <v>122</v>
      </c>
      <c r="H80" s="7">
        <f>F80+G80</f>
        <v>290</v>
      </c>
      <c r="I80">
        <v>283</v>
      </c>
      <c r="J80" s="7">
        <f t="shared" si="5"/>
        <v>7</v>
      </c>
      <c r="K80">
        <v>56</v>
      </c>
      <c r="L80" s="75">
        <f>IF(B80="Camera",$T$13, IF(B80="Headphones",$U$13, IF(B80="Laptop",$V$13, IF(B80="Smartphone",$W$13, IF(B80="Smartwatch",$X$13,$Y$13)))))</f>
        <v>445.16255973715647</v>
      </c>
      <c r="M80" s="75">
        <f t="shared" si="6"/>
        <v>389.16255973715647</v>
      </c>
      <c r="N80" s="32">
        <f>I80/((F80+K80)/2)</f>
        <v>2.5267857142857144</v>
      </c>
      <c r="O80">
        <v>2</v>
      </c>
      <c r="P80">
        <v>0.93731298537332897</v>
      </c>
      <c r="Q80" s="2">
        <v>100.33030810445</v>
      </c>
    </row>
    <row r="81" spans="1:17" x14ac:dyDescent="0.2">
      <c r="A81">
        <v>2</v>
      </c>
      <c r="B81" t="s">
        <v>11</v>
      </c>
      <c r="C81" s="7" t="str">
        <f>IF(B81="Smartphone", "Electronics", IF(B81="Laptop", "Computing", IF(B81="Tablet", "Mobile", IF(B81="Smartwatch", "Wearables", IF(B81="Headphones", "Audio", "Photography")))))</f>
        <v>Computing</v>
      </c>
      <c r="D81" s="1">
        <v>43678</v>
      </c>
      <c r="E81" s="13" t="str">
        <f>IF(OR(MONTH(D81)=9, MONTH(D81)=10, MONTH(D81)=11), "Spring",
 IF(OR(MONTH(D81)=12, MONTH(D81)=1, MONTH(D81)=2), "Summer",
 IF(OR(MONTH(D81)=3, MONTH(D81)=4, MONTH(D81)=5), "Autumn",
 IF(OR(MONTH(D81)=6, MONTH(D81)=7, MONTH(D81)=8), "Winter", "Unknown"
))))</f>
        <v>Winter</v>
      </c>
      <c r="F81">
        <v>42</v>
      </c>
      <c r="G81">
        <v>245</v>
      </c>
      <c r="H81" s="7">
        <f>F81+G81</f>
        <v>287</v>
      </c>
      <c r="I81">
        <v>153</v>
      </c>
      <c r="J81" s="7">
        <f t="shared" si="5"/>
        <v>134</v>
      </c>
      <c r="K81">
        <v>92</v>
      </c>
      <c r="L81" s="75">
        <f>IF(B81="Camera",$T$13, IF(B81="Headphones",$U$13, IF(B81="Laptop",$V$13, IF(B81="Smartphone",$W$13, IF(B81="Smartwatch",$X$13,$Y$13)))))</f>
        <v>445.16255973715647</v>
      </c>
      <c r="M81" s="75">
        <f t="shared" si="6"/>
        <v>353.16255973715647</v>
      </c>
      <c r="N81" s="32">
        <f>I81/((F81+K81)/2)</f>
        <v>2.283582089552239</v>
      </c>
      <c r="O81">
        <v>18</v>
      </c>
      <c r="P81">
        <v>0.928240707484146</v>
      </c>
      <c r="Q81" s="2">
        <v>81.439143182314993</v>
      </c>
    </row>
    <row r="82" spans="1:17" x14ac:dyDescent="0.2">
      <c r="A82">
        <v>2</v>
      </c>
      <c r="B82" t="s">
        <v>11</v>
      </c>
      <c r="C82" s="7" t="str">
        <f>IF(B82="Smartphone", "Electronics", IF(B82="Laptop", "Computing", IF(B82="Tablet", "Mobile", IF(B82="Smartwatch", "Wearables", IF(B82="Headphones", "Audio", "Photography")))))</f>
        <v>Computing</v>
      </c>
      <c r="D82" s="1">
        <v>43709</v>
      </c>
      <c r="E82" s="13" t="str">
        <f>IF(OR(MONTH(D82)=9, MONTH(D82)=10, MONTH(D82)=11), "Spring",
 IF(OR(MONTH(D82)=12, MONTH(D82)=1, MONTH(D82)=2), "Summer",
 IF(OR(MONTH(D82)=3, MONTH(D82)=4, MONTH(D82)=5), "Autumn",
 IF(OR(MONTH(D82)=6, MONTH(D82)=7, MONTH(D82)=8), "Winter", "Unknown"
))))</f>
        <v>Spring</v>
      </c>
      <c r="F82">
        <v>92</v>
      </c>
      <c r="G82">
        <v>54</v>
      </c>
      <c r="H82" s="7">
        <f>F82+G82</f>
        <v>146</v>
      </c>
      <c r="I82">
        <v>36</v>
      </c>
      <c r="J82" s="7">
        <f t="shared" si="5"/>
        <v>110</v>
      </c>
      <c r="K82">
        <v>18</v>
      </c>
      <c r="L82" s="75">
        <f>IF(B82="Camera",$T$13, IF(B82="Headphones",$U$13, IF(B82="Laptop",$V$13, IF(B82="Smartphone",$W$13, IF(B82="Smartwatch",$X$13,$Y$13)))))</f>
        <v>445.16255973715647</v>
      </c>
      <c r="M82" s="75">
        <f t="shared" si="6"/>
        <v>427.16255973715647</v>
      </c>
      <c r="N82" s="32">
        <f>I82/((F82+K82)/2)</f>
        <v>0.65454545454545454</v>
      </c>
      <c r="O82">
        <v>13</v>
      </c>
      <c r="P82">
        <v>0.97200367582667202</v>
      </c>
      <c r="Q82" s="2">
        <v>62.7494016295759</v>
      </c>
    </row>
    <row r="83" spans="1:17" x14ac:dyDescent="0.2">
      <c r="A83">
        <v>2</v>
      </c>
      <c r="B83" t="s">
        <v>11</v>
      </c>
      <c r="C83" s="7" t="str">
        <f>IF(B83="Smartphone", "Electronics", IF(B83="Laptop", "Computing", IF(B83="Tablet", "Mobile", IF(B83="Smartwatch", "Wearables", IF(B83="Headphones", "Audio", "Photography")))))</f>
        <v>Computing</v>
      </c>
      <c r="D83" s="1">
        <v>43739</v>
      </c>
      <c r="E83" s="13" t="str">
        <f>IF(OR(MONTH(D83)=9, MONTH(D83)=10, MONTH(D83)=11), "Spring",
 IF(OR(MONTH(D83)=12, MONTH(D83)=1, MONTH(D83)=2), "Summer",
 IF(OR(MONTH(D83)=3, MONTH(D83)=4, MONTH(D83)=5), "Autumn",
 IF(OR(MONTH(D83)=6, MONTH(D83)=7, MONTH(D83)=8), "Winter", "Unknown"
))))</f>
        <v>Spring</v>
      </c>
      <c r="F83">
        <v>73</v>
      </c>
      <c r="G83">
        <v>279</v>
      </c>
      <c r="H83" s="7">
        <f>F83+G83</f>
        <v>352</v>
      </c>
      <c r="I83">
        <v>240</v>
      </c>
      <c r="J83" s="7">
        <f t="shared" si="5"/>
        <v>112</v>
      </c>
      <c r="K83">
        <v>39</v>
      </c>
      <c r="L83" s="75">
        <f>IF(B83="Camera",$T$13, IF(B83="Headphones",$U$13, IF(B83="Laptop",$V$13, IF(B83="Smartphone",$W$13, IF(B83="Smartwatch",$X$13,$Y$13)))))</f>
        <v>445.16255973715647</v>
      </c>
      <c r="M83" s="75">
        <f t="shared" si="6"/>
        <v>406.16255973715647</v>
      </c>
      <c r="N83" s="32">
        <f>I83/((F83+K83)/2)</f>
        <v>4.2857142857142856</v>
      </c>
      <c r="O83">
        <v>24</v>
      </c>
      <c r="P83">
        <v>0.978095321238305</v>
      </c>
      <c r="Q83" s="2">
        <v>59.074371424336398</v>
      </c>
    </row>
    <row r="84" spans="1:17" x14ac:dyDescent="0.2">
      <c r="A84">
        <v>2</v>
      </c>
      <c r="B84" t="s">
        <v>11</v>
      </c>
      <c r="C84" s="7" t="str">
        <f>IF(B84="Smartphone", "Electronics", IF(B84="Laptop", "Computing", IF(B84="Tablet", "Mobile", IF(B84="Smartwatch", "Wearables", IF(B84="Headphones", "Audio", "Photography")))))</f>
        <v>Computing</v>
      </c>
      <c r="D84" s="1">
        <v>43770</v>
      </c>
      <c r="E84" s="13" t="str">
        <f>IF(OR(MONTH(D84)=9, MONTH(D84)=10, MONTH(D84)=11), "Spring",
 IF(OR(MONTH(D84)=12, MONTH(D84)=1, MONTH(D84)=2), "Summer",
 IF(OR(MONTH(D84)=3, MONTH(D84)=4, MONTH(D84)=5), "Autumn",
 IF(OR(MONTH(D84)=6, MONTH(D84)=7, MONTH(D84)=8), "Winter", "Unknown"
))))</f>
        <v>Spring</v>
      </c>
      <c r="F84">
        <v>21</v>
      </c>
      <c r="G84">
        <v>107</v>
      </c>
      <c r="H84" s="7">
        <f>F84+G84</f>
        <v>128</v>
      </c>
      <c r="I84">
        <v>100</v>
      </c>
      <c r="J84" s="7">
        <f t="shared" si="5"/>
        <v>28</v>
      </c>
      <c r="K84">
        <v>7</v>
      </c>
      <c r="L84" s="75">
        <f>IF(B84="Camera",$T$13, IF(B84="Headphones",$U$13, IF(B84="Laptop",$V$13, IF(B84="Smartphone",$W$13, IF(B84="Smartwatch",$X$13,$Y$13)))))</f>
        <v>445.16255973715647</v>
      </c>
      <c r="M84" s="75">
        <f t="shared" si="6"/>
        <v>438.16255973715647</v>
      </c>
      <c r="N84" s="32">
        <f>I84/((F84+K84)/2)</f>
        <v>7.1428571428571432</v>
      </c>
      <c r="O84">
        <v>7</v>
      </c>
      <c r="P84">
        <v>0.99839494714640598</v>
      </c>
      <c r="Q84" s="2">
        <v>239.57900585900001</v>
      </c>
    </row>
    <row r="85" spans="1:17" x14ac:dyDescent="0.2">
      <c r="A85">
        <v>2</v>
      </c>
      <c r="B85" t="s">
        <v>11</v>
      </c>
      <c r="C85" s="7" t="str">
        <f>IF(B85="Smartphone", "Electronics", IF(B85="Laptop", "Computing", IF(B85="Tablet", "Mobile", IF(B85="Smartwatch", "Wearables", IF(B85="Headphones", "Audio", "Photography")))))</f>
        <v>Computing</v>
      </c>
      <c r="D85" s="1">
        <v>43800</v>
      </c>
      <c r="E85" s="13" t="str">
        <f>IF(OR(MONTH(D85)=9, MONTH(D85)=10, MONTH(D85)=11), "Spring",
 IF(OR(MONTH(D85)=12, MONTH(D85)=1, MONTH(D85)=2), "Summer",
 IF(OR(MONTH(D85)=3, MONTH(D85)=4, MONTH(D85)=5), "Autumn",
 IF(OR(MONTH(D85)=6, MONTH(D85)=7, MONTH(D85)=8), "Winter", "Unknown"
))))</f>
        <v>Summer</v>
      </c>
      <c r="F85">
        <v>80</v>
      </c>
      <c r="G85">
        <v>221</v>
      </c>
      <c r="H85" s="7">
        <f>F85+G85</f>
        <v>301</v>
      </c>
      <c r="I85">
        <v>206</v>
      </c>
      <c r="J85" s="7">
        <f t="shared" si="5"/>
        <v>95</v>
      </c>
      <c r="K85">
        <v>15</v>
      </c>
      <c r="L85" s="75">
        <f>IF(B85="Camera",$T$13, IF(B85="Headphones",$U$13, IF(B85="Laptop",$V$13, IF(B85="Smartphone",$W$13, IF(B85="Smartwatch",$X$13,$Y$13)))))</f>
        <v>445.16255973715647</v>
      </c>
      <c r="M85" s="75">
        <f t="shared" si="6"/>
        <v>430.16255973715647</v>
      </c>
      <c r="N85" s="32">
        <f>I85/((F85+K85)/2)</f>
        <v>4.3368421052631581</v>
      </c>
      <c r="O85">
        <v>8</v>
      </c>
      <c r="P85">
        <v>0.896069118072925</v>
      </c>
      <c r="Q85" s="2">
        <v>37.307139158770198</v>
      </c>
    </row>
    <row r="86" spans="1:17" x14ac:dyDescent="0.2">
      <c r="A86">
        <v>2</v>
      </c>
      <c r="B86" t="s">
        <v>11</v>
      </c>
      <c r="C86" s="7" t="str">
        <f>IF(B86="Smartphone", "Electronics", IF(B86="Laptop", "Computing", IF(B86="Tablet", "Mobile", IF(B86="Smartwatch", "Wearables", IF(B86="Headphones", "Audio", "Photography")))))</f>
        <v>Computing</v>
      </c>
      <c r="D86" s="1">
        <v>43831</v>
      </c>
      <c r="E86" s="13" t="str">
        <f>IF(OR(MONTH(D86)=9, MONTH(D86)=10, MONTH(D86)=11), "Spring",
 IF(OR(MONTH(D86)=12, MONTH(D86)=1, MONTH(D86)=2), "Summer",
 IF(OR(MONTH(D86)=3, MONTH(D86)=4, MONTH(D86)=5), "Autumn",
 IF(OR(MONTH(D86)=6, MONTH(D86)=7, MONTH(D86)=8), "Winter", "Unknown"
))))</f>
        <v>Summer</v>
      </c>
      <c r="F86">
        <v>70</v>
      </c>
      <c r="G86">
        <v>335</v>
      </c>
      <c r="H86" s="7">
        <f>F86+G86</f>
        <v>405</v>
      </c>
      <c r="I86">
        <v>379</v>
      </c>
      <c r="J86" s="7">
        <f t="shared" si="5"/>
        <v>26</v>
      </c>
      <c r="K86">
        <v>118</v>
      </c>
      <c r="L86" s="75">
        <f>IF(B86="Camera",$T$13, IF(B86="Headphones",$U$13, IF(B86="Laptop",$V$13, IF(B86="Smartphone",$W$13, IF(B86="Smartwatch",$X$13,$Y$13)))))</f>
        <v>445.16255973715647</v>
      </c>
      <c r="M86" s="75">
        <f t="shared" si="6"/>
        <v>327.16255973715647</v>
      </c>
      <c r="N86" s="32">
        <f>I86/((F86+K86)/2)</f>
        <v>4.0319148936170217</v>
      </c>
      <c r="O86">
        <v>12</v>
      </c>
      <c r="P86">
        <v>0.90937099402617105</v>
      </c>
      <c r="Q86" s="2">
        <v>124.67498077203599</v>
      </c>
    </row>
    <row r="87" spans="1:17" x14ac:dyDescent="0.2">
      <c r="A87">
        <v>2</v>
      </c>
      <c r="B87" t="s">
        <v>11</v>
      </c>
      <c r="C87" s="7" t="str">
        <f>IF(B87="Smartphone", "Electronics", IF(B87="Laptop", "Computing", IF(B87="Tablet", "Mobile", IF(B87="Smartwatch", "Wearables", IF(B87="Headphones", "Audio", "Photography")))))</f>
        <v>Computing</v>
      </c>
      <c r="D87" s="1">
        <v>43862</v>
      </c>
      <c r="E87" s="13" t="str">
        <f>IF(OR(MONTH(D87)=9, MONTH(D87)=10, MONTH(D87)=11), "Spring",
 IF(OR(MONTH(D87)=12, MONTH(D87)=1, MONTH(D87)=2), "Summer",
 IF(OR(MONTH(D87)=3, MONTH(D87)=4, MONTH(D87)=5), "Autumn",
 IF(OR(MONTH(D87)=6, MONTH(D87)=7, MONTH(D87)=8), "Winter", "Unknown"
))))</f>
        <v>Summer</v>
      </c>
      <c r="F87">
        <v>126</v>
      </c>
      <c r="G87">
        <v>85</v>
      </c>
      <c r="H87" s="7">
        <f>F87+G87</f>
        <v>211</v>
      </c>
      <c r="I87">
        <v>188</v>
      </c>
      <c r="J87" s="7">
        <f t="shared" si="5"/>
        <v>23</v>
      </c>
      <c r="K87">
        <v>80</v>
      </c>
      <c r="L87" s="75">
        <f>IF(B87="Camera",$T$13, IF(B87="Headphones",$U$13, IF(B87="Laptop",$V$13, IF(B87="Smartphone",$W$13, IF(B87="Smartwatch",$X$13,$Y$13)))))</f>
        <v>445.16255973715647</v>
      </c>
      <c r="M87" s="75">
        <f t="shared" si="6"/>
        <v>365.16255973715647</v>
      </c>
      <c r="N87" s="32">
        <f>I87/((F87+K87)/2)</f>
        <v>1.825242718446602</v>
      </c>
      <c r="O87">
        <v>3</v>
      </c>
      <c r="P87">
        <v>0.84157278426716897</v>
      </c>
      <c r="Q87" s="2">
        <v>38.253515381567901</v>
      </c>
    </row>
    <row r="88" spans="1:17" x14ac:dyDescent="0.2">
      <c r="A88">
        <v>2</v>
      </c>
      <c r="B88" t="s">
        <v>11</v>
      </c>
      <c r="C88" s="7" t="str">
        <f>IF(B88="Smartphone", "Electronics", IF(B88="Laptop", "Computing", IF(B88="Tablet", "Mobile", IF(B88="Smartwatch", "Wearables", IF(B88="Headphones", "Audio", "Photography")))))</f>
        <v>Computing</v>
      </c>
      <c r="D88" s="1">
        <v>43891</v>
      </c>
      <c r="E88" s="13" t="str">
        <f>IF(OR(MONTH(D88)=9, MONTH(D88)=10, MONTH(D88)=11), "Spring",
 IF(OR(MONTH(D88)=12, MONTH(D88)=1, MONTH(D88)=2), "Summer",
 IF(OR(MONTH(D88)=3, MONTH(D88)=4, MONTH(D88)=5), "Autumn",
 IF(OR(MONTH(D88)=6, MONTH(D88)=7, MONTH(D88)=8), "Winter", "Unknown"
))))</f>
        <v>Autumn</v>
      </c>
      <c r="F88">
        <v>14</v>
      </c>
      <c r="G88">
        <v>155</v>
      </c>
      <c r="H88" s="7">
        <f>F88+G88</f>
        <v>169</v>
      </c>
      <c r="I88">
        <v>152</v>
      </c>
      <c r="J88" s="7">
        <f t="shared" si="5"/>
        <v>17</v>
      </c>
      <c r="K88">
        <v>3</v>
      </c>
      <c r="L88" s="75">
        <f>IF(B88="Camera",$T$13, IF(B88="Headphones",$U$13, IF(B88="Laptop",$V$13, IF(B88="Smartphone",$W$13, IF(B88="Smartwatch",$X$13,$Y$13)))))</f>
        <v>445.16255973715647</v>
      </c>
      <c r="M88" s="75">
        <f t="shared" si="6"/>
        <v>442.16255973715647</v>
      </c>
      <c r="N88" s="32">
        <f>I88/((F88+K88)/2)</f>
        <v>17.882352941176471</v>
      </c>
      <c r="O88">
        <v>21</v>
      </c>
      <c r="P88">
        <v>0.94815444991065101</v>
      </c>
      <c r="Q88" s="2">
        <v>63.643639385103498</v>
      </c>
    </row>
    <row r="89" spans="1:17" x14ac:dyDescent="0.2">
      <c r="A89">
        <v>2</v>
      </c>
      <c r="B89" t="s">
        <v>11</v>
      </c>
      <c r="C89" s="7" t="str">
        <f>IF(B89="Smartphone", "Electronics", IF(B89="Laptop", "Computing", IF(B89="Tablet", "Mobile", IF(B89="Smartwatch", "Wearables", IF(B89="Headphones", "Audio", "Photography")))))</f>
        <v>Computing</v>
      </c>
      <c r="D89" s="1">
        <v>43922</v>
      </c>
      <c r="E89" s="13" t="str">
        <f>IF(OR(MONTH(D89)=9, MONTH(D89)=10, MONTH(D89)=11), "Spring",
 IF(OR(MONTH(D89)=12, MONTH(D89)=1, MONTH(D89)=2), "Summer",
 IF(OR(MONTH(D89)=3, MONTH(D89)=4, MONTH(D89)=5), "Autumn",
 IF(OR(MONTH(D89)=6, MONTH(D89)=7, MONTH(D89)=8), "Winter", "Unknown"
))))</f>
        <v>Autumn</v>
      </c>
      <c r="F89">
        <v>91</v>
      </c>
      <c r="G89">
        <v>61</v>
      </c>
      <c r="H89" s="7">
        <f>F89+G89</f>
        <v>152</v>
      </c>
      <c r="I89">
        <v>2</v>
      </c>
      <c r="J89" s="7">
        <f t="shared" si="5"/>
        <v>150</v>
      </c>
      <c r="K89">
        <v>59</v>
      </c>
      <c r="L89" s="75">
        <f>IF(B89="Camera",$T$13, IF(B89="Headphones",$U$13, IF(B89="Laptop",$V$13, IF(B89="Smartphone",$W$13, IF(B89="Smartwatch",$X$13,$Y$13)))))</f>
        <v>445.16255973715647</v>
      </c>
      <c r="M89" s="75">
        <f t="shared" si="6"/>
        <v>386.16255973715647</v>
      </c>
      <c r="N89" s="32">
        <f>I89/((F89+K89)/2)</f>
        <v>2.6666666666666668E-2</v>
      </c>
      <c r="O89">
        <v>9</v>
      </c>
      <c r="P89">
        <v>0.95397718104058205</v>
      </c>
      <c r="Q89" s="2">
        <v>80.017560849593806</v>
      </c>
    </row>
    <row r="90" spans="1:17" x14ac:dyDescent="0.2">
      <c r="A90">
        <v>2</v>
      </c>
      <c r="B90" t="s">
        <v>11</v>
      </c>
      <c r="C90" s="7" t="str">
        <f>IF(B90="Smartphone", "Electronics", IF(B90="Laptop", "Computing", IF(B90="Tablet", "Mobile", IF(B90="Smartwatch", "Wearables", IF(B90="Headphones", "Audio", "Photography")))))</f>
        <v>Computing</v>
      </c>
      <c r="D90" s="1">
        <v>43952</v>
      </c>
      <c r="E90" s="13" t="str">
        <f>IF(OR(MONTH(D90)=9, MONTH(D90)=10, MONTH(D90)=11), "Spring",
 IF(OR(MONTH(D90)=12, MONTH(D90)=1, MONTH(D90)=2), "Summer",
 IF(OR(MONTH(D90)=3, MONTH(D90)=4, MONTH(D90)=5), "Autumn",
 IF(OR(MONTH(D90)=6, MONTH(D90)=7, MONTH(D90)=8), "Winter", "Unknown"
))))</f>
        <v>Autumn</v>
      </c>
      <c r="F90">
        <v>7</v>
      </c>
      <c r="G90">
        <v>193</v>
      </c>
      <c r="H90" s="7">
        <f>F90+G90</f>
        <v>200</v>
      </c>
      <c r="I90">
        <v>161</v>
      </c>
      <c r="J90" s="7">
        <f t="shared" si="5"/>
        <v>39</v>
      </c>
      <c r="K90">
        <v>32</v>
      </c>
      <c r="L90" s="75">
        <f>IF(B90="Camera",$T$13, IF(B90="Headphones",$U$13, IF(B90="Laptop",$V$13, IF(B90="Smartphone",$W$13, IF(B90="Smartwatch",$X$13,$Y$13)))))</f>
        <v>445.16255973715647</v>
      </c>
      <c r="M90" s="75">
        <f t="shared" si="6"/>
        <v>413.16255973715647</v>
      </c>
      <c r="N90" s="32">
        <f>I90/((F90+K90)/2)</f>
        <v>8.2564102564102573</v>
      </c>
      <c r="O90">
        <v>22</v>
      </c>
      <c r="P90">
        <v>0.986295388517618</v>
      </c>
      <c r="Q90" s="2">
        <v>137.48359877874699</v>
      </c>
    </row>
    <row r="91" spans="1:17" x14ac:dyDescent="0.2">
      <c r="A91">
        <v>2</v>
      </c>
      <c r="B91" t="s">
        <v>11</v>
      </c>
      <c r="C91" s="7" t="str">
        <f>IF(B91="Smartphone", "Electronics", IF(B91="Laptop", "Computing", IF(B91="Tablet", "Mobile", IF(B91="Smartwatch", "Wearables", IF(B91="Headphones", "Audio", "Photography")))))</f>
        <v>Computing</v>
      </c>
      <c r="D91" s="1">
        <v>43983</v>
      </c>
      <c r="E91" s="13" t="str">
        <f>IF(OR(MONTH(D91)=9, MONTH(D91)=10, MONTH(D91)=11), "Spring",
 IF(OR(MONTH(D91)=12, MONTH(D91)=1, MONTH(D91)=2), "Summer",
 IF(OR(MONTH(D91)=3, MONTH(D91)=4, MONTH(D91)=5), "Autumn",
 IF(OR(MONTH(D91)=6, MONTH(D91)=7, MONTH(D91)=8), "Winter", "Unknown"
))))</f>
        <v>Winter</v>
      </c>
      <c r="F91">
        <v>55</v>
      </c>
      <c r="G91">
        <v>153</v>
      </c>
      <c r="H91" s="7">
        <f>F91+G91</f>
        <v>208</v>
      </c>
      <c r="I91">
        <v>89</v>
      </c>
      <c r="J91" s="7">
        <f t="shared" si="5"/>
        <v>119</v>
      </c>
      <c r="K91">
        <v>64</v>
      </c>
      <c r="L91" s="75">
        <f>IF(B91="Camera",$T$13, IF(B91="Headphones",$U$13, IF(B91="Laptop",$V$13, IF(B91="Smartphone",$W$13, IF(B91="Smartwatch",$X$13,$Y$13)))))</f>
        <v>445.16255973715647</v>
      </c>
      <c r="M91" s="75">
        <f t="shared" si="6"/>
        <v>381.16255973715647</v>
      </c>
      <c r="N91" s="32">
        <f>I91/((F91+K91)/2)</f>
        <v>1.4957983193277311</v>
      </c>
      <c r="O91">
        <v>17</v>
      </c>
      <c r="P91">
        <v>0.92429811414636298</v>
      </c>
      <c r="Q91" s="2">
        <v>6.28795822700486</v>
      </c>
    </row>
    <row r="92" spans="1:17" x14ac:dyDescent="0.2">
      <c r="A92">
        <v>2</v>
      </c>
      <c r="B92" t="s">
        <v>11</v>
      </c>
      <c r="C92" s="7" t="str">
        <f>IF(B92="Smartphone", "Electronics", IF(B92="Laptop", "Computing", IF(B92="Tablet", "Mobile", IF(B92="Smartwatch", "Wearables", IF(B92="Headphones", "Audio", "Photography")))))</f>
        <v>Computing</v>
      </c>
      <c r="D92" s="1">
        <v>44013</v>
      </c>
      <c r="E92" s="13" t="str">
        <f>IF(OR(MONTH(D92)=9, MONTH(D92)=10, MONTH(D92)=11), "Spring",
 IF(OR(MONTH(D92)=12, MONTH(D92)=1, MONTH(D92)=2), "Summer",
 IF(OR(MONTH(D92)=3, MONTH(D92)=4, MONTH(D92)=5), "Autumn",
 IF(OR(MONTH(D92)=6, MONTH(D92)=7, MONTH(D92)=8), "Winter", "Unknown"
))))</f>
        <v>Winter</v>
      </c>
      <c r="F92">
        <v>56</v>
      </c>
      <c r="G92">
        <v>370</v>
      </c>
      <c r="H92" s="7">
        <f>F92+G92</f>
        <v>426</v>
      </c>
      <c r="I92">
        <v>308</v>
      </c>
      <c r="J92" s="7">
        <f t="shared" si="5"/>
        <v>118</v>
      </c>
      <c r="K92">
        <v>62</v>
      </c>
      <c r="L92" s="75">
        <f>IF(B92="Camera",$T$13, IF(B92="Headphones",$U$13, IF(B92="Laptop",$V$13, IF(B92="Smartphone",$W$13, IF(B92="Smartwatch",$X$13,$Y$13)))))</f>
        <v>445.16255973715647</v>
      </c>
      <c r="M92" s="75">
        <f t="shared" si="6"/>
        <v>383.16255973715647</v>
      </c>
      <c r="N92" s="32">
        <f>I92/((F92+K92)/2)</f>
        <v>5.2203389830508478</v>
      </c>
      <c r="O92">
        <v>25</v>
      </c>
      <c r="P92">
        <v>0.94875255476517295</v>
      </c>
      <c r="Q92" s="2">
        <v>51.244305208049497</v>
      </c>
    </row>
    <row r="93" spans="1:17" x14ac:dyDescent="0.2">
      <c r="A93">
        <v>2</v>
      </c>
      <c r="B93" t="s">
        <v>11</v>
      </c>
      <c r="C93" s="7" t="str">
        <f>IF(B93="Smartphone", "Electronics", IF(B93="Laptop", "Computing", IF(B93="Tablet", "Mobile", IF(B93="Smartwatch", "Wearables", IF(B93="Headphones", "Audio", "Photography")))))</f>
        <v>Computing</v>
      </c>
      <c r="D93" s="1">
        <v>44044</v>
      </c>
      <c r="E93" s="13" t="str">
        <f>IF(OR(MONTH(D93)=9, MONTH(D93)=10, MONTH(D93)=11), "Spring",
 IF(OR(MONTH(D93)=12, MONTH(D93)=1, MONTH(D93)=2), "Summer",
 IF(OR(MONTH(D93)=3, MONTH(D93)=4, MONTH(D93)=5), "Autumn",
 IF(OR(MONTH(D93)=6, MONTH(D93)=7, MONTH(D93)=8), "Winter", "Unknown"
))))</f>
        <v>Winter</v>
      </c>
      <c r="F93">
        <v>92</v>
      </c>
      <c r="G93">
        <v>280</v>
      </c>
      <c r="H93" s="7">
        <f>F93+G93</f>
        <v>372</v>
      </c>
      <c r="I93">
        <v>220</v>
      </c>
      <c r="J93" s="7">
        <f t="shared" si="5"/>
        <v>152</v>
      </c>
      <c r="K93">
        <v>60</v>
      </c>
      <c r="L93" s="75">
        <f>IF(B93="Camera",$T$13, IF(B93="Headphones",$U$13, IF(B93="Laptop",$V$13, IF(B93="Smartphone",$W$13, IF(B93="Smartwatch",$X$13,$Y$13)))))</f>
        <v>445.16255973715647</v>
      </c>
      <c r="M93" s="75">
        <f t="shared" si="6"/>
        <v>385.16255973715647</v>
      </c>
      <c r="N93" s="32">
        <f>I93/((F93+K93)/2)</f>
        <v>2.8947368421052633</v>
      </c>
      <c r="O93">
        <v>6</v>
      </c>
      <c r="P93">
        <v>0.916808002313802</v>
      </c>
      <c r="Q93" s="2">
        <v>39.964661014959503</v>
      </c>
    </row>
    <row r="94" spans="1:17" x14ac:dyDescent="0.2">
      <c r="A94">
        <v>2</v>
      </c>
      <c r="B94" t="s">
        <v>11</v>
      </c>
      <c r="C94" s="7" t="str">
        <f>IF(B94="Smartphone", "Electronics", IF(B94="Laptop", "Computing", IF(B94="Tablet", "Mobile", IF(B94="Smartwatch", "Wearables", IF(B94="Headphones", "Audio", "Photography")))))</f>
        <v>Computing</v>
      </c>
      <c r="D94" s="1">
        <v>44075</v>
      </c>
      <c r="E94" s="13" t="str">
        <f>IF(OR(MONTH(D94)=9, MONTH(D94)=10, MONTH(D94)=11), "Spring",
 IF(OR(MONTH(D94)=12, MONTH(D94)=1, MONTH(D94)=2), "Summer",
 IF(OR(MONTH(D94)=3, MONTH(D94)=4, MONTH(D94)=5), "Autumn",
 IF(OR(MONTH(D94)=6, MONTH(D94)=7, MONTH(D94)=8), "Winter", "Unknown"
))))</f>
        <v>Spring</v>
      </c>
      <c r="F94">
        <v>18</v>
      </c>
      <c r="G94">
        <v>191</v>
      </c>
      <c r="H94" s="7">
        <f>F94+G94</f>
        <v>209</v>
      </c>
      <c r="I94">
        <v>167</v>
      </c>
      <c r="J94" s="7">
        <f t="shared" si="5"/>
        <v>42</v>
      </c>
      <c r="K94">
        <v>24</v>
      </c>
      <c r="L94" s="75">
        <f>IF(B94="Camera",$T$13, IF(B94="Headphones",$U$13, IF(B94="Laptop",$V$13, IF(B94="Smartphone",$W$13, IF(B94="Smartwatch",$X$13,$Y$13)))))</f>
        <v>445.16255973715647</v>
      </c>
      <c r="M94" s="75">
        <f t="shared" si="6"/>
        <v>421.16255973715647</v>
      </c>
      <c r="N94" s="32">
        <f>I94/((F94+K94)/2)</f>
        <v>7.9523809523809526</v>
      </c>
      <c r="O94">
        <v>15</v>
      </c>
      <c r="P94">
        <v>0.96178558696494199</v>
      </c>
      <c r="Q94" s="2">
        <v>236.57478931033901</v>
      </c>
    </row>
    <row r="95" spans="1:17" x14ac:dyDescent="0.2">
      <c r="A95">
        <v>2</v>
      </c>
      <c r="B95" t="s">
        <v>11</v>
      </c>
      <c r="C95" s="7" t="str">
        <f>IF(B95="Smartphone", "Electronics", IF(B95="Laptop", "Computing", IF(B95="Tablet", "Mobile", IF(B95="Smartwatch", "Wearables", IF(B95="Headphones", "Audio", "Photography")))))</f>
        <v>Computing</v>
      </c>
      <c r="D95" s="1">
        <v>44105</v>
      </c>
      <c r="E95" s="13" t="str">
        <f>IF(OR(MONTH(D95)=9, MONTH(D95)=10, MONTH(D95)=11), "Spring",
 IF(OR(MONTH(D95)=12, MONTH(D95)=1, MONTH(D95)=2), "Summer",
 IF(OR(MONTH(D95)=3, MONTH(D95)=4, MONTH(D95)=5), "Autumn",
 IF(OR(MONTH(D95)=6, MONTH(D95)=7, MONTH(D95)=8), "Winter", "Unknown"
))))</f>
        <v>Spring</v>
      </c>
      <c r="F95">
        <v>39</v>
      </c>
      <c r="G95">
        <v>410</v>
      </c>
      <c r="H95" s="7">
        <f>F95+G95</f>
        <v>449</v>
      </c>
      <c r="I95">
        <v>100</v>
      </c>
      <c r="J95" s="7">
        <f t="shared" si="5"/>
        <v>349</v>
      </c>
      <c r="K95">
        <v>310</v>
      </c>
      <c r="L95" s="75">
        <f>IF(B95="Camera",$T$13, IF(B95="Headphones",$U$13, IF(B95="Laptop",$V$13, IF(B95="Smartphone",$W$13, IF(B95="Smartwatch",$X$13,$Y$13)))))</f>
        <v>445.16255973715647</v>
      </c>
      <c r="M95" s="75">
        <f t="shared" si="6"/>
        <v>135.16255973715647</v>
      </c>
      <c r="N95" s="32">
        <f>I95/((F95+K95)/2)</f>
        <v>0.57306590257879653</v>
      </c>
      <c r="O95">
        <v>22</v>
      </c>
      <c r="P95">
        <v>0.86511331083491905</v>
      </c>
      <c r="Q95" s="2">
        <v>515.20202377693397</v>
      </c>
    </row>
    <row r="96" spans="1:17" x14ac:dyDescent="0.2">
      <c r="A96">
        <v>2</v>
      </c>
      <c r="B96" t="s">
        <v>11</v>
      </c>
      <c r="C96" s="7" t="str">
        <f>IF(B96="Smartphone", "Electronics", IF(B96="Laptop", "Computing", IF(B96="Tablet", "Mobile", IF(B96="Smartwatch", "Wearables", IF(B96="Headphones", "Audio", "Photography")))))</f>
        <v>Computing</v>
      </c>
      <c r="D96" s="1">
        <v>44136</v>
      </c>
      <c r="E96" s="13" t="str">
        <f>IF(OR(MONTH(D96)=9, MONTH(D96)=10, MONTH(D96)=11), "Spring",
 IF(OR(MONTH(D96)=12, MONTH(D96)=1, MONTH(D96)=2), "Summer",
 IF(OR(MONTH(D96)=3, MONTH(D96)=4, MONTH(D96)=5), "Autumn",
 IF(OR(MONTH(D96)=6, MONTH(D96)=7, MONTH(D96)=8), "Winter", "Unknown"
))))</f>
        <v>Spring</v>
      </c>
      <c r="F96">
        <v>7</v>
      </c>
      <c r="G96">
        <v>372</v>
      </c>
      <c r="H96" s="7">
        <f>F96+G96</f>
        <v>379</v>
      </c>
      <c r="I96">
        <v>440</v>
      </c>
      <c r="J96" s="7">
        <f t="shared" si="5"/>
        <v>-61</v>
      </c>
      <c r="K96">
        <v>59</v>
      </c>
      <c r="L96" s="75">
        <f>IF(B96="Camera",$T$13, IF(B96="Headphones",$U$13, IF(B96="Laptop",$V$13, IF(B96="Smartphone",$W$13, IF(B96="Smartwatch",$X$13,$Y$13)))))</f>
        <v>445.16255973715647</v>
      </c>
      <c r="M96" s="75">
        <f t="shared" si="6"/>
        <v>386.16255973715647</v>
      </c>
      <c r="N96" s="32">
        <f>I96/((F96+K96)/2)</f>
        <v>13.333333333333334</v>
      </c>
      <c r="O96">
        <v>22</v>
      </c>
      <c r="P96">
        <v>0.83085665113728802</v>
      </c>
      <c r="Q96" s="2">
        <v>18.642116854687298</v>
      </c>
    </row>
    <row r="97" spans="1:17" x14ac:dyDescent="0.2">
      <c r="A97">
        <v>2</v>
      </c>
      <c r="B97" t="s">
        <v>11</v>
      </c>
      <c r="C97" s="7" t="str">
        <f>IF(B97="Smartphone", "Electronics", IF(B97="Laptop", "Computing", IF(B97="Tablet", "Mobile", IF(B97="Smartwatch", "Wearables", IF(B97="Headphones", "Audio", "Photography")))))</f>
        <v>Computing</v>
      </c>
      <c r="D97" s="1">
        <v>44166</v>
      </c>
      <c r="E97" s="13" t="str">
        <f>IF(OR(MONTH(D97)=9, MONTH(D97)=10, MONTH(D97)=11), "Spring",
 IF(OR(MONTH(D97)=12, MONTH(D97)=1, MONTH(D97)=2), "Summer",
 IF(OR(MONTH(D97)=3, MONTH(D97)=4, MONTH(D97)=5), "Autumn",
 IF(OR(MONTH(D97)=6, MONTH(D97)=7, MONTH(D97)=8), "Winter", "Unknown"
))))</f>
        <v>Summer</v>
      </c>
      <c r="F97">
        <v>15</v>
      </c>
      <c r="G97">
        <v>360</v>
      </c>
      <c r="H97" s="7">
        <f>F97+G97</f>
        <v>375</v>
      </c>
      <c r="I97">
        <v>298</v>
      </c>
      <c r="J97" s="7">
        <f t="shared" si="5"/>
        <v>77</v>
      </c>
      <c r="K97">
        <v>62</v>
      </c>
      <c r="L97" s="75">
        <f>IF(B97="Camera",$T$13, IF(B97="Headphones",$U$13, IF(B97="Laptop",$V$13, IF(B97="Smartphone",$W$13, IF(B97="Smartwatch",$X$13,$Y$13)))))</f>
        <v>445.16255973715647</v>
      </c>
      <c r="M97" s="75">
        <f t="shared" si="6"/>
        <v>383.16255973715647</v>
      </c>
      <c r="N97" s="32">
        <f>I97/((F97+K97)/2)</f>
        <v>7.7402597402597406</v>
      </c>
      <c r="O97">
        <v>14</v>
      </c>
      <c r="P97">
        <v>0.89068184650615001</v>
      </c>
      <c r="Q97" s="2">
        <v>68.242828477636195</v>
      </c>
    </row>
    <row r="98" spans="1:17" x14ac:dyDescent="0.2">
      <c r="A98">
        <v>2</v>
      </c>
      <c r="B98" t="s">
        <v>11</v>
      </c>
      <c r="C98" s="7" t="str">
        <f>IF(B98="Smartphone", "Electronics", IF(B98="Laptop", "Computing", IF(B98="Tablet", "Mobile", IF(B98="Smartwatch", "Wearables", IF(B98="Headphones", "Audio", "Photography")))))</f>
        <v>Computing</v>
      </c>
      <c r="D98" s="1">
        <v>44197</v>
      </c>
      <c r="E98" s="13" t="str">
        <f>IF(OR(MONTH(D98)=9, MONTH(D98)=10, MONTH(D98)=11), "Spring",
 IF(OR(MONTH(D98)=12, MONTH(D98)=1, MONTH(D98)=2), "Summer",
 IF(OR(MONTH(D98)=3, MONTH(D98)=4, MONTH(D98)=5), "Autumn",
 IF(OR(MONTH(D98)=6, MONTH(D98)=7, MONTH(D98)=8), "Winter", "Unknown"
))))</f>
        <v>Summer</v>
      </c>
      <c r="F98">
        <v>118</v>
      </c>
      <c r="G98">
        <v>391</v>
      </c>
      <c r="H98" s="7">
        <f>F98+G98</f>
        <v>509</v>
      </c>
      <c r="I98">
        <v>318</v>
      </c>
      <c r="J98" s="7">
        <f t="shared" si="5"/>
        <v>191</v>
      </c>
      <c r="K98">
        <v>168</v>
      </c>
      <c r="L98" s="75">
        <f>IF(B98="Camera",$T$13, IF(B98="Headphones",$U$13, IF(B98="Laptop",$V$13, IF(B98="Smartphone",$W$13, IF(B98="Smartwatch",$X$13,$Y$13)))))</f>
        <v>445.16255973715647</v>
      </c>
      <c r="M98" s="75">
        <f t="shared" si="6"/>
        <v>277.16255973715647</v>
      </c>
      <c r="N98" s="32">
        <f>I98/((F98+K98)/2)</f>
        <v>2.2237762237762237</v>
      </c>
      <c r="O98">
        <v>17</v>
      </c>
      <c r="P98">
        <v>0.84829494052715304</v>
      </c>
      <c r="Q98" s="2">
        <v>121.039390529896</v>
      </c>
    </row>
    <row r="99" spans="1:17" x14ac:dyDescent="0.2">
      <c r="A99">
        <v>2</v>
      </c>
      <c r="B99" t="s">
        <v>11</v>
      </c>
      <c r="C99" s="7" t="str">
        <f>IF(B99="Smartphone", "Electronics", IF(B99="Laptop", "Computing", IF(B99="Tablet", "Mobile", IF(B99="Smartwatch", "Wearables", IF(B99="Headphones", "Audio", "Photography")))))</f>
        <v>Computing</v>
      </c>
      <c r="D99" s="1">
        <v>44228</v>
      </c>
      <c r="E99" s="13" t="str">
        <f>IF(OR(MONTH(D99)=9, MONTH(D99)=10, MONTH(D99)=11), "Spring",
 IF(OR(MONTH(D99)=12, MONTH(D99)=1, MONTH(D99)=2), "Summer",
 IF(OR(MONTH(D99)=3, MONTH(D99)=4, MONTH(D99)=5), "Autumn",
 IF(OR(MONTH(D99)=6, MONTH(D99)=7, MONTH(D99)=8), "Winter", "Unknown"
))))</f>
        <v>Summer</v>
      </c>
      <c r="F99">
        <v>80</v>
      </c>
      <c r="G99">
        <v>98</v>
      </c>
      <c r="H99" s="7">
        <f>F99+G99</f>
        <v>178</v>
      </c>
      <c r="I99">
        <v>63</v>
      </c>
      <c r="J99" s="7">
        <f t="shared" si="5"/>
        <v>115</v>
      </c>
      <c r="K99">
        <v>47</v>
      </c>
      <c r="L99" s="75">
        <f>IF(B99="Camera",$T$13, IF(B99="Headphones",$U$13, IF(B99="Laptop",$V$13, IF(B99="Smartphone",$W$13, IF(B99="Smartwatch",$X$13,$Y$13)))))</f>
        <v>445.16255973715647</v>
      </c>
      <c r="M99" s="75">
        <f t="shared" si="6"/>
        <v>398.16255973715647</v>
      </c>
      <c r="N99" s="32">
        <f>I99/((F99+K99)/2)</f>
        <v>0.99212598425196852</v>
      </c>
      <c r="O99">
        <v>3</v>
      </c>
      <c r="P99">
        <v>0.94061198904696097</v>
      </c>
      <c r="Q99" s="2">
        <v>141.38193603373</v>
      </c>
    </row>
    <row r="100" spans="1:17" x14ac:dyDescent="0.2">
      <c r="A100">
        <v>2</v>
      </c>
      <c r="B100" t="s">
        <v>11</v>
      </c>
      <c r="C100" s="7" t="str">
        <f>IF(B100="Smartphone", "Electronics", IF(B100="Laptop", "Computing", IF(B100="Tablet", "Mobile", IF(B100="Smartwatch", "Wearables", IF(B100="Headphones", "Audio", "Photography")))))</f>
        <v>Computing</v>
      </c>
      <c r="D100" s="1">
        <v>44256</v>
      </c>
      <c r="E100" s="13" t="str">
        <f>IF(OR(MONTH(D100)=9, MONTH(D100)=10, MONTH(D100)=11), "Spring",
 IF(OR(MONTH(D100)=12, MONTH(D100)=1, MONTH(D100)=2), "Summer",
 IF(OR(MONTH(D100)=3, MONTH(D100)=4, MONTH(D100)=5), "Autumn",
 IF(OR(MONTH(D100)=6, MONTH(D100)=7, MONTH(D100)=8), "Winter", "Unknown"
))))</f>
        <v>Autumn</v>
      </c>
      <c r="F100">
        <v>3</v>
      </c>
      <c r="G100">
        <v>207</v>
      </c>
      <c r="H100" s="7">
        <f>F100+G100</f>
        <v>210</v>
      </c>
      <c r="I100">
        <v>156</v>
      </c>
      <c r="J100" s="7">
        <f t="shared" si="5"/>
        <v>54</v>
      </c>
      <c r="K100">
        <v>51</v>
      </c>
      <c r="L100" s="75">
        <f>IF(B100="Camera",$T$13, IF(B100="Headphones",$U$13, IF(B100="Laptop",$V$13, IF(B100="Smartphone",$W$13, IF(B100="Smartwatch",$X$13,$Y$13)))))</f>
        <v>445.16255973715647</v>
      </c>
      <c r="M100" s="75">
        <f t="shared" si="6"/>
        <v>394.16255973715647</v>
      </c>
      <c r="N100" s="32">
        <f>I100/((F100+K100)/2)</f>
        <v>5.7777777777777777</v>
      </c>
      <c r="O100">
        <v>20</v>
      </c>
      <c r="P100">
        <v>0.91045346150589301</v>
      </c>
      <c r="Q100" s="2">
        <v>46.3109528624218</v>
      </c>
    </row>
    <row r="101" spans="1:17" x14ac:dyDescent="0.2">
      <c r="A101">
        <v>2</v>
      </c>
      <c r="B101" t="s">
        <v>11</v>
      </c>
      <c r="C101" s="7" t="str">
        <f>IF(B101="Smartphone", "Electronics", IF(B101="Laptop", "Computing", IF(B101="Tablet", "Mobile", IF(B101="Smartwatch", "Wearables", IF(B101="Headphones", "Audio", "Photography")))))</f>
        <v>Computing</v>
      </c>
      <c r="D101" s="1">
        <v>44287</v>
      </c>
      <c r="E101" s="13" t="str">
        <f>IF(OR(MONTH(D101)=9, MONTH(D101)=10, MONTH(D101)=11), "Spring",
 IF(OR(MONTH(D101)=12, MONTH(D101)=1, MONTH(D101)=2), "Summer",
 IF(OR(MONTH(D101)=3, MONTH(D101)=4, MONTH(D101)=5), "Autumn",
 IF(OR(MONTH(D101)=6, MONTH(D101)=7, MONTH(D101)=8), "Winter", "Unknown"
))))</f>
        <v>Autumn</v>
      </c>
      <c r="F101">
        <v>59</v>
      </c>
      <c r="G101">
        <v>56</v>
      </c>
      <c r="H101" s="7">
        <f>F101+G101</f>
        <v>115</v>
      </c>
      <c r="I101">
        <v>14</v>
      </c>
      <c r="J101" s="7">
        <f t="shared" si="5"/>
        <v>101</v>
      </c>
      <c r="K101">
        <v>42</v>
      </c>
      <c r="L101" s="75">
        <f>IF(B101="Camera",$T$13, IF(B101="Headphones",$U$13, IF(B101="Laptop",$V$13, IF(B101="Smartphone",$W$13, IF(B101="Smartwatch",$X$13,$Y$13)))))</f>
        <v>445.16255973715647</v>
      </c>
      <c r="M101" s="75">
        <f t="shared" si="6"/>
        <v>403.16255973715647</v>
      </c>
      <c r="N101" s="32">
        <f>I101/((F101+K101)/2)</f>
        <v>0.27722772277227725</v>
      </c>
      <c r="O101">
        <v>19</v>
      </c>
      <c r="P101">
        <v>0.90747987390367701</v>
      </c>
      <c r="Q101" s="2">
        <v>41.509458509858497</v>
      </c>
    </row>
    <row r="102" spans="1:17" x14ac:dyDescent="0.2">
      <c r="A102">
        <v>2</v>
      </c>
      <c r="B102" t="s">
        <v>11</v>
      </c>
      <c r="C102" s="7" t="str">
        <f>IF(B102="Smartphone", "Electronics", IF(B102="Laptop", "Computing", IF(B102="Tablet", "Mobile", IF(B102="Smartwatch", "Wearables", IF(B102="Headphones", "Audio", "Photography")))))</f>
        <v>Computing</v>
      </c>
      <c r="D102" s="1">
        <v>44317</v>
      </c>
      <c r="E102" s="13" t="str">
        <f>IF(OR(MONTH(D102)=9, MONTH(D102)=10, MONTH(D102)=11), "Spring",
 IF(OR(MONTH(D102)=12, MONTH(D102)=1, MONTH(D102)=2), "Summer",
 IF(OR(MONTH(D102)=3, MONTH(D102)=4, MONTH(D102)=5), "Autumn",
 IF(OR(MONTH(D102)=6, MONTH(D102)=7, MONTH(D102)=8), "Winter", "Unknown"
))))</f>
        <v>Autumn</v>
      </c>
      <c r="F102">
        <v>32</v>
      </c>
      <c r="G102">
        <v>212</v>
      </c>
      <c r="H102" s="7">
        <f>F102+G102</f>
        <v>244</v>
      </c>
      <c r="I102">
        <v>309</v>
      </c>
      <c r="J102" s="7">
        <f t="shared" si="5"/>
        <v>-65</v>
      </c>
      <c r="K102">
        <v>21</v>
      </c>
      <c r="L102" s="75">
        <f>IF(B102="Camera",$T$13, IF(B102="Headphones",$U$13, IF(B102="Laptop",$V$13, IF(B102="Smartphone",$W$13, IF(B102="Smartwatch",$X$13,$Y$13)))))</f>
        <v>445.16255973715647</v>
      </c>
      <c r="M102" s="75">
        <f t="shared" si="6"/>
        <v>424.16255973715647</v>
      </c>
      <c r="N102" s="32">
        <f>I102/((F102+K102)/2)</f>
        <v>11.660377358490566</v>
      </c>
      <c r="O102">
        <v>19</v>
      </c>
      <c r="P102">
        <v>0.93206251966641895</v>
      </c>
      <c r="Q102" s="2">
        <v>88.369807386620806</v>
      </c>
    </row>
    <row r="103" spans="1:17" x14ac:dyDescent="0.2">
      <c r="A103">
        <v>2</v>
      </c>
      <c r="B103" t="s">
        <v>11</v>
      </c>
      <c r="C103" s="7" t="str">
        <f>IF(B103="Smartphone", "Electronics", IF(B103="Laptop", "Computing", IF(B103="Tablet", "Mobile", IF(B103="Smartwatch", "Wearables", IF(B103="Headphones", "Audio", "Photography")))))</f>
        <v>Computing</v>
      </c>
      <c r="D103" s="1">
        <v>44348</v>
      </c>
      <c r="E103" s="13" t="str">
        <f>IF(OR(MONTH(D103)=9, MONTH(D103)=10, MONTH(D103)=11), "Spring",
 IF(OR(MONTH(D103)=12, MONTH(D103)=1, MONTH(D103)=2), "Summer",
 IF(OR(MONTH(D103)=3, MONTH(D103)=4, MONTH(D103)=5), "Autumn",
 IF(OR(MONTH(D103)=6, MONTH(D103)=7, MONTH(D103)=8), "Winter", "Unknown"
))))</f>
        <v>Winter</v>
      </c>
      <c r="F103">
        <v>64</v>
      </c>
      <c r="G103">
        <v>325</v>
      </c>
      <c r="H103" s="7">
        <f>F103+G103</f>
        <v>389</v>
      </c>
      <c r="I103">
        <v>209</v>
      </c>
      <c r="J103" s="7">
        <f t="shared" si="5"/>
        <v>180</v>
      </c>
      <c r="K103">
        <v>116</v>
      </c>
      <c r="L103" s="75">
        <f>IF(B103="Camera",$T$13, IF(B103="Headphones",$U$13, IF(B103="Laptop",$V$13, IF(B103="Smartphone",$W$13, IF(B103="Smartwatch",$X$13,$Y$13)))))</f>
        <v>445.16255973715647</v>
      </c>
      <c r="M103" s="75">
        <f t="shared" si="6"/>
        <v>329.16255973715647</v>
      </c>
      <c r="N103" s="32">
        <f>I103/((F103+K103)/2)</f>
        <v>2.3222222222222224</v>
      </c>
      <c r="O103">
        <v>6</v>
      </c>
      <c r="P103">
        <v>0.87225641436146195</v>
      </c>
      <c r="Q103" s="2">
        <v>297.027193901749</v>
      </c>
    </row>
    <row r="104" spans="1:17" x14ac:dyDescent="0.2">
      <c r="A104">
        <v>2</v>
      </c>
      <c r="B104" t="s">
        <v>11</v>
      </c>
      <c r="C104" s="7" t="str">
        <f>IF(B104="Smartphone", "Electronics", IF(B104="Laptop", "Computing", IF(B104="Tablet", "Mobile", IF(B104="Smartwatch", "Wearables", IF(B104="Headphones", "Audio", "Photography")))))</f>
        <v>Computing</v>
      </c>
      <c r="D104" s="1">
        <v>44378</v>
      </c>
      <c r="E104" s="13" t="str">
        <f>IF(OR(MONTH(D104)=9, MONTH(D104)=10, MONTH(D104)=11), "Spring",
 IF(OR(MONTH(D104)=12, MONTH(D104)=1, MONTH(D104)=2), "Summer",
 IF(OR(MONTH(D104)=3, MONTH(D104)=4, MONTH(D104)=5), "Autumn",
 IF(OR(MONTH(D104)=6, MONTH(D104)=7, MONTH(D104)=8), "Winter", "Unknown"
))))</f>
        <v>Winter</v>
      </c>
      <c r="F104">
        <v>62</v>
      </c>
      <c r="G104">
        <v>302</v>
      </c>
      <c r="H104" s="7">
        <f>F104+G104</f>
        <v>364</v>
      </c>
      <c r="I104">
        <v>251</v>
      </c>
      <c r="J104" s="7">
        <f t="shared" si="5"/>
        <v>113</v>
      </c>
      <c r="K104">
        <v>51</v>
      </c>
      <c r="L104" s="75">
        <f>IF(B104="Camera",$T$13, IF(B104="Headphones",$U$13, IF(B104="Laptop",$V$13, IF(B104="Smartphone",$W$13, IF(B104="Smartwatch",$X$13,$Y$13)))))</f>
        <v>445.16255973715647</v>
      </c>
      <c r="M104" s="75">
        <f t="shared" si="6"/>
        <v>394.16255973715647</v>
      </c>
      <c r="N104" s="32">
        <f>I104/((F104+K104)/2)</f>
        <v>4.4424778761061949</v>
      </c>
      <c r="O104">
        <v>4</v>
      </c>
      <c r="P104">
        <v>0.85848724054813996</v>
      </c>
      <c r="Q104" s="2">
        <v>68.652666110072204</v>
      </c>
    </row>
    <row r="105" spans="1:17" x14ac:dyDescent="0.2">
      <c r="A105">
        <v>2</v>
      </c>
      <c r="B105" t="s">
        <v>11</v>
      </c>
      <c r="C105" s="7" t="str">
        <f>IF(B105="Smartphone", "Electronics", IF(B105="Laptop", "Computing", IF(B105="Tablet", "Mobile", IF(B105="Smartwatch", "Wearables", IF(B105="Headphones", "Audio", "Photography")))))</f>
        <v>Computing</v>
      </c>
      <c r="D105" s="1">
        <v>44409</v>
      </c>
      <c r="E105" s="13" t="str">
        <f>IF(OR(MONTH(D105)=9, MONTH(D105)=10, MONTH(D105)=11), "Spring",
 IF(OR(MONTH(D105)=12, MONTH(D105)=1, MONTH(D105)=2), "Summer",
 IF(OR(MONTH(D105)=3, MONTH(D105)=4, MONTH(D105)=5), "Autumn",
 IF(OR(MONTH(D105)=6, MONTH(D105)=7, MONTH(D105)=8), "Winter", "Unknown"
))))</f>
        <v>Winter</v>
      </c>
      <c r="F105">
        <v>60</v>
      </c>
      <c r="G105">
        <v>370</v>
      </c>
      <c r="H105" s="7">
        <f>F105+G105</f>
        <v>430</v>
      </c>
      <c r="I105">
        <v>404</v>
      </c>
      <c r="J105" s="7">
        <f t="shared" si="5"/>
        <v>26</v>
      </c>
      <c r="K105">
        <v>80</v>
      </c>
      <c r="L105" s="75">
        <f>IF(B105="Camera",$T$13, IF(B105="Headphones",$U$13, IF(B105="Laptop",$V$13, IF(B105="Smartphone",$W$13, IF(B105="Smartwatch",$X$13,$Y$13)))))</f>
        <v>445.16255973715647</v>
      </c>
      <c r="M105" s="75">
        <f t="shared" si="6"/>
        <v>365.16255973715647</v>
      </c>
      <c r="N105" s="32">
        <f>I105/((F105+K105)/2)</f>
        <v>5.7714285714285714</v>
      </c>
      <c r="O105">
        <v>20</v>
      </c>
      <c r="P105">
        <v>0.89849141666854304</v>
      </c>
      <c r="Q105" s="2">
        <v>33.324794759041701</v>
      </c>
    </row>
    <row r="106" spans="1:17" x14ac:dyDescent="0.2">
      <c r="A106">
        <v>2</v>
      </c>
      <c r="B106" t="s">
        <v>11</v>
      </c>
      <c r="C106" s="7" t="str">
        <f>IF(B106="Smartphone", "Electronics", IF(B106="Laptop", "Computing", IF(B106="Tablet", "Mobile", IF(B106="Smartwatch", "Wearables", IF(B106="Headphones", "Audio", "Photography")))))</f>
        <v>Computing</v>
      </c>
      <c r="D106" s="1">
        <v>44440</v>
      </c>
      <c r="E106" s="13" t="str">
        <f>IF(OR(MONTH(D106)=9, MONTH(D106)=10, MONTH(D106)=11), "Spring",
 IF(OR(MONTH(D106)=12, MONTH(D106)=1, MONTH(D106)=2), "Summer",
 IF(OR(MONTH(D106)=3, MONTH(D106)=4, MONTH(D106)=5), "Autumn",
 IF(OR(MONTH(D106)=6, MONTH(D106)=7, MONTH(D106)=8), "Winter", "Unknown"
))))</f>
        <v>Spring</v>
      </c>
      <c r="F106">
        <v>24</v>
      </c>
      <c r="G106">
        <v>485</v>
      </c>
      <c r="H106" s="7">
        <f>F106+G106</f>
        <v>509</v>
      </c>
      <c r="I106">
        <v>640</v>
      </c>
      <c r="J106" s="7">
        <f t="shared" si="5"/>
        <v>-131</v>
      </c>
      <c r="K106">
        <v>4</v>
      </c>
      <c r="L106" s="75">
        <f>IF(B106="Camera",$T$13, IF(B106="Headphones",$U$13, IF(B106="Laptop",$V$13, IF(B106="Smartphone",$W$13, IF(B106="Smartwatch",$X$13,$Y$13)))))</f>
        <v>445.16255973715647</v>
      </c>
      <c r="M106" s="75">
        <f t="shared" si="6"/>
        <v>441.16255973715647</v>
      </c>
      <c r="N106" s="32">
        <f>I106/((F106+K106)/2)</f>
        <v>45.714285714285715</v>
      </c>
      <c r="O106">
        <v>11</v>
      </c>
      <c r="P106">
        <v>0.91637098858254895</v>
      </c>
      <c r="Q106" s="2">
        <v>24.202351363579201</v>
      </c>
    </row>
    <row r="107" spans="1:17" x14ac:dyDescent="0.2">
      <c r="A107">
        <v>2</v>
      </c>
      <c r="B107" t="s">
        <v>11</v>
      </c>
      <c r="C107" s="7" t="str">
        <f>IF(B107="Smartphone", "Electronics", IF(B107="Laptop", "Computing", IF(B107="Tablet", "Mobile", IF(B107="Smartwatch", "Wearables", IF(B107="Headphones", "Audio", "Photography")))))</f>
        <v>Computing</v>
      </c>
      <c r="D107" s="1">
        <v>44470</v>
      </c>
      <c r="E107" s="13" t="str">
        <f>IF(OR(MONTH(D107)=9, MONTH(D107)=10, MONTH(D107)=11), "Spring",
 IF(OR(MONTH(D107)=12, MONTH(D107)=1, MONTH(D107)=2), "Summer",
 IF(OR(MONTH(D107)=3, MONTH(D107)=4, MONTH(D107)=5), "Autumn",
 IF(OR(MONTH(D107)=6, MONTH(D107)=7, MONTH(D107)=8), "Winter", "Unknown"
))))</f>
        <v>Spring</v>
      </c>
      <c r="F107">
        <v>310</v>
      </c>
      <c r="G107">
        <v>166</v>
      </c>
      <c r="H107" s="7">
        <f>F107+G107</f>
        <v>476</v>
      </c>
      <c r="I107">
        <v>460</v>
      </c>
      <c r="J107" s="7">
        <f t="shared" si="5"/>
        <v>16</v>
      </c>
      <c r="K107">
        <v>92</v>
      </c>
      <c r="L107" s="75">
        <f>IF(B107="Camera",$T$13, IF(B107="Headphones",$U$13, IF(B107="Laptop",$V$13, IF(B107="Smartphone",$W$13, IF(B107="Smartwatch",$X$13,$Y$13)))))</f>
        <v>445.16255973715647</v>
      </c>
      <c r="M107" s="75">
        <f t="shared" si="6"/>
        <v>353.16255973715647</v>
      </c>
      <c r="N107" s="32">
        <f>I107/((F107+K107)/2)</f>
        <v>2.2885572139303481</v>
      </c>
      <c r="O107">
        <v>17</v>
      </c>
      <c r="P107">
        <v>0.93147970681969805</v>
      </c>
      <c r="Q107" s="2">
        <v>44.896162545966398</v>
      </c>
    </row>
    <row r="108" spans="1:17" x14ac:dyDescent="0.2">
      <c r="A108">
        <v>2</v>
      </c>
      <c r="B108" t="s">
        <v>11</v>
      </c>
      <c r="C108" s="7" t="str">
        <f>IF(B108="Smartphone", "Electronics", IF(B108="Laptop", "Computing", IF(B108="Tablet", "Mobile", IF(B108="Smartwatch", "Wearables", IF(B108="Headphones", "Audio", "Photography")))))</f>
        <v>Computing</v>
      </c>
      <c r="D108" s="1">
        <v>44501</v>
      </c>
      <c r="E108" s="13" t="str">
        <f>IF(OR(MONTH(D108)=9, MONTH(D108)=10, MONTH(D108)=11), "Spring",
 IF(OR(MONTH(D108)=12, MONTH(D108)=1, MONTH(D108)=2), "Summer",
 IF(OR(MONTH(D108)=3, MONTH(D108)=4, MONTH(D108)=5), "Autumn",
 IF(OR(MONTH(D108)=6, MONTH(D108)=7, MONTH(D108)=8), "Winter", "Unknown"
))))</f>
        <v>Spring</v>
      </c>
      <c r="F108">
        <v>59</v>
      </c>
      <c r="G108">
        <v>222</v>
      </c>
      <c r="H108" s="7">
        <f>F108+G108</f>
        <v>281</v>
      </c>
      <c r="I108">
        <v>166</v>
      </c>
      <c r="J108" s="7">
        <f t="shared" si="5"/>
        <v>115</v>
      </c>
      <c r="K108">
        <v>73</v>
      </c>
      <c r="L108" s="75">
        <f>IF(B108="Camera",$T$13, IF(B108="Headphones",$U$13, IF(B108="Laptop",$V$13, IF(B108="Smartphone",$W$13, IF(B108="Smartwatch",$X$13,$Y$13)))))</f>
        <v>445.16255973715647</v>
      </c>
      <c r="M108" s="75">
        <f t="shared" si="6"/>
        <v>372.16255973715647</v>
      </c>
      <c r="N108" s="32">
        <f>I108/((F108+K108)/2)</f>
        <v>2.5151515151515151</v>
      </c>
      <c r="O108">
        <v>27</v>
      </c>
      <c r="P108">
        <v>0.87062510925141201</v>
      </c>
      <c r="Q108" s="2">
        <v>16.941834846070499</v>
      </c>
    </row>
    <row r="109" spans="1:17" x14ac:dyDescent="0.2">
      <c r="A109">
        <v>2</v>
      </c>
      <c r="B109" t="s">
        <v>11</v>
      </c>
      <c r="C109" s="7" t="str">
        <f>IF(B109="Smartphone", "Electronics", IF(B109="Laptop", "Computing", IF(B109="Tablet", "Mobile", IF(B109="Smartwatch", "Wearables", IF(B109="Headphones", "Audio", "Photography")))))</f>
        <v>Computing</v>
      </c>
      <c r="D109" s="1">
        <v>44531</v>
      </c>
      <c r="E109" s="13" t="str">
        <f>IF(OR(MONTH(D109)=9, MONTH(D109)=10, MONTH(D109)=11), "Spring",
 IF(OR(MONTH(D109)=12, MONTH(D109)=1, MONTH(D109)=2), "Summer",
 IF(OR(MONTH(D109)=3, MONTH(D109)=4, MONTH(D109)=5), "Autumn",
 IF(OR(MONTH(D109)=6, MONTH(D109)=7, MONTH(D109)=8), "Winter", "Unknown"
))))</f>
        <v>Summer</v>
      </c>
      <c r="F109">
        <v>62</v>
      </c>
      <c r="G109">
        <v>268</v>
      </c>
      <c r="H109" s="7">
        <f>F109+G109</f>
        <v>330</v>
      </c>
      <c r="I109">
        <v>79</v>
      </c>
      <c r="J109" s="7">
        <f t="shared" si="5"/>
        <v>251</v>
      </c>
      <c r="K109">
        <v>62</v>
      </c>
      <c r="L109" s="75">
        <f>IF(B109="Camera",$T$13, IF(B109="Headphones",$U$13, IF(B109="Laptop",$V$13, IF(B109="Smartphone",$W$13, IF(B109="Smartwatch",$X$13,$Y$13)))))</f>
        <v>445.16255973715647</v>
      </c>
      <c r="M109" s="75">
        <f t="shared" si="6"/>
        <v>383.16255973715647</v>
      </c>
      <c r="N109" s="32">
        <f>I109/((F109+K109)/2)</f>
        <v>1.2741935483870968</v>
      </c>
      <c r="O109">
        <v>11</v>
      </c>
      <c r="P109">
        <v>0.88446227641095998</v>
      </c>
      <c r="Q109" s="2">
        <v>62.443330706435802</v>
      </c>
    </row>
    <row r="110" spans="1:17" x14ac:dyDescent="0.2">
      <c r="A110">
        <v>1</v>
      </c>
      <c r="B110" t="s">
        <v>10</v>
      </c>
      <c r="C110" s="7" t="str">
        <f>IF(B110="Smartphone", "Electronics", IF(B110="Laptop", "Computing", IF(B110="Tablet", "Mobile", IF(B110="Smartwatch", "Wearables", IF(B110="Headphones", "Audio", "Photography")))))</f>
        <v>Electronics</v>
      </c>
      <c r="D110" s="1">
        <v>43466</v>
      </c>
      <c r="E110" s="13" t="str">
        <f>IF(OR(MONTH(D110)=9, MONTH(D110)=10, MONTH(D110)=11), "Spring",
 IF(OR(MONTH(D110)=12, MONTH(D110)=1, MONTH(D110)=2), "Summer",
 IF(OR(MONTH(D110)=3, MONTH(D110)=4, MONTH(D110)=5), "Autumn",
 IF(OR(MONTH(D110)=6, MONTH(D110)=7, MONTH(D110)=8), "Winter", "Unknown"
))))</f>
        <v>Summer</v>
      </c>
      <c r="F110">
        <v>75</v>
      </c>
      <c r="G110">
        <v>60</v>
      </c>
      <c r="H110" s="7">
        <f>F110+G110</f>
        <v>135</v>
      </c>
      <c r="I110">
        <v>0</v>
      </c>
      <c r="J110" s="7">
        <f t="shared" si="5"/>
        <v>135</v>
      </c>
      <c r="K110">
        <v>61</v>
      </c>
      <c r="L110" s="75">
        <f>IF(B110="Camera",$T$13, IF(B110="Headphones",$U$13, IF(B110="Laptop",$V$13, IF(B110="Smartphone",$W$13, IF(B110="Smartwatch",$X$13,$Y$13)))))</f>
        <v>358.04485264834722</v>
      </c>
      <c r="M110" s="75">
        <f t="shared" si="6"/>
        <v>297.04485264834722</v>
      </c>
      <c r="N110" s="32">
        <f>I110/((F110+K110)/2)</f>
        <v>0</v>
      </c>
      <c r="O110">
        <v>20</v>
      </c>
      <c r="P110">
        <v>0.8</v>
      </c>
      <c r="Q110" s="2">
        <v>187.58180521852</v>
      </c>
    </row>
    <row r="111" spans="1:17" x14ac:dyDescent="0.2">
      <c r="A111">
        <v>1</v>
      </c>
      <c r="B111" t="s">
        <v>10</v>
      </c>
      <c r="C111" s="7" t="str">
        <f>IF(B111="Smartphone", "Electronics", IF(B111="Laptop", "Computing", IF(B111="Tablet", "Mobile", IF(B111="Smartwatch", "Wearables", IF(B111="Headphones", "Audio", "Photography")))))</f>
        <v>Electronics</v>
      </c>
      <c r="D111" s="1">
        <v>43497</v>
      </c>
      <c r="E111" s="13" t="str">
        <f>IF(OR(MONTH(D111)=9, MONTH(D111)=10, MONTH(D111)=11), "Spring",
 IF(OR(MONTH(D111)=12, MONTH(D111)=1, MONTH(D111)=2), "Summer",
 IF(OR(MONTH(D111)=3, MONTH(D111)=4, MONTH(D111)=5), "Autumn",
 IF(OR(MONTH(D111)=6, MONTH(D111)=7, MONTH(D111)=8), "Winter", "Unknown"
))))</f>
        <v>Summer</v>
      </c>
      <c r="F111">
        <v>21</v>
      </c>
      <c r="G111">
        <v>458</v>
      </c>
      <c r="H111" s="7">
        <f>F111+G111</f>
        <v>479</v>
      </c>
      <c r="I111">
        <v>375</v>
      </c>
      <c r="J111" s="7">
        <f t="shared" si="5"/>
        <v>104</v>
      </c>
      <c r="K111">
        <v>83</v>
      </c>
      <c r="L111" s="75">
        <f>IF(B111="Camera",$T$13, IF(B111="Headphones",$U$13, IF(B111="Laptop",$V$13, IF(B111="Smartphone",$W$13, IF(B111="Smartwatch",$X$13,$Y$13)))))</f>
        <v>358.04485264834722</v>
      </c>
      <c r="M111" s="75">
        <f t="shared" si="6"/>
        <v>275.04485264834722</v>
      </c>
      <c r="N111" s="32">
        <f>I111/((F111+K111)/2)</f>
        <v>7.2115384615384617</v>
      </c>
      <c r="O111">
        <v>24</v>
      </c>
      <c r="P111">
        <v>0.97573184532901802</v>
      </c>
      <c r="Q111" s="2">
        <v>107.22032462713101</v>
      </c>
    </row>
    <row r="112" spans="1:17" x14ac:dyDescent="0.2">
      <c r="A112">
        <v>1</v>
      </c>
      <c r="B112" t="s">
        <v>10</v>
      </c>
      <c r="C112" s="7" t="str">
        <f>IF(B112="Smartphone", "Electronics", IF(B112="Laptop", "Computing", IF(B112="Tablet", "Mobile", IF(B112="Smartwatch", "Wearables", IF(B112="Headphones", "Audio", "Photography")))))</f>
        <v>Electronics</v>
      </c>
      <c r="D112" s="1">
        <v>43525</v>
      </c>
      <c r="E112" s="13" t="str">
        <f>IF(OR(MONTH(D112)=9, MONTH(D112)=10, MONTH(D112)=11), "Spring",
 IF(OR(MONTH(D112)=12, MONTH(D112)=1, MONTH(D112)=2), "Summer",
 IF(OR(MONTH(D112)=3, MONTH(D112)=4, MONTH(D112)=5), "Autumn",
 IF(OR(MONTH(D112)=6, MONTH(D112)=7, MONTH(D112)=8), "Winter", "Unknown"
))))</f>
        <v>Autumn</v>
      </c>
      <c r="F112">
        <v>30</v>
      </c>
      <c r="G112">
        <v>195</v>
      </c>
      <c r="H112" s="7">
        <f>F112+G112</f>
        <v>225</v>
      </c>
      <c r="I112">
        <v>100</v>
      </c>
      <c r="J112" s="7">
        <f t="shared" si="5"/>
        <v>125</v>
      </c>
      <c r="K112">
        <v>95</v>
      </c>
      <c r="L112" s="75">
        <f>IF(B112="Camera",$T$13, IF(B112="Headphones",$U$13, IF(B112="Laptop",$V$13, IF(B112="Smartphone",$W$13, IF(B112="Smartwatch",$X$13,$Y$13)))))</f>
        <v>358.04485264834722</v>
      </c>
      <c r="M112" s="75">
        <f t="shared" si="6"/>
        <v>263.04485264834722</v>
      </c>
      <c r="N112" s="32">
        <f>I112/((F112+K112)/2)</f>
        <v>1.6</v>
      </c>
      <c r="O112">
        <v>17</v>
      </c>
      <c r="P112">
        <v>0.85809018429952399</v>
      </c>
      <c r="Q112" s="2">
        <v>292.71603630195199</v>
      </c>
    </row>
    <row r="113" spans="1:17" x14ac:dyDescent="0.2">
      <c r="A113">
        <v>1</v>
      </c>
      <c r="B113" t="s">
        <v>10</v>
      </c>
      <c r="C113" s="7" t="str">
        <f>IF(B113="Smartphone", "Electronics", IF(B113="Laptop", "Computing", IF(B113="Tablet", "Mobile", IF(B113="Smartwatch", "Wearables", IF(B113="Headphones", "Audio", "Photography")))))</f>
        <v>Electronics</v>
      </c>
      <c r="D113" s="1">
        <v>43556</v>
      </c>
      <c r="E113" s="13" t="str">
        <f>IF(OR(MONTH(D113)=9, MONTH(D113)=10, MONTH(D113)=11), "Spring",
 IF(OR(MONTH(D113)=12, MONTH(D113)=1, MONTH(D113)=2), "Summer",
 IF(OR(MONTH(D113)=3, MONTH(D113)=4, MONTH(D113)=5), "Autumn",
 IF(OR(MONTH(D113)=6, MONTH(D113)=7, MONTH(D113)=8), "Winter", "Unknown"
))))</f>
        <v>Autumn</v>
      </c>
      <c r="F113">
        <v>80</v>
      </c>
      <c r="G113">
        <v>474</v>
      </c>
      <c r="H113" s="7">
        <f>F113+G113</f>
        <v>554</v>
      </c>
      <c r="I113">
        <v>502</v>
      </c>
      <c r="J113" s="7">
        <f t="shared" si="5"/>
        <v>52</v>
      </c>
      <c r="K113">
        <v>52</v>
      </c>
      <c r="L113" s="75">
        <f>IF(B113="Camera",$T$13, IF(B113="Headphones",$U$13, IF(B113="Laptop",$V$13, IF(B113="Smartphone",$W$13, IF(B113="Smartwatch",$X$13,$Y$13)))))</f>
        <v>358.04485264834722</v>
      </c>
      <c r="M113" s="75">
        <f t="shared" si="6"/>
        <v>306.04485264834722</v>
      </c>
      <c r="N113" s="32">
        <f>I113/((F113+K113)/2)</f>
        <v>7.6060606060606064</v>
      </c>
      <c r="O113">
        <v>13</v>
      </c>
      <c r="P113">
        <v>0.87626131772581395</v>
      </c>
      <c r="Q113" s="2">
        <v>86.635475318175693</v>
      </c>
    </row>
    <row r="114" spans="1:17" x14ac:dyDescent="0.2">
      <c r="A114">
        <v>1</v>
      </c>
      <c r="B114" t="s">
        <v>10</v>
      </c>
      <c r="C114" s="7" t="str">
        <f>IF(B114="Smartphone", "Electronics", IF(B114="Laptop", "Computing", IF(B114="Tablet", "Mobile", IF(B114="Smartwatch", "Wearables", IF(B114="Headphones", "Audio", "Photography")))))</f>
        <v>Electronics</v>
      </c>
      <c r="D114" s="1">
        <v>43586</v>
      </c>
      <c r="E114" s="13" t="str">
        <f>IF(OR(MONTH(D114)=9, MONTH(D114)=10, MONTH(D114)=11), "Spring",
 IF(OR(MONTH(D114)=12, MONTH(D114)=1, MONTH(D114)=2), "Summer",
 IF(OR(MONTH(D114)=3, MONTH(D114)=4, MONTH(D114)=5), "Autumn",
 IF(OR(MONTH(D114)=6, MONTH(D114)=7, MONTH(D114)=8), "Winter", "Unknown"
))))</f>
        <v>Autumn</v>
      </c>
      <c r="F114">
        <v>38</v>
      </c>
      <c r="G114">
        <v>117</v>
      </c>
      <c r="H114" s="7">
        <f>F114+G114</f>
        <v>155</v>
      </c>
      <c r="I114">
        <v>122</v>
      </c>
      <c r="J114" s="7">
        <f t="shared" si="5"/>
        <v>33</v>
      </c>
      <c r="K114">
        <v>2</v>
      </c>
      <c r="L114" s="75">
        <f>IF(B114="Camera",$T$13, IF(B114="Headphones",$U$13, IF(B114="Laptop",$V$13, IF(B114="Smartphone",$W$13, IF(B114="Smartwatch",$X$13,$Y$13)))))</f>
        <v>358.04485264834722</v>
      </c>
      <c r="M114" s="75">
        <f t="shared" si="6"/>
        <v>356.04485264834722</v>
      </c>
      <c r="N114" s="32">
        <f>I114/((F114+K114)/2)</f>
        <v>6.1</v>
      </c>
      <c r="O114">
        <v>7</v>
      </c>
      <c r="P114">
        <v>0.84623677058868296</v>
      </c>
      <c r="Q114" s="2">
        <v>49.432360037966603</v>
      </c>
    </row>
    <row r="115" spans="1:17" x14ac:dyDescent="0.2">
      <c r="A115">
        <v>1</v>
      </c>
      <c r="B115" t="s">
        <v>10</v>
      </c>
      <c r="C115" s="7" t="str">
        <f>IF(B115="Smartphone", "Electronics", IF(B115="Laptop", "Computing", IF(B115="Tablet", "Mobile", IF(B115="Smartwatch", "Wearables", IF(B115="Headphones", "Audio", "Photography")))))</f>
        <v>Electronics</v>
      </c>
      <c r="D115" s="1">
        <v>43617</v>
      </c>
      <c r="E115" s="13" t="str">
        <f>IF(OR(MONTH(D115)=9, MONTH(D115)=10, MONTH(D115)=11), "Spring",
 IF(OR(MONTH(D115)=12, MONTH(D115)=1, MONTH(D115)=2), "Summer",
 IF(OR(MONTH(D115)=3, MONTH(D115)=4, MONTH(D115)=5), "Autumn",
 IF(OR(MONTH(D115)=6, MONTH(D115)=7, MONTH(D115)=8), "Winter", "Unknown"
))))</f>
        <v>Winter</v>
      </c>
      <c r="F115">
        <v>53</v>
      </c>
      <c r="G115">
        <v>158</v>
      </c>
      <c r="H115" s="7">
        <f>F115+G115</f>
        <v>211</v>
      </c>
      <c r="I115">
        <v>156</v>
      </c>
      <c r="J115" s="7">
        <f t="shared" si="5"/>
        <v>55</v>
      </c>
      <c r="K115">
        <v>2</v>
      </c>
      <c r="L115" s="75">
        <f>IF(B115="Camera",$T$13, IF(B115="Headphones",$U$13, IF(B115="Laptop",$V$13, IF(B115="Smartphone",$W$13, IF(B115="Smartwatch",$X$13,$Y$13)))))</f>
        <v>358.04485264834722</v>
      </c>
      <c r="M115" s="75">
        <f t="shared" si="6"/>
        <v>356.04485264834722</v>
      </c>
      <c r="N115" s="32">
        <f>I115/((F115+K115)/2)</f>
        <v>5.6727272727272728</v>
      </c>
      <c r="O115">
        <v>11</v>
      </c>
      <c r="P115">
        <v>0.87833700582562202</v>
      </c>
      <c r="Q115" s="2">
        <v>49.9784792320701</v>
      </c>
    </row>
    <row r="116" spans="1:17" x14ac:dyDescent="0.2">
      <c r="A116">
        <v>1</v>
      </c>
      <c r="B116" t="s">
        <v>10</v>
      </c>
      <c r="C116" s="7" t="str">
        <f>IF(B116="Smartphone", "Electronics", IF(B116="Laptop", "Computing", IF(B116="Tablet", "Mobile", IF(B116="Smartwatch", "Wearables", IF(B116="Headphones", "Audio", "Photography")))))</f>
        <v>Electronics</v>
      </c>
      <c r="D116" s="1">
        <v>43647</v>
      </c>
      <c r="E116" s="13" t="str">
        <f>IF(OR(MONTH(D116)=9, MONTH(D116)=10, MONTH(D116)=11), "Spring",
 IF(OR(MONTH(D116)=12, MONTH(D116)=1, MONTH(D116)=2), "Summer",
 IF(OR(MONTH(D116)=3, MONTH(D116)=4, MONTH(D116)=5), "Autumn",
 IF(OR(MONTH(D116)=6, MONTH(D116)=7, MONTH(D116)=8), "Winter", "Unknown"
))))</f>
        <v>Winter</v>
      </c>
      <c r="F116">
        <v>24</v>
      </c>
      <c r="G116">
        <v>436</v>
      </c>
      <c r="H116" s="7">
        <f>F116+G116</f>
        <v>460</v>
      </c>
      <c r="I116">
        <v>433</v>
      </c>
      <c r="J116" s="7">
        <f t="shared" si="5"/>
        <v>27</v>
      </c>
      <c r="K116">
        <v>3</v>
      </c>
      <c r="L116" s="75">
        <f>IF(B116="Camera",$T$13, IF(B116="Headphones",$U$13, IF(B116="Laptop",$V$13, IF(B116="Smartphone",$W$13, IF(B116="Smartwatch",$X$13,$Y$13)))))</f>
        <v>358.04485264834722</v>
      </c>
      <c r="M116" s="75">
        <f t="shared" si="6"/>
        <v>355.04485264834722</v>
      </c>
      <c r="N116" s="32">
        <f>I116/((F116+K116)/2)</f>
        <v>32.074074074074076</v>
      </c>
      <c r="O116">
        <v>18</v>
      </c>
      <c r="P116">
        <v>0.84426573193700105</v>
      </c>
      <c r="Q116" s="2">
        <v>53.301464507264299</v>
      </c>
    </row>
    <row r="117" spans="1:17" x14ac:dyDescent="0.2">
      <c r="A117">
        <v>1</v>
      </c>
      <c r="B117" t="s">
        <v>10</v>
      </c>
      <c r="C117" s="7" t="str">
        <f>IF(B117="Smartphone", "Electronics", IF(B117="Laptop", "Computing", IF(B117="Tablet", "Mobile", IF(B117="Smartwatch", "Wearables", IF(B117="Headphones", "Audio", "Photography")))))</f>
        <v>Electronics</v>
      </c>
      <c r="D117" s="1">
        <v>43678</v>
      </c>
      <c r="E117" s="13" t="str">
        <f>IF(OR(MONTH(D117)=9, MONTH(D117)=10, MONTH(D117)=11), "Spring",
 IF(OR(MONTH(D117)=12, MONTH(D117)=1, MONTH(D117)=2), "Summer",
 IF(OR(MONTH(D117)=3, MONTH(D117)=4, MONTH(D117)=5), "Autumn",
 IF(OR(MONTH(D117)=6, MONTH(D117)=7, MONTH(D117)=8), "Winter", "Unknown"
))))</f>
        <v>Winter</v>
      </c>
      <c r="F117">
        <v>239</v>
      </c>
      <c r="G117">
        <v>474</v>
      </c>
      <c r="H117" s="7">
        <f>F117+G117</f>
        <v>713</v>
      </c>
      <c r="I117">
        <v>458</v>
      </c>
      <c r="J117" s="7">
        <f t="shared" si="5"/>
        <v>255</v>
      </c>
      <c r="K117">
        <v>16</v>
      </c>
      <c r="L117" s="75">
        <f>IF(B117="Camera",$T$13, IF(B117="Headphones",$U$13, IF(B117="Laptop",$V$13, IF(B117="Smartphone",$W$13, IF(B117="Smartwatch",$X$13,$Y$13)))))</f>
        <v>358.04485264834722</v>
      </c>
      <c r="M117" s="75">
        <f t="shared" si="6"/>
        <v>342.04485264834722</v>
      </c>
      <c r="N117" s="32">
        <f>I117/((F117+K117)/2)</f>
        <v>3.5921568627450982</v>
      </c>
      <c r="O117">
        <v>27</v>
      </c>
      <c r="P117">
        <v>0.87390490929084197</v>
      </c>
      <c r="Q117" s="2">
        <v>13.7404866068554</v>
      </c>
    </row>
    <row r="118" spans="1:17" x14ac:dyDescent="0.2">
      <c r="A118">
        <v>1</v>
      </c>
      <c r="B118" t="s">
        <v>10</v>
      </c>
      <c r="C118" s="7" t="str">
        <f>IF(B118="Smartphone", "Electronics", IF(B118="Laptop", "Computing", IF(B118="Tablet", "Mobile", IF(B118="Smartwatch", "Wearables", IF(B118="Headphones", "Audio", "Photography")))))</f>
        <v>Electronics</v>
      </c>
      <c r="D118" s="1">
        <v>43709</v>
      </c>
      <c r="E118" s="13" t="str">
        <f>IF(OR(MONTH(D118)=9, MONTH(D118)=10, MONTH(D118)=11), "Spring",
 IF(OR(MONTH(D118)=12, MONTH(D118)=1, MONTH(D118)=2), "Summer",
 IF(OR(MONTH(D118)=3, MONTH(D118)=4, MONTH(D118)=5), "Autumn",
 IF(OR(MONTH(D118)=6, MONTH(D118)=7, MONTH(D118)=8), "Winter", "Unknown"
))))</f>
        <v>Spring</v>
      </c>
      <c r="F118">
        <v>22</v>
      </c>
      <c r="G118">
        <v>493</v>
      </c>
      <c r="H118" s="7">
        <f>F118+G118</f>
        <v>515</v>
      </c>
      <c r="I118">
        <v>337</v>
      </c>
      <c r="J118" s="7">
        <f t="shared" si="5"/>
        <v>178</v>
      </c>
      <c r="K118">
        <v>156</v>
      </c>
      <c r="L118" s="75">
        <f>IF(B118="Camera",$T$13, IF(B118="Headphones",$U$13, IF(B118="Laptop",$V$13, IF(B118="Smartphone",$W$13, IF(B118="Smartwatch",$X$13,$Y$13)))))</f>
        <v>358.04485264834722</v>
      </c>
      <c r="M118" s="75">
        <f t="shared" si="6"/>
        <v>202.04485264834722</v>
      </c>
      <c r="N118" s="32">
        <f>I118/((F118+K118)/2)</f>
        <v>3.7865168539325844</v>
      </c>
      <c r="O118">
        <v>12</v>
      </c>
      <c r="P118">
        <v>0.89050987401262804</v>
      </c>
      <c r="Q118" s="2">
        <v>45.398052272973104</v>
      </c>
    </row>
    <row r="119" spans="1:17" x14ac:dyDescent="0.2">
      <c r="A119">
        <v>1</v>
      </c>
      <c r="B119" t="s">
        <v>10</v>
      </c>
      <c r="C119" s="7" t="str">
        <f>IF(B119="Smartphone", "Electronics", IF(B119="Laptop", "Computing", IF(B119="Tablet", "Mobile", IF(B119="Smartwatch", "Wearables", IF(B119="Headphones", "Audio", "Photography")))))</f>
        <v>Electronics</v>
      </c>
      <c r="D119" s="1">
        <v>43739</v>
      </c>
      <c r="E119" s="13" t="str">
        <f>IF(OR(MONTH(D119)=9, MONTH(D119)=10, MONTH(D119)=11), "Spring",
 IF(OR(MONTH(D119)=12, MONTH(D119)=1, MONTH(D119)=2), "Summer",
 IF(OR(MONTH(D119)=3, MONTH(D119)=4, MONTH(D119)=5), "Autumn",
 IF(OR(MONTH(D119)=6, MONTH(D119)=7, MONTH(D119)=8), "Winter", "Unknown"
))))</f>
        <v>Spring</v>
      </c>
      <c r="F119">
        <v>33</v>
      </c>
      <c r="G119">
        <v>313</v>
      </c>
      <c r="H119" s="7">
        <f>F119+G119</f>
        <v>346</v>
      </c>
      <c r="I119">
        <v>237</v>
      </c>
      <c r="J119" s="7">
        <f t="shared" si="5"/>
        <v>109</v>
      </c>
      <c r="K119">
        <v>76</v>
      </c>
      <c r="L119" s="75">
        <f>IF(B119="Camera",$T$13, IF(B119="Headphones",$U$13, IF(B119="Laptop",$V$13, IF(B119="Smartphone",$W$13, IF(B119="Smartwatch",$X$13,$Y$13)))))</f>
        <v>358.04485264834722</v>
      </c>
      <c r="M119" s="75">
        <f t="shared" si="6"/>
        <v>282.04485264834722</v>
      </c>
      <c r="N119" s="32">
        <f>I119/((F119+K119)/2)</f>
        <v>4.3486238532110093</v>
      </c>
      <c r="O119">
        <v>1</v>
      </c>
      <c r="P119">
        <v>0.98322201269741005</v>
      </c>
      <c r="Q119" s="2">
        <v>53.169953297047101</v>
      </c>
    </row>
    <row r="120" spans="1:17" x14ac:dyDescent="0.2">
      <c r="A120">
        <v>1</v>
      </c>
      <c r="B120" t="s">
        <v>10</v>
      </c>
      <c r="C120" s="7" t="str">
        <f>IF(B120="Smartphone", "Electronics", IF(B120="Laptop", "Computing", IF(B120="Tablet", "Mobile", IF(B120="Smartwatch", "Wearables", IF(B120="Headphones", "Audio", "Photography")))))</f>
        <v>Electronics</v>
      </c>
      <c r="D120" s="1">
        <v>43770</v>
      </c>
      <c r="E120" s="13" t="str">
        <f>IF(OR(MONTH(D120)=9, MONTH(D120)=10, MONTH(D120)=11), "Spring",
 IF(OR(MONTH(D120)=12, MONTH(D120)=1, MONTH(D120)=2), "Summer",
 IF(OR(MONTH(D120)=3, MONTH(D120)=4, MONTH(D120)=5), "Autumn",
 IF(OR(MONTH(D120)=6, MONTH(D120)=7, MONTH(D120)=8), "Winter", "Unknown"
))))</f>
        <v>Spring</v>
      </c>
      <c r="F120">
        <v>3</v>
      </c>
      <c r="G120">
        <v>430</v>
      </c>
      <c r="H120" s="7">
        <f>F120+G120</f>
        <v>433</v>
      </c>
      <c r="I120">
        <v>443</v>
      </c>
      <c r="J120" s="7">
        <f t="shared" si="5"/>
        <v>-10</v>
      </c>
      <c r="K120">
        <v>60</v>
      </c>
      <c r="L120" s="75">
        <f>IF(B120="Camera",$T$13, IF(B120="Headphones",$U$13, IF(B120="Laptop",$V$13, IF(B120="Smartphone",$W$13, IF(B120="Smartwatch",$X$13,$Y$13)))))</f>
        <v>358.04485264834722</v>
      </c>
      <c r="M120" s="75">
        <f t="shared" si="6"/>
        <v>298.04485264834722</v>
      </c>
      <c r="N120" s="32">
        <f>I120/((F120+K120)/2)</f>
        <v>14.063492063492063</v>
      </c>
      <c r="O120">
        <v>29</v>
      </c>
      <c r="P120">
        <v>0.881917736115717</v>
      </c>
      <c r="Q120" s="2">
        <v>52.276153385806701</v>
      </c>
    </row>
    <row r="121" spans="1:17" x14ac:dyDescent="0.2">
      <c r="A121">
        <v>1</v>
      </c>
      <c r="B121" t="s">
        <v>10</v>
      </c>
      <c r="C121" s="7" t="str">
        <f>IF(B121="Smartphone", "Electronics", IF(B121="Laptop", "Computing", IF(B121="Tablet", "Mobile", IF(B121="Smartwatch", "Wearables", IF(B121="Headphones", "Audio", "Photography")))))</f>
        <v>Electronics</v>
      </c>
      <c r="D121" s="1">
        <v>43800</v>
      </c>
      <c r="E121" s="13" t="str">
        <f>IF(OR(MONTH(D121)=9, MONTH(D121)=10, MONTH(D121)=11), "Spring",
 IF(OR(MONTH(D121)=12, MONTH(D121)=1, MONTH(D121)=2), "Summer",
 IF(OR(MONTH(D121)=3, MONTH(D121)=4, MONTH(D121)=5), "Autumn",
 IF(OR(MONTH(D121)=6, MONTH(D121)=7, MONTH(D121)=8), "Winter", "Unknown"
))))</f>
        <v>Summer</v>
      </c>
      <c r="F121">
        <v>15</v>
      </c>
      <c r="G121">
        <v>264</v>
      </c>
      <c r="H121" s="7">
        <f>F121+G121</f>
        <v>279</v>
      </c>
      <c r="I121">
        <v>192</v>
      </c>
      <c r="J121" s="7">
        <f t="shared" si="5"/>
        <v>87</v>
      </c>
      <c r="K121">
        <v>72</v>
      </c>
      <c r="L121" s="75">
        <f>IF(B121="Camera",$T$13, IF(B121="Headphones",$U$13, IF(B121="Laptop",$V$13, IF(B121="Smartphone",$W$13, IF(B121="Smartwatch",$X$13,$Y$13)))))</f>
        <v>358.04485264834722</v>
      </c>
      <c r="M121" s="75">
        <f t="shared" si="6"/>
        <v>286.04485264834722</v>
      </c>
      <c r="N121" s="32">
        <f>I121/((F121+K121)/2)</f>
        <v>4.4137931034482758</v>
      </c>
      <c r="O121">
        <v>15</v>
      </c>
      <c r="P121">
        <v>0.80375941610186596</v>
      </c>
      <c r="Q121" s="2">
        <v>40.453491693959698</v>
      </c>
    </row>
    <row r="122" spans="1:17" x14ac:dyDescent="0.2">
      <c r="A122">
        <v>1</v>
      </c>
      <c r="B122" t="s">
        <v>10</v>
      </c>
      <c r="C122" s="7" t="str">
        <f>IF(B122="Smartphone", "Electronics", IF(B122="Laptop", "Computing", IF(B122="Tablet", "Mobile", IF(B122="Smartwatch", "Wearables", IF(B122="Headphones", "Audio", "Photography")))))</f>
        <v>Electronics</v>
      </c>
      <c r="D122" s="1">
        <v>43831</v>
      </c>
      <c r="E122" s="13" t="str">
        <f>IF(OR(MONTH(D122)=9, MONTH(D122)=10, MONTH(D122)=11), "Spring",
 IF(OR(MONTH(D122)=12, MONTH(D122)=1, MONTH(D122)=2), "Summer",
 IF(OR(MONTH(D122)=3, MONTH(D122)=4, MONTH(D122)=5), "Autumn",
 IF(OR(MONTH(D122)=6, MONTH(D122)=7, MONTH(D122)=8), "Winter", "Unknown"
))))</f>
        <v>Summer</v>
      </c>
      <c r="F122">
        <v>60</v>
      </c>
      <c r="G122">
        <v>403</v>
      </c>
      <c r="H122" s="7">
        <f>F122+G122</f>
        <v>463</v>
      </c>
      <c r="I122">
        <v>315</v>
      </c>
      <c r="J122" s="7">
        <f t="shared" si="5"/>
        <v>148</v>
      </c>
      <c r="K122">
        <v>88</v>
      </c>
      <c r="L122" s="75">
        <f>IF(B122="Camera",$T$13, IF(B122="Headphones",$U$13, IF(B122="Laptop",$V$13, IF(B122="Smartphone",$W$13, IF(B122="Smartwatch",$X$13,$Y$13)))))</f>
        <v>358.04485264834722</v>
      </c>
      <c r="M122" s="75">
        <f t="shared" si="6"/>
        <v>270.04485264834722</v>
      </c>
      <c r="N122" s="32">
        <f>I122/((F122+K122)/2)</f>
        <v>4.256756756756757</v>
      </c>
      <c r="O122">
        <v>1</v>
      </c>
      <c r="P122">
        <v>0.93710414849346602</v>
      </c>
      <c r="Q122" s="2">
        <v>73.449654170874396</v>
      </c>
    </row>
    <row r="123" spans="1:17" x14ac:dyDescent="0.2">
      <c r="A123">
        <v>1</v>
      </c>
      <c r="B123" t="s">
        <v>10</v>
      </c>
      <c r="C123" s="7" t="str">
        <f>IF(B123="Smartphone", "Electronics", IF(B123="Laptop", "Computing", IF(B123="Tablet", "Mobile", IF(B123="Smartwatch", "Wearables", IF(B123="Headphones", "Audio", "Photography")))))</f>
        <v>Electronics</v>
      </c>
      <c r="D123" s="1">
        <v>43862</v>
      </c>
      <c r="E123" s="13" t="str">
        <f>IF(OR(MONTH(D123)=9, MONTH(D123)=10, MONTH(D123)=11), "Spring",
 IF(OR(MONTH(D123)=12, MONTH(D123)=1, MONTH(D123)=2), "Summer",
 IF(OR(MONTH(D123)=3, MONTH(D123)=4, MONTH(D123)=5), "Autumn",
 IF(OR(MONTH(D123)=6, MONTH(D123)=7, MONTH(D123)=8), "Winter", "Unknown"
))))</f>
        <v>Summer</v>
      </c>
      <c r="F123">
        <v>83</v>
      </c>
      <c r="G123">
        <v>491</v>
      </c>
      <c r="H123" s="7">
        <f>F123+G123</f>
        <v>574</v>
      </c>
      <c r="I123">
        <v>404</v>
      </c>
      <c r="J123" s="7">
        <f t="shared" si="5"/>
        <v>170</v>
      </c>
      <c r="K123">
        <v>87</v>
      </c>
      <c r="L123" s="75">
        <f>IF(B123="Camera",$T$13, IF(B123="Headphones",$U$13, IF(B123="Laptop",$V$13, IF(B123="Smartphone",$W$13, IF(B123="Smartwatch",$X$13,$Y$13)))))</f>
        <v>358.04485264834722</v>
      </c>
      <c r="M123" s="75">
        <f t="shared" si="6"/>
        <v>271.04485264834722</v>
      </c>
      <c r="N123" s="32">
        <f>I123/((F123+K123)/2)</f>
        <v>4.7529411764705882</v>
      </c>
      <c r="O123">
        <v>8</v>
      </c>
      <c r="P123">
        <v>1</v>
      </c>
      <c r="Q123" s="2">
        <v>8.49615763598357</v>
      </c>
    </row>
    <row r="124" spans="1:17" x14ac:dyDescent="0.2">
      <c r="A124">
        <v>1</v>
      </c>
      <c r="B124" t="s">
        <v>10</v>
      </c>
      <c r="C124" s="7" t="str">
        <f>IF(B124="Smartphone", "Electronics", IF(B124="Laptop", "Computing", IF(B124="Tablet", "Mobile", IF(B124="Smartwatch", "Wearables", IF(B124="Headphones", "Audio", "Photography")))))</f>
        <v>Electronics</v>
      </c>
      <c r="D124" s="1">
        <v>43891</v>
      </c>
      <c r="E124" s="13" t="str">
        <f>IF(OR(MONTH(D124)=9, MONTH(D124)=10, MONTH(D124)=11), "Spring",
 IF(OR(MONTH(D124)=12, MONTH(D124)=1, MONTH(D124)=2), "Summer",
 IF(OR(MONTH(D124)=3, MONTH(D124)=4, MONTH(D124)=5), "Autumn",
 IF(OR(MONTH(D124)=6, MONTH(D124)=7, MONTH(D124)=8), "Winter", "Unknown"
))))</f>
        <v>Autumn</v>
      </c>
      <c r="F124">
        <v>95</v>
      </c>
      <c r="G124">
        <v>257</v>
      </c>
      <c r="H124" s="7">
        <f>F124+G124</f>
        <v>352</v>
      </c>
      <c r="I124">
        <v>446</v>
      </c>
      <c r="J124" s="7">
        <f t="shared" si="5"/>
        <v>-94</v>
      </c>
      <c r="K124">
        <v>44</v>
      </c>
      <c r="L124" s="75">
        <f>IF(B124="Camera",$T$13, IF(B124="Headphones",$U$13, IF(B124="Laptop",$V$13, IF(B124="Smartphone",$W$13, IF(B124="Smartwatch",$X$13,$Y$13)))))</f>
        <v>358.04485264834722</v>
      </c>
      <c r="M124" s="75">
        <f t="shared" si="6"/>
        <v>314.04485264834722</v>
      </c>
      <c r="N124" s="32">
        <f>I124/((F124+K124)/2)</f>
        <v>6.4172661870503598</v>
      </c>
      <c r="O124">
        <v>10</v>
      </c>
      <c r="P124">
        <v>0.83076766896526899</v>
      </c>
      <c r="Q124" s="2">
        <v>45.626086306082797</v>
      </c>
    </row>
    <row r="125" spans="1:17" x14ac:dyDescent="0.2">
      <c r="A125">
        <v>1</v>
      </c>
      <c r="B125" t="s">
        <v>10</v>
      </c>
      <c r="C125" s="7" t="str">
        <f>IF(B125="Smartphone", "Electronics", IF(B125="Laptop", "Computing", IF(B125="Tablet", "Mobile", IF(B125="Smartwatch", "Wearables", IF(B125="Headphones", "Audio", "Photography")))))</f>
        <v>Electronics</v>
      </c>
      <c r="D125" s="1">
        <v>43922</v>
      </c>
      <c r="E125" s="13" t="str">
        <f>IF(OR(MONTH(D125)=9, MONTH(D125)=10, MONTH(D125)=11), "Spring",
 IF(OR(MONTH(D125)=12, MONTH(D125)=1, MONTH(D125)=2), "Summer",
 IF(OR(MONTH(D125)=3, MONTH(D125)=4, MONTH(D125)=5), "Autumn",
 IF(OR(MONTH(D125)=6, MONTH(D125)=7, MONTH(D125)=8), "Winter", "Unknown"
))))</f>
        <v>Autumn</v>
      </c>
      <c r="F125">
        <v>52</v>
      </c>
      <c r="G125">
        <v>449</v>
      </c>
      <c r="H125" s="7">
        <f>F125+G125</f>
        <v>501</v>
      </c>
      <c r="I125">
        <v>264</v>
      </c>
      <c r="J125" s="7">
        <f t="shared" si="5"/>
        <v>237</v>
      </c>
      <c r="K125">
        <v>185</v>
      </c>
      <c r="L125" s="75">
        <f>IF(B125="Camera",$T$13, IF(B125="Headphones",$U$13, IF(B125="Laptop",$V$13, IF(B125="Smartphone",$W$13, IF(B125="Smartwatch",$X$13,$Y$13)))))</f>
        <v>358.04485264834722</v>
      </c>
      <c r="M125" s="75">
        <f t="shared" si="6"/>
        <v>173.04485264834722</v>
      </c>
      <c r="N125" s="32">
        <f>I125/((F125+K125)/2)</f>
        <v>2.2278481012658227</v>
      </c>
      <c r="O125">
        <v>2</v>
      </c>
      <c r="P125">
        <v>0.90395000418055305</v>
      </c>
      <c r="Q125" s="2">
        <v>142.77522615215301</v>
      </c>
    </row>
    <row r="126" spans="1:17" x14ac:dyDescent="0.2">
      <c r="A126">
        <v>1</v>
      </c>
      <c r="B126" t="s">
        <v>10</v>
      </c>
      <c r="C126" s="7" t="str">
        <f>IF(B126="Smartphone", "Electronics", IF(B126="Laptop", "Computing", IF(B126="Tablet", "Mobile", IF(B126="Smartwatch", "Wearables", IF(B126="Headphones", "Audio", "Photography")))))</f>
        <v>Electronics</v>
      </c>
      <c r="D126" s="1">
        <v>43952</v>
      </c>
      <c r="E126" s="13" t="str">
        <f>IF(OR(MONTH(D126)=9, MONTH(D126)=10, MONTH(D126)=11), "Spring",
 IF(OR(MONTH(D126)=12, MONTH(D126)=1, MONTH(D126)=2), "Summer",
 IF(OR(MONTH(D126)=3, MONTH(D126)=4, MONTH(D126)=5), "Autumn",
 IF(OR(MONTH(D126)=6, MONTH(D126)=7, MONTH(D126)=8), "Winter", "Unknown"
))))</f>
        <v>Autumn</v>
      </c>
      <c r="F126">
        <v>2</v>
      </c>
      <c r="G126">
        <v>52</v>
      </c>
      <c r="H126" s="7">
        <f>F126+G126</f>
        <v>54</v>
      </c>
      <c r="I126">
        <v>0</v>
      </c>
      <c r="J126" s="7">
        <f t="shared" si="5"/>
        <v>54</v>
      </c>
      <c r="K126">
        <v>52</v>
      </c>
      <c r="L126" s="75">
        <f>IF(B126="Camera",$T$13, IF(B126="Headphones",$U$13, IF(B126="Laptop",$V$13, IF(B126="Smartphone",$W$13, IF(B126="Smartwatch",$X$13,$Y$13)))))</f>
        <v>358.04485264834722</v>
      </c>
      <c r="M126" s="75">
        <f t="shared" si="6"/>
        <v>306.04485264834722</v>
      </c>
      <c r="N126" s="32">
        <f>I126/((F126+K126)/2)</f>
        <v>0</v>
      </c>
      <c r="O126">
        <v>4</v>
      </c>
      <c r="P126">
        <v>0.91058204887543204</v>
      </c>
      <c r="Q126" s="2">
        <v>71.755905806463005</v>
      </c>
    </row>
    <row r="127" spans="1:17" x14ac:dyDescent="0.2">
      <c r="A127">
        <v>1</v>
      </c>
      <c r="B127" t="s">
        <v>10</v>
      </c>
      <c r="C127" s="7" t="str">
        <f>IF(B127="Smartphone", "Electronics", IF(B127="Laptop", "Computing", IF(B127="Tablet", "Mobile", IF(B127="Smartwatch", "Wearables", IF(B127="Headphones", "Audio", "Photography")))))</f>
        <v>Electronics</v>
      </c>
      <c r="D127" s="1">
        <v>43983</v>
      </c>
      <c r="E127" s="13" t="str">
        <f>IF(OR(MONTH(D127)=9, MONTH(D127)=10, MONTH(D127)=11), "Spring",
 IF(OR(MONTH(D127)=12, MONTH(D127)=1, MONTH(D127)=2), "Summer",
 IF(OR(MONTH(D127)=3, MONTH(D127)=4, MONTH(D127)=5), "Autumn",
 IF(OR(MONTH(D127)=6, MONTH(D127)=7, MONTH(D127)=8), "Winter", "Unknown"
))))</f>
        <v>Winter</v>
      </c>
      <c r="F127">
        <v>2</v>
      </c>
      <c r="G127">
        <v>164</v>
      </c>
      <c r="H127" s="7">
        <f>F127+G127</f>
        <v>166</v>
      </c>
      <c r="I127">
        <v>76</v>
      </c>
      <c r="J127" s="7">
        <f t="shared" si="5"/>
        <v>90</v>
      </c>
      <c r="K127">
        <v>88</v>
      </c>
      <c r="L127" s="75">
        <f>IF(B127="Camera",$T$13, IF(B127="Headphones",$U$13, IF(B127="Laptop",$V$13, IF(B127="Smartphone",$W$13, IF(B127="Smartwatch",$X$13,$Y$13)))))</f>
        <v>358.04485264834722</v>
      </c>
      <c r="M127" s="75">
        <f t="shared" si="6"/>
        <v>270.04485264834722</v>
      </c>
      <c r="N127" s="32">
        <f>I127/((F127+K127)/2)</f>
        <v>1.6888888888888889</v>
      </c>
      <c r="O127">
        <v>12</v>
      </c>
      <c r="P127">
        <v>0.923336273379605</v>
      </c>
      <c r="Q127" s="2">
        <v>59.493305043019099</v>
      </c>
    </row>
    <row r="128" spans="1:17" x14ac:dyDescent="0.2">
      <c r="A128">
        <v>1</v>
      </c>
      <c r="B128" t="s">
        <v>10</v>
      </c>
      <c r="C128" s="7" t="str">
        <f>IF(B128="Smartphone", "Electronics", IF(B128="Laptop", "Computing", IF(B128="Tablet", "Mobile", IF(B128="Smartwatch", "Wearables", IF(B128="Headphones", "Audio", "Photography")))))</f>
        <v>Electronics</v>
      </c>
      <c r="D128" s="1">
        <v>44013</v>
      </c>
      <c r="E128" s="13" t="str">
        <f>IF(OR(MONTH(D128)=9, MONTH(D128)=10, MONTH(D128)=11), "Spring",
 IF(OR(MONTH(D128)=12, MONTH(D128)=1, MONTH(D128)=2), "Summer",
 IF(OR(MONTH(D128)=3, MONTH(D128)=4, MONTH(D128)=5), "Autumn",
 IF(OR(MONTH(D128)=6, MONTH(D128)=7, MONTH(D128)=8), "Winter", "Unknown"
))))</f>
        <v>Winter</v>
      </c>
      <c r="F128">
        <v>3</v>
      </c>
      <c r="G128">
        <v>268</v>
      </c>
      <c r="H128" s="7">
        <f>F128+G128</f>
        <v>271</v>
      </c>
      <c r="I128">
        <v>435</v>
      </c>
      <c r="J128" s="7">
        <f t="shared" si="5"/>
        <v>-164</v>
      </c>
      <c r="K128">
        <v>22</v>
      </c>
      <c r="L128" s="75">
        <f>IF(B128="Camera",$T$13, IF(B128="Headphones",$U$13, IF(B128="Laptop",$V$13, IF(B128="Smartphone",$W$13, IF(B128="Smartwatch",$X$13,$Y$13)))))</f>
        <v>358.04485264834722</v>
      </c>
      <c r="M128" s="75">
        <f t="shared" si="6"/>
        <v>336.04485264834722</v>
      </c>
      <c r="N128" s="32">
        <f>I128/((F128+K128)/2)</f>
        <v>34.799999999999997</v>
      </c>
      <c r="O128">
        <v>21</v>
      </c>
      <c r="P128">
        <v>0.85200860015431701</v>
      </c>
      <c r="Q128" s="2">
        <v>67.090763794273002</v>
      </c>
    </row>
    <row r="129" spans="1:17" x14ac:dyDescent="0.2">
      <c r="A129">
        <v>1</v>
      </c>
      <c r="B129" t="s">
        <v>10</v>
      </c>
      <c r="C129" s="7" t="str">
        <f>IF(B129="Smartphone", "Electronics", IF(B129="Laptop", "Computing", IF(B129="Tablet", "Mobile", IF(B129="Smartwatch", "Wearables", IF(B129="Headphones", "Audio", "Photography")))))</f>
        <v>Electronics</v>
      </c>
      <c r="D129" s="1">
        <v>44044</v>
      </c>
      <c r="E129" s="13" t="str">
        <f>IF(OR(MONTH(D129)=9, MONTH(D129)=10, MONTH(D129)=11), "Spring",
 IF(OR(MONTH(D129)=12, MONTH(D129)=1, MONTH(D129)=2), "Summer",
 IF(OR(MONTH(D129)=3, MONTH(D129)=4, MONTH(D129)=5), "Autumn",
 IF(OR(MONTH(D129)=6, MONTH(D129)=7, MONTH(D129)=8), "Winter", "Unknown"
))))</f>
        <v>Winter</v>
      </c>
      <c r="F129">
        <v>16</v>
      </c>
      <c r="G129">
        <v>455</v>
      </c>
      <c r="H129" s="7">
        <f>F129+G129</f>
        <v>471</v>
      </c>
      <c r="I129">
        <v>525</v>
      </c>
      <c r="J129" s="7">
        <f t="shared" si="5"/>
        <v>-54</v>
      </c>
      <c r="K129">
        <v>93</v>
      </c>
      <c r="L129" s="75">
        <f>IF(B129="Camera",$T$13, IF(B129="Headphones",$U$13, IF(B129="Laptop",$V$13, IF(B129="Smartphone",$W$13, IF(B129="Smartwatch",$X$13,$Y$13)))))</f>
        <v>358.04485264834722</v>
      </c>
      <c r="M129" s="75">
        <f t="shared" si="6"/>
        <v>265.04485264834722</v>
      </c>
      <c r="N129" s="32">
        <f>I129/((F129+K129)/2)</f>
        <v>9.6330275229357802</v>
      </c>
      <c r="O129">
        <v>23</v>
      </c>
      <c r="P129">
        <v>0.86420415746207302</v>
      </c>
      <c r="Q129" s="2">
        <v>36.015415387457402</v>
      </c>
    </row>
    <row r="130" spans="1:17" x14ac:dyDescent="0.2">
      <c r="A130">
        <v>1</v>
      </c>
      <c r="B130" t="s">
        <v>10</v>
      </c>
      <c r="C130" s="7" t="str">
        <f>IF(B130="Smartphone", "Electronics", IF(B130="Laptop", "Computing", IF(B130="Tablet", "Mobile", IF(B130="Smartwatch", "Wearables", IF(B130="Headphones", "Audio", "Photography")))))</f>
        <v>Electronics</v>
      </c>
      <c r="D130" s="1">
        <v>44075</v>
      </c>
      <c r="E130" s="13" t="str">
        <f>IF(OR(MONTH(D130)=9, MONTH(D130)=10, MONTH(D130)=11), "Spring",
 IF(OR(MONTH(D130)=12, MONTH(D130)=1, MONTH(D130)=2), "Summer",
 IF(OR(MONTH(D130)=3, MONTH(D130)=4, MONTH(D130)=5), "Autumn",
 IF(OR(MONTH(D130)=6, MONTH(D130)=7, MONTH(D130)=8), "Winter", "Unknown"
))))</f>
        <v>Spring</v>
      </c>
      <c r="F130">
        <v>156</v>
      </c>
      <c r="G130">
        <v>275</v>
      </c>
      <c r="H130" s="7">
        <f>F130+G130</f>
        <v>431</v>
      </c>
      <c r="I130">
        <v>404</v>
      </c>
      <c r="J130" s="7">
        <f t="shared" si="5"/>
        <v>27</v>
      </c>
      <c r="K130">
        <v>89</v>
      </c>
      <c r="L130" s="75">
        <f>IF(B130="Camera",$T$13, IF(B130="Headphones",$U$13, IF(B130="Laptop",$V$13, IF(B130="Smartphone",$W$13, IF(B130="Smartwatch",$X$13,$Y$13)))))</f>
        <v>358.04485264834722</v>
      </c>
      <c r="M130" s="75">
        <f t="shared" si="6"/>
        <v>269.04485264834722</v>
      </c>
      <c r="N130" s="32">
        <f>I130/((F130+K130)/2)</f>
        <v>3.2979591836734694</v>
      </c>
      <c r="O130">
        <v>4</v>
      </c>
      <c r="P130">
        <v>0.94906570639993904</v>
      </c>
      <c r="Q130" s="2">
        <v>46.117616131499197</v>
      </c>
    </row>
    <row r="131" spans="1:17" x14ac:dyDescent="0.2">
      <c r="A131">
        <v>1</v>
      </c>
      <c r="B131" t="s">
        <v>10</v>
      </c>
      <c r="C131" s="7" t="str">
        <f>IF(B131="Smartphone", "Electronics", IF(B131="Laptop", "Computing", IF(B131="Tablet", "Mobile", IF(B131="Smartwatch", "Wearables", IF(B131="Headphones", "Audio", "Photography")))))</f>
        <v>Electronics</v>
      </c>
      <c r="D131" s="1">
        <v>44105</v>
      </c>
      <c r="E131" s="13" t="str">
        <f>IF(OR(MONTH(D131)=9, MONTH(D131)=10, MONTH(D131)=11), "Spring",
 IF(OR(MONTH(D131)=12, MONTH(D131)=1, MONTH(D131)=2), "Summer",
 IF(OR(MONTH(D131)=3, MONTH(D131)=4, MONTH(D131)=5), "Autumn",
 IF(OR(MONTH(D131)=6, MONTH(D131)=7, MONTH(D131)=8), "Winter", "Unknown"
))))</f>
        <v>Spring</v>
      </c>
      <c r="F131">
        <v>76</v>
      </c>
      <c r="G131">
        <v>115</v>
      </c>
      <c r="H131" s="7">
        <f>F131+G131</f>
        <v>191</v>
      </c>
      <c r="I131">
        <v>57</v>
      </c>
      <c r="J131" s="7">
        <f t="shared" ref="J131:J194" si="7">H131-I131</f>
        <v>134</v>
      </c>
      <c r="K131">
        <v>58</v>
      </c>
      <c r="L131" s="75">
        <f>IF(B131="Camera",$T$13, IF(B131="Headphones",$U$13, IF(B131="Laptop",$V$13, IF(B131="Smartphone",$W$13, IF(B131="Smartwatch",$X$13,$Y$13)))))</f>
        <v>358.04485264834722</v>
      </c>
      <c r="M131" s="75">
        <f t="shared" ref="M131:M194" si="8">L131-K131</f>
        <v>300.04485264834722</v>
      </c>
      <c r="N131" s="32">
        <f>I131/((F131+K131)/2)</f>
        <v>0.85074626865671643</v>
      </c>
      <c r="O131">
        <v>24</v>
      </c>
      <c r="P131">
        <v>0.87653632976226104</v>
      </c>
      <c r="Q131" s="2">
        <v>83.6425321996565</v>
      </c>
    </row>
    <row r="132" spans="1:17" x14ac:dyDescent="0.2">
      <c r="A132">
        <v>1</v>
      </c>
      <c r="B132" t="s">
        <v>10</v>
      </c>
      <c r="C132" s="7" t="str">
        <f>IF(B132="Smartphone", "Electronics", IF(B132="Laptop", "Computing", IF(B132="Tablet", "Mobile", IF(B132="Smartwatch", "Wearables", IF(B132="Headphones", "Audio", "Photography")))))</f>
        <v>Electronics</v>
      </c>
      <c r="D132" s="1">
        <v>44136</v>
      </c>
      <c r="E132" s="13" t="str">
        <f>IF(OR(MONTH(D132)=9, MONTH(D132)=10, MONTH(D132)=11), "Spring",
 IF(OR(MONTH(D132)=12, MONTH(D132)=1, MONTH(D132)=2), "Summer",
 IF(OR(MONTH(D132)=3, MONTH(D132)=4, MONTH(D132)=5), "Autumn",
 IF(OR(MONTH(D132)=6, MONTH(D132)=7, MONTH(D132)=8), "Winter", "Unknown"
))))</f>
        <v>Spring</v>
      </c>
      <c r="F132">
        <v>60</v>
      </c>
      <c r="G132">
        <v>380</v>
      </c>
      <c r="H132" s="7">
        <f>F132+G132</f>
        <v>440</v>
      </c>
      <c r="I132">
        <v>359</v>
      </c>
      <c r="J132" s="7">
        <f t="shared" si="7"/>
        <v>81</v>
      </c>
      <c r="K132">
        <v>21</v>
      </c>
      <c r="L132" s="75">
        <f>IF(B132="Camera",$T$13, IF(B132="Headphones",$U$13, IF(B132="Laptop",$V$13, IF(B132="Smartphone",$W$13, IF(B132="Smartwatch",$X$13,$Y$13)))))</f>
        <v>358.04485264834722</v>
      </c>
      <c r="M132" s="75">
        <f t="shared" si="8"/>
        <v>337.04485264834722</v>
      </c>
      <c r="N132" s="32">
        <f>I132/((F132+K132)/2)</f>
        <v>8.8641975308641978</v>
      </c>
      <c r="O132">
        <v>21</v>
      </c>
      <c r="P132">
        <v>0.87967688893853102</v>
      </c>
      <c r="Q132" s="2">
        <v>10.1358394126928</v>
      </c>
    </row>
    <row r="133" spans="1:17" x14ac:dyDescent="0.2">
      <c r="A133">
        <v>1</v>
      </c>
      <c r="B133" t="s">
        <v>10</v>
      </c>
      <c r="C133" s="7" t="str">
        <f>IF(B133="Smartphone", "Electronics", IF(B133="Laptop", "Computing", IF(B133="Tablet", "Mobile", IF(B133="Smartwatch", "Wearables", IF(B133="Headphones", "Audio", "Photography")))))</f>
        <v>Electronics</v>
      </c>
      <c r="D133" s="1">
        <v>44166</v>
      </c>
      <c r="E133" s="13" t="str">
        <f>IF(OR(MONTH(D133)=9, MONTH(D133)=10, MONTH(D133)=11), "Spring",
 IF(OR(MONTH(D133)=12, MONTH(D133)=1, MONTH(D133)=2), "Summer",
 IF(OR(MONTH(D133)=3, MONTH(D133)=4, MONTH(D133)=5), "Autumn",
 IF(OR(MONTH(D133)=6, MONTH(D133)=7, MONTH(D133)=8), "Winter", "Unknown"
))))</f>
        <v>Summer</v>
      </c>
      <c r="F133">
        <v>72</v>
      </c>
      <c r="G133">
        <v>245</v>
      </c>
      <c r="H133" s="7">
        <f>F133+G133</f>
        <v>317</v>
      </c>
      <c r="I133">
        <v>184</v>
      </c>
      <c r="J133" s="7">
        <f t="shared" si="7"/>
        <v>133</v>
      </c>
      <c r="K133">
        <v>61</v>
      </c>
      <c r="L133" s="75">
        <f>IF(B133="Camera",$T$13, IF(B133="Headphones",$U$13, IF(B133="Laptop",$V$13, IF(B133="Smartphone",$W$13, IF(B133="Smartwatch",$X$13,$Y$13)))))</f>
        <v>358.04485264834722</v>
      </c>
      <c r="M133" s="75">
        <f t="shared" si="8"/>
        <v>297.04485264834722</v>
      </c>
      <c r="N133" s="32">
        <f>I133/((F133+K133)/2)</f>
        <v>2.7669172932330826</v>
      </c>
      <c r="O133">
        <v>6</v>
      </c>
      <c r="P133">
        <v>0.96503686529440003</v>
      </c>
      <c r="Q133" s="2">
        <v>78.022831992084207</v>
      </c>
    </row>
    <row r="134" spans="1:17" x14ac:dyDescent="0.2">
      <c r="A134">
        <v>1</v>
      </c>
      <c r="B134" t="s">
        <v>10</v>
      </c>
      <c r="C134" s="7" t="str">
        <f>IF(B134="Smartphone", "Electronics", IF(B134="Laptop", "Computing", IF(B134="Tablet", "Mobile", IF(B134="Smartwatch", "Wearables", IF(B134="Headphones", "Audio", "Photography")))))</f>
        <v>Electronics</v>
      </c>
      <c r="D134" s="1">
        <v>44197</v>
      </c>
      <c r="E134" s="13" t="str">
        <f>IF(OR(MONTH(D134)=9, MONTH(D134)=10, MONTH(D134)=11), "Spring",
 IF(OR(MONTH(D134)=12, MONTH(D134)=1, MONTH(D134)=2), "Summer",
 IF(OR(MONTH(D134)=3, MONTH(D134)=4, MONTH(D134)=5), "Autumn",
 IF(OR(MONTH(D134)=6, MONTH(D134)=7, MONTH(D134)=8), "Winter", "Unknown"
))))</f>
        <v>Summer</v>
      </c>
      <c r="F134">
        <v>88</v>
      </c>
      <c r="G134">
        <v>192</v>
      </c>
      <c r="H134" s="7">
        <f>F134+G134</f>
        <v>280</v>
      </c>
      <c r="I134">
        <v>168</v>
      </c>
      <c r="J134" s="7">
        <f t="shared" si="7"/>
        <v>112</v>
      </c>
      <c r="K134">
        <v>24</v>
      </c>
      <c r="L134" s="75">
        <f>IF(B134="Camera",$T$13, IF(B134="Headphones",$U$13, IF(B134="Laptop",$V$13, IF(B134="Smartphone",$W$13, IF(B134="Smartwatch",$X$13,$Y$13)))))</f>
        <v>358.04485264834722</v>
      </c>
      <c r="M134" s="75">
        <f t="shared" si="8"/>
        <v>334.04485264834722</v>
      </c>
      <c r="N134" s="32">
        <f>I134/((F134+K134)/2)</f>
        <v>3</v>
      </c>
      <c r="O134">
        <v>20</v>
      </c>
      <c r="P134">
        <v>0.86165066949321301</v>
      </c>
      <c r="Q134" s="2">
        <v>67.532850004412893</v>
      </c>
    </row>
    <row r="135" spans="1:17" x14ac:dyDescent="0.2">
      <c r="A135">
        <v>1</v>
      </c>
      <c r="B135" t="s">
        <v>10</v>
      </c>
      <c r="C135" s="7" t="str">
        <f>IF(B135="Smartphone", "Electronics", IF(B135="Laptop", "Computing", IF(B135="Tablet", "Mobile", IF(B135="Smartwatch", "Wearables", IF(B135="Headphones", "Audio", "Photography")))))</f>
        <v>Electronics</v>
      </c>
      <c r="D135" s="1">
        <v>44228</v>
      </c>
      <c r="E135" s="13" t="str">
        <f>IF(OR(MONTH(D135)=9, MONTH(D135)=10, MONTH(D135)=11), "Spring",
 IF(OR(MONTH(D135)=12, MONTH(D135)=1, MONTH(D135)=2), "Summer",
 IF(OR(MONTH(D135)=3, MONTH(D135)=4, MONTH(D135)=5), "Autumn",
 IF(OR(MONTH(D135)=6, MONTH(D135)=7, MONTH(D135)=8), "Winter", "Unknown"
))))</f>
        <v>Summer</v>
      </c>
      <c r="F135">
        <v>87</v>
      </c>
      <c r="G135">
        <v>288</v>
      </c>
      <c r="H135" s="7">
        <f>F135+G135</f>
        <v>375</v>
      </c>
      <c r="I135">
        <v>213</v>
      </c>
      <c r="J135" s="7">
        <f t="shared" si="7"/>
        <v>162</v>
      </c>
      <c r="K135">
        <v>75</v>
      </c>
      <c r="L135" s="75">
        <f>IF(B135="Camera",$T$13, IF(B135="Headphones",$U$13, IF(B135="Laptop",$V$13, IF(B135="Smartphone",$W$13, IF(B135="Smartwatch",$X$13,$Y$13)))))</f>
        <v>358.04485264834722</v>
      </c>
      <c r="M135" s="75">
        <f t="shared" si="8"/>
        <v>283.04485264834722</v>
      </c>
      <c r="N135" s="32">
        <f>I135/((F135+K135)/2)</f>
        <v>2.6296296296296298</v>
      </c>
      <c r="O135">
        <v>14</v>
      </c>
      <c r="P135">
        <v>0.92781087894987502</v>
      </c>
      <c r="Q135" s="2">
        <v>75.4583143191349</v>
      </c>
    </row>
    <row r="136" spans="1:17" x14ac:dyDescent="0.2">
      <c r="A136">
        <v>1</v>
      </c>
      <c r="B136" t="s">
        <v>10</v>
      </c>
      <c r="C136" s="7" t="str">
        <f>IF(B136="Smartphone", "Electronics", IF(B136="Laptop", "Computing", IF(B136="Tablet", "Mobile", IF(B136="Smartwatch", "Wearables", IF(B136="Headphones", "Audio", "Photography")))))</f>
        <v>Electronics</v>
      </c>
      <c r="D136" s="1">
        <v>44256</v>
      </c>
      <c r="E136" s="13" t="str">
        <f>IF(OR(MONTH(D136)=9, MONTH(D136)=10, MONTH(D136)=11), "Spring",
 IF(OR(MONTH(D136)=12, MONTH(D136)=1, MONTH(D136)=2), "Summer",
 IF(OR(MONTH(D136)=3, MONTH(D136)=4, MONTH(D136)=5), "Autumn",
 IF(OR(MONTH(D136)=6, MONTH(D136)=7, MONTH(D136)=8), "Winter", "Unknown"
))))</f>
        <v>Autumn</v>
      </c>
      <c r="F136">
        <v>44</v>
      </c>
      <c r="G136">
        <v>340</v>
      </c>
      <c r="H136" s="7">
        <f>F136+G136</f>
        <v>384</v>
      </c>
      <c r="I136">
        <v>302</v>
      </c>
      <c r="J136" s="7">
        <f t="shared" si="7"/>
        <v>82</v>
      </c>
      <c r="K136">
        <v>38</v>
      </c>
      <c r="L136" s="75">
        <f>IF(B136="Camera",$T$13, IF(B136="Headphones",$U$13, IF(B136="Laptop",$V$13, IF(B136="Smartphone",$W$13, IF(B136="Smartwatch",$X$13,$Y$13)))))</f>
        <v>358.04485264834722</v>
      </c>
      <c r="M136" s="75">
        <f t="shared" si="8"/>
        <v>320.04485264834722</v>
      </c>
      <c r="N136" s="32">
        <f>I136/((F136+K136)/2)</f>
        <v>7.3658536585365857</v>
      </c>
      <c r="O136">
        <v>23</v>
      </c>
      <c r="P136">
        <v>0.94424966930405496</v>
      </c>
      <c r="Q136" s="2">
        <v>95.132957793332494</v>
      </c>
    </row>
    <row r="137" spans="1:17" x14ac:dyDescent="0.2">
      <c r="A137">
        <v>1</v>
      </c>
      <c r="B137" t="s">
        <v>10</v>
      </c>
      <c r="C137" s="7" t="str">
        <f>IF(B137="Smartphone", "Electronics", IF(B137="Laptop", "Computing", IF(B137="Tablet", "Mobile", IF(B137="Smartwatch", "Wearables", IF(B137="Headphones", "Audio", "Photography")))))</f>
        <v>Electronics</v>
      </c>
      <c r="D137" s="1">
        <v>44287</v>
      </c>
      <c r="E137" s="13" t="str">
        <f>IF(OR(MONTH(D137)=9, MONTH(D137)=10, MONTH(D137)=11), "Spring",
 IF(OR(MONTH(D137)=12, MONTH(D137)=1, MONTH(D137)=2), "Summer",
 IF(OR(MONTH(D137)=3, MONTH(D137)=4, MONTH(D137)=5), "Autumn",
 IF(OR(MONTH(D137)=6, MONTH(D137)=7, MONTH(D137)=8), "Winter", "Unknown"
))))</f>
        <v>Autumn</v>
      </c>
      <c r="F137">
        <v>185</v>
      </c>
      <c r="G137">
        <v>385</v>
      </c>
      <c r="H137" s="7">
        <f>F137+G137</f>
        <v>570</v>
      </c>
      <c r="I137">
        <v>473</v>
      </c>
      <c r="J137" s="7">
        <f t="shared" si="7"/>
        <v>97</v>
      </c>
      <c r="K137">
        <v>239</v>
      </c>
      <c r="L137" s="75">
        <f>IF(B137="Camera",$T$13, IF(B137="Headphones",$U$13, IF(B137="Laptop",$V$13, IF(B137="Smartphone",$W$13, IF(B137="Smartwatch",$X$13,$Y$13)))))</f>
        <v>358.04485264834722</v>
      </c>
      <c r="M137" s="75">
        <f t="shared" si="8"/>
        <v>119.04485264834722</v>
      </c>
      <c r="N137" s="32">
        <f>I137/((F137+K137)/2)</f>
        <v>2.2311320754716979</v>
      </c>
      <c r="O137">
        <v>18</v>
      </c>
      <c r="P137">
        <v>0.89152753812583097</v>
      </c>
      <c r="Q137" s="2">
        <v>16.3765348559605</v>
      </c>
    </row>
    <row r="138" spans="1:17" x14ac:dyDescent="0.2">
      <c r="A138">
        <v>1</v>
      </c>
      <c r="B138" t="s">
        <v>10</v>
      </c>
      <c r="C138" s="7" t="str">
        <f>IF(B138="Smartphone", "Electronics", IF(B138="Laptop", "Computing", IF(B138="Tablet", "Mobile", IF(B138="Smartwatch", "Wearables", IF(B138="Headphones", "Audio", "Photography")))))</f>
        <v>Electronics</v>
      </c>
      <c r="D138" s="1">
        <v>44317</v>
      </c>
      <c r="E138" s="13" t="str">
        <f>IF(OR(MONTH(D138)=9, MONTH(D138)=10, MONTH(D138)=11), "Spring",
 IF(OR(MONTH(D138)=12, MONTH(D138)=1, MONTH(D138)=2), "Summer",
 IF(OR(MONTH(D138)=3, MONTH(D138)=4, MONTH(D138)=5), "Autumn",
 IF(OR(MONTH(D138)=6, MONTH(D138)=7, MONTH(D138)=8), "Winter", "Unknown"
))))</f>
        <v>Autumn</v>
      </c>
      <c r="F138">
        <v>52</v>
      </c>
      <c r="G138">
        <v>454</v>
      </c>
      <c r="H138" s="7">
        <f>F138+G138</f>
        <v>506</v>
      </c>
      <c r="I138">
        <v>451</v>
      </c>
      <c r="J138" s="7">
        <f t="shared" si="7"/>
        <v>55</v>
      </c>
      <c r="K138">
        <v>3</v>
      </c>
      <c r="L138" s="75">
        <f>IF(B138="Camera",$T$13, IF(B138="Headphones",$U$13, IF(B138="Laptop",$V$13, IF(B138="Smartphone",$W$13, IF(B138="Smartwatch",$X$13,$Y$13)))))</f>
        <v>358.04485264834722</v>
      </c>
      <c r="M138" s="75">
        <f t="shared" si="8"/>
        <v>355.04485264834722</v>
      </c>
      <c r="N138" s="32">
        <f>I138/((F138+K138)/2)</f>
        <v>16.399999999999999</v>
      </c>
      <c r="O138">
        <v>14</v>
      </c>
      <c r="P138">
        <v>0.89438230542648101</v>
      </c>
      <c r="Q138" s="2">
        <v>87.155573940035794</v>
      </c>
    </row>
    <row r="139" spans="1:17" x14ac:dyDescent="0.2">
      <c r="A139">
        <v>1</v>
      </c>
      <c r="B139" t="s">
        <v>10</v>
      </c>
      <c r="C139" s="7" t="str">
        <f>IF(B139="Smartphone", "Electronics", IF(B139="Laptop", "Computing", IF(B139="Tablet", "Mobile", IF(B139="Smartwatch", "Wearables", IF(B139="Headphones", "Audio", "Photography")))))</f>
        <v>Electronics</v>
      </c>
      <c r="D139" s="1">
        <v>44348</v>
      </c>
      <c r="E139" s="13" t="str">
        <f>IF(OR(MONTH(D139)=9, MONTH(D139)=10, MONTH(D139)=11), "Spring",
 IF(OR(MONTH(D139)=12, MONTH(D139)=1, MONTH(D139)=2), "Summer",
 IF(OR(MONTH(D139)=3, MONTH(D139)=4, MONTH(D139)=5), "Autumn",
 IF(OR(MONTH(D139)=6, MONTH(D139)=7, MONTH(D139)=8), "Winter", "Unknown"
))))</f>
        <v>Winter</v>
      </c>
      <c r="F139">
        <v>88</v>
      </c>
      <c r="G139">
        <v>255</v>
      </c>
      <c r="H139" s="7">
        <f>F139+G139</f>
        <v>343</v>
      </c>
      <c r="I139">
        <v>225</v>
      </c>
      <c r="J139" s="7">
        <f t="shared" si="7"/>
        <v>118</v>
      </c>
      <c r="K139">
        <v>30</v>
      </c>
      <c r="L139" s="75">
        <f>IF(B139="Camera",$T$13, IF(B139="Headphones",$U$13, IF(B139="Laptop",$V$13, IF(B139="Smartphone",$W$13, IF(B139="Smartwatch",$X$13,$Y$13)))))</f>
        <v>358.04485264834722</v>
      </c>
      <c r="M139" s="75">
        <f t="shared" si="8"/>
        <v>328.04485264834722</v>
      </c>
      <c r="N139" s="32">
        <f>I139/((F139+K139)/2)</f>
        <v>3.8135593220338984</v>
      </c>
      <c r="O139">
        <v>26</v>
      </c>
      <c r="P139">
        <v>0.90391743344812903</v>
      </c>
      <c r="Q139" s="2">
        <v>90.583392352666195</v>
      </c>
    </row>
    <row r="140" spans="1:17" x14ac:dyDescent="0.2">
      <c r="A140">
        <v>1</v>
      </c>
      <c r="B140" t="s">
        <v>10</v>
      </c>
      <c r="C140" s="7" t="str">
        <f>IF(B140="Smartphone", "Electronics", IF(B140="Laptop", "Computing", IF(B140="Tablet", "Mobile", IF(B140="Smartwatch", "Wearables", IF(B140="Headphones", "Audio", "Photography")))))</f>
        <v>Electronics</v>
      </c>
      <c r="D140" s="1">
        <v>44378</v>
      </c>
      <c r="E140" s="13" t="str">
        <f>IF(OR(MONTH(D140)=9, MONTH(D140)=10, MONTH(D140)=11), "Spring",
 IF(OR(MONTH(D140)=12, MONTH(D140)=1, MONTH(D140)=2), "Summer",
 IF(OR(MONTH(D140)=3, MONTH(D140)=4, MONTH(D140)=5), "Autumn",
 IF(OR(MONTH(D140)=6, MONTH(D140)=7, MONTH(D140)=8), "Winter", "Unknown"
))))</f>
        <v>Winter</v>
      </c>
      <c r="F140">
        <v>22</v>
      </c>
      <c r="G140">
        <v>330</v>
      </c>
      <c r="H140" s="7">
        <f>F140+G140</f>
        <v>352</v>
      </c>
      <c r="I140">
        <v>277</v>
      </c>
      <c r="J140" s="7">
        <f t="shared" si="7"/>
        <v>75</v>
      </c>
      <c r="K140">
        <v>53</v>
      </c>
      <c r="L140" s="75">
        <f>IF(B140="Camera",$T$13, IF(B140="Headphones",$U$13, IF(B140="Laptop",$V$13, IF(B140="Smartphone",$W$13, IF(B140="Smartwatch",$X$13,$Y$13)))))</f>
        <v>358.04485264834722</v>
      </c>
      <c r="M140" s="75">
        <f t="shared" si="8"/>
        <v>305.04485264834722</v>
      </c>
      <c r="N140" s="32">
        <f>I140/((F140+K140)/2)</f>
        <v>7.3866666666666667</v>
      </c>
      <c r="O140">
        <v>13</v>
      </c>
      <c r="P140">
        <v>0.87100314820435298</v>
      </c>
      <c r="Q140" s="2">
        <v>53.884403269264602</v>
      </c>
    </row>
    <row r="141" spans="1:17" x14ac:dyDescent="0.2">
      <c r="A141">
        <v>1</v>
      </c>
      <c r="B141" t="s">
        <v>10</v>
      </c>
      <c r="C141" s="7" t="str">
        <f>IF(B141="Smartphone", "Electronics", IF(B141="Laptop", "Computing", IF(B141="Tablet", "Mobile", IF(B141="Smartwatch", "Wearables", IF(B141="Headphones", "Audio", "Photography")))))</f>
        <v>Electronics</v>
      </c>
      <c r="D141" s="1">
        <v>44409</v>
      </c>
      <c r="E141" s="13" t="str">
        <f>IF(OR(MONTH(D141)=9, MONTH(D141)=10, MONTH(D141)=11), "Spring",
 IF(OR(MONTH(D141)=12, MONTH(D141)=1, MONTH(D141)=2), "Summer",
 IF(OR(MONTH(D141)=3, MONTH(D141)=4, MONTH(D141)=5), "Autumn",
 IF(OR(MONTH(D141)=6, MONTH(D141)=7, MONTH(D141)=8), "Winter", "Unknown"
))))</f>
        <v>Winter</v>
      </c>
      <c r="F141">
        <v>93</v>
      </c>
      <c r="G141">
        <v>319</v>
      </c>
      <c r="H141" s="7">
        <f>F141+G141</f>
        <v>412</v>
      </c>
      <c r="I141">
        <v>304</v>
      </c>
      <c r="J141" s="7">
        <f t="shared" si="7"/>
        <v>108</v>
      </c>
      <c r="K141">
        <v>15</v>
      </c>
      <c r="L141" s="75">
        <f>IF(B141="Camera",$T$13, IF(B141="Headphones",$U$13, IF(B141="Laptop",$V$13, IF(B141="Smartphone",$W$13, IF(B141="Smartwatch",$X$13,$Y$13)))))</f>
        <v>358.04485264834722</v>
      </c>
      <c r="M141" s="75">
        <f t="shared" si="8"/>
        <v>343.04485264834722</v>
      </c>
      <c r="N141" s="32">
        <f>I141/((F141+K141)/2)</f>
        <v>5.6296296296296298</v>
      </c>
      <c r="O141">
        <v>18</v>
      </c>
      <c r="P141">
        <v>0.8</v>
      </c>
      <c r="Q141" s="2">
        <v>56.5327900111592</v>
      </c>
    </row>
    <row r="142" spans="1:17" x14ac:dyDescent="0.2">
      <c r="A142">
        <v>1</v>
      </c>
      <c r="B142" t="s">
        <v>10</v>
      </c>
      <c r="C142" s="7" t="str">
        <f>IF(B142="Smartphone", "Electronics", IF(B142="Laptop", "Computing", IF(B142="Tablet", "Mobile", IF(B142="Smartwatch", "Wearables", IF(B142="Headphones", "Audio", "Photography")))))</f>
        <v>Electronics</v>
      </c>
      <c r="D142" s="1">
        <v>44440</v>
      </c>
      <c r="E142" s="13" t="str">
        <f>IF(OR(MONTH(D142)=9, MONTH(D142)=10, MONTH(D142)=11), "Spring",
 IF(OR(MONTH(D142)=12, MONTH(D142)=1, MONTH(D142)=2), "Summer",
 IF(OR(MONTH(D142)=3, MONTH(D142)=4, MONTH(D142)=5), "Autumn",
 IF(OR(MONTH(D142)=6, MONTH(D142)=7, MONTH(D142)=8), "Winter", "Unknown"
))))</f>
        <v>Spring</v>
      </c>
      <c r="F142">
        <v>89</v>
      </c>
      <c r="G142">
        <v>430</v>
      </c>
      <c r="H142" s="7">
        <f>F142+G142</f>
        <v>519</v>
      </c>
      <c r="I142">
        <v>381</v>
      </c>
      <c r="J142" s="7">
        <f t="shared" si="7"/>
        <v>138</v>
      </c>
      <c r="K142">
        <v>49</v>
      </c>
      <c r="L142" s="75">
        <f>IF(B142="Camera",$T$13, IF(B142="Headphones",$U$13, IF(B142="Laptop",$V$13, IF(B142="Smartphone",$W$13, IF(B142="Smartwatch",$X$13,$Y$13)))))</f>
        <v>358.04485264834722</v>
      </c>
      <c r="M142" s="75">
        <f t="shared" si="8"/>
        <v>309.04485264834722</v>
      </c>
      <c r="N142" s="32">
        <f>I142/((F142+K142)/2)</f>
        <v>5.5217391304347823</v>
      </c>
      <c r="O142">
        <v>15</v>
      </c>
      <c r="P142">
        <v>0.88568040632516098</v>
      </c>
      <c r="Q142" s="2">
        <v>93.759052377770203</v>
      </c>
    </row>
    <row r="143" spans="1:17" x14ac:dyDescent="0.2">
      <c r="A143">
        <v>1</v>
      </c>
      <c r="B143" t="s">
        <v>10</v>
      </c>
      <c r="C143" s="7" t="str">
        <f>IF(B143="Smartphone", "Electronics", IF(B143="Laptop", "Computing", IF(B143="Tablet", "Mobile", IF(B143="Smartwatch", "Wearables", IF(B143="Headphones", "Audio", "Photography")))))</f>
        <v>Electronics</v>
      </c>
      <c r="D143" s="1">
        <v>44470</v>
      </c>
      <c r="E143" s="13" t="str">
        <f>IF(OR(MONTH(D143)=9, MONTH(D143)=10, MONTH(D143)=11), "Spring",
 IF(OR(MONTH(D143)=12, MONTH(D143)=1, MONTH(D143)=2), "Summer",
 IF(OR(MONTH(D143)=3, MONTH(D143)=4, MONTH(D143)=5), "Autumn",
 IF(OR(MONTH(D143)=6, MONTH(D143)=7, MONTH(D143)=8), "Winter", "Unknown"
))))</f>
        <v>Spring</v>
      </c>
      <c r="F143">
        <v>58</v>
      </c>
      <c r="G143">
        <v>190</v>
      </c>
      <c r="H143" s="7">
        <f>F143+G143</f>
        <v>248</v>
      </c>
      <c r="I143">
        <v>168</v>
      </c>
      <c r="J143" s="7">
        <f t="shared" si="7"/>
        <v>80</v>
      </c>
      <c r="K143">
        <v>22</v>
      </c>
      <c r="L143" s="75">
        <f>IF(B143="Camera",$T$13, IF(B143="Headphones",$U$13, IF(B143="Laptop",$V$13, IF(B143="Smartphone",$W$13, IF(B143="Smartwatch",$X$13,$Y$13)))))</f>
        <v>358.04485264834722</v>
      </c>
      <c r="M143" s="75">
        <f t="shared" si="8"/>
        <v>336.04485264834722</v>
      </c>
      <c r="N143" s="32">
        <f>I143/((F143+K143)/2)</f>
        <v>4.2</v>
      </c>
      <c r="O143">
        <v>1</v>
      </c>
      <c r="P143">
        <v>0.91962325705632897</v>
      </c>
      <c r="Q143" s="2">
        <v>60.3453059656186</v>
      </c>
    </row>
    <row r="144" spans="1:17" x14ac:dyDescent="0.2">
      <c r="A144">
        <v>1</v>
      </c>
      <c r="B144" t="s">
        <v>10</v>
      </c>
      <c r="C144" s="7" t="str">
        <f>IF(B144="Smartphone", "Electronics", IF(B144="Laptop", "Computing", IF(B144="Tablet", "Mobile", IF(B144="Smartwatch", "Wearables", IF(B144="Headphones", "Audio", "Photography")))))</f>
        <v>Electronics</v>
      </c>
      <c r="D144" s="1">
        <v>44501</v>
      </c>
      <c r="E144" s="13" t="str">
        <f>IF(OR(MONTH(D144)=9, MONTH(D144)=10, MONTH(D144)=11), "Spring",
 IF(OR(MONTH(D144)=12, MONTH(D144)=1, MONTH(D144)=2), "Summer",
 IF(OR(MONTH(D144)=3, MONTH(D144)=4, MONTH(D144)=5), "Autumn",
 IF(OR(MONTH(D144)=6, MONTH(D144)=7, MONTH(D144)=8), "Winter", "Unknown"
))))</f>
        <v>Spring</v>
      </c>
      <c r="F144">
        <v>21</v>
      </c>
      <c r="G144">
        <v>117</v>
      </c>
      <c r="H144" s="7">
        <f>F144+G144</f>
        <v>138</v>
      </c>
      <c r="I144">
        <v>84</v>
      </c>
      <c r="J144" s="7">
        <f t="shared" si="7"/>
        <v>54</v>
      </c>
      <c r="K144">
        <v>33</v>
      </c>
      <c r="L144" s="75">
        <f>IF(B144="Camera",$T$13, IF(B144="Headphones",$U$13, IF(B144="Laptop",$V$13, IF(B144="Smartphone",$W$13, IF(B144="Smartwatch",$X$13,$Y$13)))))</f>
        <v>358.04485264834722</v>
      </c>
      <c r="M144" s="75">
        <f t="shared" si="8"/>
        <v>325.04485264834722</v>
      </c>
      <c r="N144" s="32">
        <f>I144/((F144+K144)/2)</f>
        <v>3.1111111111111112</v>
      </c>
      <c r="O144">
        <v>15</v>
      </c>
      <c r="P144">
        <v>0.91860843407360404</v>
      </c>
      <c r="Q144" s="2">
        <v>86.868711900739399</v>
      </c>
    </row>
    <row r="145" spans="1:17" x14ac:dyDescent="0.2">
      <c r="A145">
        <v>1</v>
      </c>
      <c r="B145" t="s">
        <v>10</v>
      </c>
      <c r="C145" s="7" t="str">
        <f>IF(B145="Smartphone", "Electronics", IF(B145="Laptop", "Computing", IF(B145="Tablet", "Mobile", IF(B145="Smartwatch", "Wearables", IF(B145="Headphones", "Audio", "Photography")))))</f>
        <v>Electronics</v>
      </c>
      <c r="D145" s="1">
        <v>44531</v>
      </c>
      <c r="E145" s="13" t="str">
        <f>IF(OR(MONTH(D145)=9, MONTH(D145)=10, MONTH(D145)=11), "Spring",
 IF(OR(MONTH(D145)=12, MONTH(D145)=1, MONTH(D145)=2), "Summer",
 IF(OR(MONTH(D145)=3, MONTH(D145)=4, MONTH(D145)=5), "Autumn",
 IF(OR(MONTH(D145)=6, MONTH(D145)=7, MONTH(D145)=8), "Winter", "Unknown"
))))</f>
        <v>Summer</v>
      </c>
      <c r="F145">
        <v>61</v>
      </c>
      <c r="G145">
        <v>145</v>
      </c>
      <c r="H145" s="7">
        <f>F145+G145</f>
        <v>206</v>
      </c>
      <c r="I145">
        <v>124</v>
      </c>
      <c r="J145" s="7">
        <f t="shared" si="7"/>
        <v>82</v>
      </c>
      <c r="K145">
        <v>21</v>
      </c>
      <c r="L145" s="75">
        <f>IF(B145="Camera",$T$13, IF(B145="Headphones",$U$13, IF(B145="Laptop",$V$13, IF(B145="Smartphone",$W$13, IF(B145="Smartwatch",$X$13,$Y$13)))))</f>
        <v>358.04485264834722</v>
      </c>
      <c r="M145" s="75">
        <f t="shared" si="8"/>
        <v>337.04485264834722</v>
      </c>
      <c r="N145" s="32">
        <f>I145/((F145+K145)/2)</f>
        <v>3.024390243902439</v>
      </c>
      <c r="O145">
        <v>28</v>
      </c>
      <c r="P145">
        <v>0.90567345183577397</v>
      </c>
      <c r="Q145" s="2">
        <v>42.640129015191597</v>
      </c>
    </row>
    <row r="146" spans="1:17" x14ac:dyDescent="0.2">
      <c r="A146">
        <v>4</v>
      </c>
      <c r="B146" t="s">
        <v>13</v>
      </c>
      <c r="C146" s="7" t="str">
        <f>IF(B146="Smartphone", "Electronics", IF(B146="Laptop", "Computing", IF(B146="Tablet", "Mobile", IF(B146="Smartwatch", "Wearables", IF(B146="Headphones", "Audio", "Photography")))))</f>
        <v>Wearables</v>
      </c>
      <c r="D146" s="1">
        <v>43466</v>
      </c>
      <c r="E146" s="13" t="str">
        <f>IF(OR(MONTH(D146)=9, MONTH(D146)=10, MONTH(D146)=11), "Spring",
 IF(OR(MONTH(D146)=12, MONTH(D146)=1, MONTH(D146)=2), "Summer",
 IF(OR(MONTH(D146)=3, MONTH(D146)=4, MONTH(D146)=5), "Autumn",
 IF(OR(MONTH(D146)=6, MONTH(D146)=7, MONTH(D146)=8), "Winter", "Unknown"
))))</f>
        <v>Summer</v>
      </c>
      <c r="F146">
        <v>87</v>
      </c>
      <c r="G146">
        <v>126</v>
      </c>
      <c r="H146" s="7">
        <f>F146+G146</f>
        <v>213</v>
      </c>
      <c r="I146">
        <v>64</v>
      </c>
      <c r="J146" s="7">
        <f t="shared" si="7"/>
        <v>149</v>
      </c>
      <c r="K146">
        <v>62</v>
      </c>
      <c r="L146" s="75">
        <f>IF(B146="Camera",$T$13, IF(B146="Headphones",$U$13, IF(B146="Laptop",$V$13, IF(B146="Smartphone",$W$13, IF(B146="Smartwatch",$X$13,$Y$13)))))</f>
        <v>363.12350657108726</v>
      </c>
      <c r="M146" s="75">
        <f t="shared" si="8"/>
        <v>301.12350657108726</v>
      </c>
      <c r="N146" s="32">
        <f>I146/((F146+K146)/2)</f>
        <v>0.85906040268456374</v>
      </c>
      <c r="O146">
        <v>19</v>
      </c>
      <c r="P146">
        <v>0.96631710989936104</v>
      </c>
      <c r="Q146" s="2">
        <v>261.07931804674803</v>
      </c>
    </row>
    <row r="147" spans="1:17" x14ac:dyDescent="0.2">
      <c r="A147">
        <v>4</v>
      </c>
      <c r="B147" t="s">
        <v>13</v>
      </c>
      <c r="C147" s="7" t="str">
        <f>IF(B147="Smartphone", "Electronics", IF(B147="Laptop", "Computing", IF(B147="Tablet", "Mobile", IF(B147="Smartwatch", "Wearables", IF(B147="Headphones", "Audio", "Photography")))))</f>
        <v>Wearables</v>
      </c>
      <c r="D147" s="1">
        <v>43497</v>
      </c>
      <c r="E147" s="13" t="str">
        <f>IF(OR(MONTH(D147)=9, MONTH(D147)=10, MONTH(D147)=11), "Spring",
 IF(OR(MONTH(D147)=12, MONTH(D147)=1, MONTH(D147)=2), "Summer",
 IF(OR(MONTH(D147)=3, MONTH(D147)=4, MONTH(D147)=5), "Autumn",
 IF(OR(MONTH(D147)=6, MONTH(D147)=7, MONTH(D147)=8), "Winter", "Unknown"
))))</f>
        <v>Summer</v>
      </c>
      <c r="F147">
        <v>72</v>
      </c>
      <c r="G147">
        <v>340</v>
      </c>
      <c r="H147" s="7">
        <f>F147+G147</f>
        <v>412</v>
      </c>
      <c r="I147">
        <v>262</v>
      </c>
      <c r="J147" s="7">
        <f t="shared" si="7"/>
        <v>150</v>
      </c>
      <c r="K147">
        <v>78</v>
      </c>
      <c r="L147" s="75">
        <f>IF(B147="Camera",$T$13, IF(B147="Headphones",$U$13, IF(B147="Laptop",$V$13, IF(B147="Smartphone",$W$13, IF(B147="Smartwatch",$X$13,$Y$13)))))</f>
        <v>363.12350657108726</v>
      </c>
      <c r="M147" s="75">
        <f t="shared" si="8"/>
        <v>285.12350657108726</v>
      </c>
      <c r="N147" s="32">
        <f>I147/((F147+K147)/2)</f>
        <v>3.4933333333333332</v>
      </c>
      <c r="O147">
        <v>26</v>
      </c>
      <c r="P147">
        <v>0.92090935392338702</v>
      </c>
      <c r="Q147" s="2">
        <v>45.175079800691201</v>
      </c>
    </row>
    <row r="148" spans="1:17" x14ac:dyDescent="0.2">
      <c r="A148">
        <v>4</v>
      </c>
      <c r="B148" t="s">
        <v>13</v>
      </c>
      <c r="C148" s="7" t="str">
        <f>IF(B148="Smartphone", "Electronics", IF(B148="Laptop", "Computing", IF(B148="Tablet", "Mobile", IF(B148="Smartwatch", "Wearables", IF(B148="Headphones", "Audio", "Photography")))))</f>
        <v>Wearables</v>
      </c>
      <c r="D148" s="1">
        <v>43525</v>
      </c>
      <c r="E148" s="13" t="str">
        <f>IF(OR(MONTH(D148)=9, MONTH(D148)=10, MONTH(D148)=11), "Spring",
 IF(OR(MONTH(D148)=12, MONTH(D148)=1, MONTH(D148)=2), "Summer",
 IF(OR(MONTH(D148)=3, MONTH(D148)=4, MONTH(D148)=5), "Autumn",
 IF(OR(MONTH(D148)=6, MONTH(D148)=7, MONTH(D148)=8), "Winter", "Unknown"
))))</f>
        <v>Autumn</v>
      </c>
      <c r="F148">
        <v>89</v>
      </c>
      <c r="G148">
        <v>423</v>
      </c>
      <c r="H148" s="7">
        <f>F148+G148</f>
        <v>512</v>
      </c>
      <c r="I148">
        <v>363</v>
      </c>
      <c r="J148" s="7">
        <f t="shared" si="7"/>
        <v>149</v>
      </c>
      <c r="K148">
        <v>60</v>
      </c>
      <c r="L148" s="75">
        <f>IF(B148="Camera",$T$13, IF(B148="Headphones",$U$13, IF(B148="Laptop",$V$13, IF(B148="Smartphone",$W$13, IF(B148="Smartwatch",$X$13,$Y$13)))))</f>
        <v>363.12350657108726</v>
      </c>
      <c r="M148" s="75">
        <f t="shared" si="8"/>
        <v>303.12350657108726</v>
      </c>
      <c r="N148" s="32">
        <f>I148/((F148+K148)/2)</f>
        <v>4.8724832214765099</v>
      </c>
      <c r="O148">
        <v>15</v>
      </c>
      <c r="P148">
        <v>0.89820022940113797</v>
      </c>
      <c r="Q148" s="2">
        <v>99.6107106685362</v>
      </c>
    </row>
    <row r="149" spans="1:17" x14ac:dyDescent="0.2">
      <c r="A149">
        <v>4</v>
      </c>
      <c r="B149" t="s">
        <v>13</v>
      </c>
      <c r="C149" s="7" t="str">
        <f>IF(B149="Smartphone", "Electronics", IF(B149="Laptop", "Computing", IF(B149="Tablet", "Mobile", IF(B149="Smartwatch", "Wearables", IF(B149="Headphones", "Audio", "Photography")))))</f>
        <v>Wearables</v>
      </c>
      <c r="D149" s="1">
        <v>43556</v>
      </c>
      <c r="E149" s="13" t="str">
        <f>IF(OR(MONTH(D149)=9, MONTH(D149)=10, MONTH(D149)=11), "Spring",
 IF(OR(MONTH(D149)=12, MONTH(D149)=1, MONTH(D149)=2), "Summer",
 IF(OR(MONTH(D149)=3, MONTH(D149)=4, MONTH(D149)=5), "Autumn",
 IF(OR(MONTH(D149)=6, MONTH(D149)=7, MONTH(D149)=8), "Winter", "Unknown"
))))</f>
        <v>Autumn</v>
      </c>
      <c r="F149">
        <v>102</v>
      </c>
      <c r="G149">
        <v>237</v>
      </c>
      <c r="H149" s="7">
        <f>F149+G149</f>
        <v>339</v>
      </c>
      <c r="I149">
        <v>295</v>
      </c>
      <c r="J149" s="7">
        <f t="shared" si="7"/>
        <v>44</v>
      </c>
      <c r="K149">
        <v>44</v>
      </c>
      <c r="L149" s="75">
        <f>IF(B149="Camera",$T$13, IF(B149="Headphones",$U$13, IF(B149="Laptop",$V$13, IF(B149="Smartphone",$W$13, IF(B149="Smartwatch",$X$13,$Y$13)))))</f>
        <v>363.12350657108726</v>
      </c>
      <c r="M149" s="75">
        <f t="shared" si="8"/>
        <v>319.12350657108726</v>
      </c>
      <c r="N149" s="32">
        <f>I149/((F149+K149)/2)</f>
        <v>4.0410958904109586</v>
      </c>
      <c r="O149">
        <v>14</v>
      </c>
      <c r="P149">
        <v>0.899290098779433</v>
      </c>
      <c r="Q149" s="2">
        <v>23.663381579939301</v>
      </c>
    </row>
    <row r="150" spans="1:17" x14ac:dyDescent="0.2">
      <c r="A150">
        <v>4</v>
      </c>
      <c r="B150" t="s">
        <v>13</v>
      </c>
      <c r="C150" s="7" t="str">
        <f>IF(B150="Smartphone", "Electronics", IF(B150="Laptop", "Computing", IF(B150="Tablet", "Mobile", IF(B150="Smartwatch", "Wearables", IF(B150="Headphones", "Audio", "Photography")))))</f>
        <v>Wearables</v>
      </c>
      <c r="D150" s="1">
        <v>43586</v>
      </c>
      <c r="E150" s="13" t="str">
        <f>IF(OR(MONTH(D150)=9, MONTH(D150)=10, MONTH(D150)=11), "Spring",
 IF(OR(MONTH(D150)=12, MONTH(D150)=1, MONTH(D150)=2), "Summer",
 IF(OR(MONTH(D150)=3, MONTH(D150)=4, MONTH(D150)=5), "Autumn",
 IF(OR(MONTH(D150)=6, MONTH(D150)=7, MONTH(D150)=8), "Winter", "Unknown"
))))</f>
        <v>Autumn</v>
      </c>
      <c r="F150">
        <v>29</v>
      </c>
      <c r="G150">
        <v>91</v>
      </c>
      <c r="H150" s="7">
        <f>F150+G150</f>
        <v>120</v>
      </c>
      <c r="I150">
        <v>76</v>
      </c>
      <c r="J150" s="7">
        <f t="shared" si="7"/>
        <v>44</v>
      </c>
      <c r="K150">
        <v>15</v>
      </c>
      <c r="L150" s="75">
        <f>IF(B150="Camera",$T$13, IF(B150="Headphones",$U$13, IF(B150="Laptop",$V$13, IF(B150="Smartphone",$W$13, IF(B150="Smartwatch",$X$13,$Y$13)))))</f>
        <v>363.12350657108726</v>
      </c>
      <c r="M150" s="75">
        <f t="shared" si="8"/>
        <v>348.12350657108726</v>
      </c>
      <c r="N150" s="32">
        <f>I150/((F150+K150)/2)</f>
        <v>3.4545454545454546</v>
      </c>
      <c r="O150">
        <v>11</v>
      </c>
      <c r="P150">
        <v>0.80971972635466105</v>
      </c>
      <c r="Q150" s="2">
        <v>54.162980392028302</v>
      </c>
    </row>
    <row r="151" spans="1:17" x14ac:dyDescent="0.2">
      <c r="A151">
        <v>4</v>
      </c>
      <c r="B151" t="s">
        <v>13</v>
      </c>
      <c r="C151" s="7" t="str">
        <f>IF(B151="Smartphone", "Electronics", IF(B151="Laptop", "Computing", IF(B151="Tablet", "Mobile", IF(B151="Smartwatch", "Wearables", IF(B151="Headphones", "Audio", "Photography")))))</f>
        <v>Wearables</v>
      </c>
      <c r="D151" s="1">
        <v>43617</v>
      </c>
      <c r="E151" s="13" t="str">
        <f>IF(OR(MONTH(D151)=9, MONTH(D151)=10, MONTH(D151)=11), "Spring",
 IF(OR(MONTH(D151)=12, MONTH(D151)=1, MONTH(D151)=2), "Summer",
 IF(OR(MONTH(D151)=3, MONTH(D151)=4, MONTH(D151)=5), "Autumn",
 IF(OR(MONTH(D151)=6, MONTH(D151)=7, MONTH(D151)=8), "Winter", "Unknown"
))))</f>
        <v>Winter</v>
      </c>
      <c r="F151">
        <v>53</v>
      </c>
      <c r="G151">
        <v>278</v>
      </c>
      <c r="H151" s="7">
        <f>F151+G151</f>
        <v>331</v>
      </c>
      <c r="I151">
        <v>254</v>
      </c>
      <c r="J151" s="7">
        <f t="shared" si="7"/>
        <v>77</v>
      </c>
      <c r="K151">
        <v>24</v>
      </c>
      <c r="L151" s="75">
        <f>IF(B151="Camera",$T$13, IF(B151="Headphones",$U$13, IF(B151="Laptop",$V$13, IF(B151="Smartphone",$W$13, IF(B151="Smartwatch",$X$13,$Y$13)))))</f>
        <v>363.12350657108726</v>
      </c>
      <c r="M151" s="75">
        <f t="shared" si="8"/>
        <v>339.12350657108726</v>
      </c>
      <c r="N151" s="32">
        <f>I151/((F151+K151)/2)</f>
        <v>6.5974025974025974</v>
      </c>
      <c r="O151">
        <v>28</v>
      </c>
      <c r="P151">
        <v>0.942438325130321</v>
      </c>
      <c r="Q151" s="2">
        <v>19.197108163364799</v>
      </c>
    </row>
    <row r="152" spans="1:17" x14ac:dyDescent="0.2">
      <c r="A152">
        <v>4</v>
      </c>
      <c r="B152" t="s">
        <v>13</v>
      </c>
      <c r="C152" s="7" t="str">
        <f>IF(B152="Smartphone", "Electronics", IF(B152="Laptop", "Computing", IF(B152="Tablet", "Mobile", IF(B152="Smartwatch", "Wearables", IF(B152="Headphones", "Audio", "Photography")))))</f>
        <v>Wearables</v>
      </c>
      <c r="D152" s="1">
        <v>43647</v>
      </c>
      <c r="E152" s="13" t="str">
        <f>IF(OR(MONTH(D152)=9, MONTH(D152)=10, MONTH(D152)=11), "Spring",
 IF(OR(MONTH(D152)=12, MONTH(D152)=1, MONTH(D152)=2), "Summer",
 IF(OR(MONTH(D152)=3, MONTH(D152)=4, MONTH(D152)=5), "Autumn",
 IF(OR(MONTH(D152)=6, MONTH(D152)=7, MONTH(D152)=8), "Winter", "Unknown"
))))</f>
        <v>Winter</v>
      </c>
      <c r="F152">
        <v>85</v>
      </c>
      <c r="G152">
        <v>402</v>
      </c>
      <c r="H152" s="7">
        <f>F152+G152</f>
        <v>487</v>
      </c>
      <c r="I152">
        <v>322</v>
      </c>
      <c r="J152" s="7">
        <f t="shared" si="7"/>
        <v>165</v>
      </c>
      <c r="K152">
        <v>80</v>
      </c>
      <c r="L152" s="75">
        <f>IF(B152="Camera",$T$13, IF(B152="Headphones",$U$13, IF(B152="Laptop",$V$13, IF(B152="Smartphone",$W$13, IF(B152="Smartwatch",$X$13,$Y$13)))))</f>
        <v>363.12350657108726</v>
      </c>
      <c r="M152" s="75">
        <f t="shared" si="8"/>
        <v>283.12350657108726</v>
      </c>
      <c r="N152" s="32">
        <f>I152/((F152+K152)/2)</f>
        <v>3.9030303030303028</v>
      </c>
      <c r="O152">
        <v>21</v>
      </c>
      <c r="P152">
        <v>0.96301037030394199</v>
      </c>
      <c r="Q152" s="2">
        <v>139.027825302389</v>
      </c>
    </row>
    <row r="153" spans="1:17" x14ac:dyDescent="0.2">
      <c r="A153">
        <v>4</v>
      </c>
      <c r="B153" t="s">
        <v>13</v>
      </c>
      <c r="C153" s="7" t="str">
        <f>IF(B153="Smartphone", "Electronics", IF(B153="Laptop", "Computing", IF(B153="Tablet", "Mobile", IF(B153="Smartwatch", "Wearables", IF(B153="Headphones", "Audio", "Photography")))))</f>
        <v>Wearables</v>
      </c>
      <c r="D153" s="1">
        <v>43678</v>
      </c>
      <c r="E153" s="13" t="str">
        <f>IF(OR(MONTH(D153)=9, MONTH(D153)=10, MONTH(D153)=11), "Spring",
 IF(OR(MONTH(D153)=12, MONTH(D153)=1, MONTH(D153)=2), "Summer",
 IF(OR(MONTH(D153)=3, MONTH(D153)=4, MONTH(D153)=5), "Autumn",
 IF(OR(MONTH(D153)=6, MONTH(D153)=7, MONTH(D153)=8), "Winter", "Unknown"
))))</f>
        <v>Winter</v>
      </c>
      <c r="F153">
        <v>63</v>
      </c>
      <c r="G153">
        <v>98</v>
      </c>
      <c r="H153" s="7">
        <f>F153+G153</f>
        <v>161</v>
      </c>
      <c r="I153">
        <v>36</v>
      </c>
      <c r="J153" s="7">
        <f t="shared" si="7"/>
        <v>125</v>
      </c>
      <c r="K153">
        <v>62</v>
      </c>
      <c r="L153" s="75">
        <f>IF(B153="Camera",$T$13, IF(B153="Headphones",$U$13, IF(B153="Laptop",$V$13, IF(B153="Smartphone",$W$13, IF(B153="Smartwatch",$X$13,$Y$13)))))</f>
        <v>363.12350657108726</v>
      </c>
      <c r="M153" s="75">
        <f t="shared" si="8"/>
        <v>301.12350657108726</v>
      </c>
      <c r="N153" s="32">
        <f>I153/((F153+K153)/2)</f>
        <v>0.57599999999999996</v>
      </c>
      <c r="O153">
        <v>19</v>
      </c>
      <c r="P153">
        <v>0.94275543160773401</v>
      </c>
      <c r="Q153" s="2">
        <v>148.74410115507101</v>
      </c>
    </row>
    <row r="154" spans="1:17" x14ac:dyDescent="0.2">
      <c r="A154">
        <v>4</v>
      </c>
      <c r="B154" t="s">
        <v>13</v>
      </c>
      <c r="C154" s="7" t="str">
        <f>IF(B154="Smartphone", "Electronics", IF(B154="Laptop", "Computing", IF(B154="Tablet", "Mobile", IF(B154="Smartwatch", "Wearables", IF(B154="Headphones", "Audio", "Photography")))))</f>
        <v>Wearables</v>
      </c>
      <c r="D154" s="1">
        <v>43709</v>
      </c>
      <c r="E154" s="13" t="str">
        <f>IF(OR(MONTH(D154)=9, MONTH(D154)=10, MONTH(D154)=11), "Spring",
 IF(OR(MONTH(D154)=12, MONTH(D154)=1, MONTH(D154)=2), "Summer",
 IF(OR(MONTH(D154)=3, MONTH(D154)=4, MONTH(D154)=5), "Autumn",
 IF(OR(MONTH(D154)=6, MONTH(D154)=7, MONTH(D154)=8), "Winter", "Unknown"
))))</f>
        <v>Spring</v>
      </c>
      <c r="F154">
        <v>129</v>
      </c>
      <c r="G154">
        <v>76</v>
      </c>
      <c r="H154" s="7">
        <f>F154+G154</f>
        <v>205</v>
      </c>
      <c r="I154">
        <v>213</v>
      </c>
      <c r="J154" s="7">
        <f t="shared" si="7"/>
        <v>-8</v>
      </c>
      <c r="K154">
        <v>88</v>
      </c>
      <c r="L154" s="75">
        <f>IF(B154="Camera",$T$13, IF(B154="Headphones",$U$13, IF(B154="Laptop",$V$13, IF(B154="Smartphone",$W$13, IF(B154="Smartwatch",$X$13,$Y$13)))))</f>
        <v>363.12350657108726</v>
      </c>
      <c r="M154" s="75">
        <f t="shared" si="8"/>
        <v>275.12350657108726</v>
      </c>
      <c r="N154" s="32">
        <f>I154/((F154+K154)/2)</f>
        <v>1.9631336405529953</v>
      </c>
      <c r="O154">
        <v>11</v>
      </c>
      <c r="P154">
        <v>0.92274859453004798</v>
      </c>
      <c r="Q154" s="2">
        <v>112.790270212506</v>
      </c>
    </row>
    <row r="155" spans="1:17" x14ac:dyDescent="0.2">
      <c r="A155">
        <v>4</v>
      </c>
      <c r="B155" t="s">
        <v>13</v>
      </c>
      <c r="C155" s="7" t="str">
        <f>IF(B155="Smartphone", "Electronics", IF(B155="Laptop", "Computing", IF(B155="Tablet", "Mobile", IF(B155="Smartwatch", "Wearables", IF(B155="Headphones", "Audio", "Photography")))))</f>
        <v>Wearables</v>
      </c>
      <c r="D155" s="1">
        <v>43739</v>
      </c>
      <c r="E155" s="13" t="str">
        <f>IF(OR(MONTH(D155)=9, MONTH(D155)=10, MONTH(D155)=11), "Spring",
 IF(OR(MONTH(D155)=12, MONTH(D155)=1, MONTH(D155)=2), "Summer",
 IF(OR(MONTH(D155)=3, MONTH(D155)=4, MONTH(D155)=5), "Autumn",
 IF(OR(MONTH(D155)=6, MONTH(D155)=7, MONTH(D155)=8), "Winter", "Unknown"
))))</f>
        <v>Spring</v>
      </c>
      <c r="F155">
        <v>89</v>
      </c>
      <c r="G155">
        <v>99</v>
      </c>
      <c r="H155" s="7">
        <f>F155+G155</f>
        <v>188</v>
      </c>
      <c r="I155">
        <v>28</v>
      </c>
      <c r="J155" s="7">
        <f t="shared" si="7"/>
        <v>160</v>
      </c>
      <c r="K155">
        <v>71</v>
      </c>
      <c r="L155" s="75">
        <f>IF(B155="Camera",$T$13, IF(B155="Headphones",$U$13, IF(B155="Laptop",$V$13, IF(B155="Smartphone",$W$13, IF(B155="Smartwatch",$X$13,$Y$13)))))</f>
        <v>363.12350657108726</v>
      </c>
      <c r="M155" s="75">
        <f t="shared" si="8"/>
        <v>292.12350657108726</v>
      </c>
      <c r="N155" s="32">
        <f>I155/((F155+K155)/2)</f>
        <v>0.35</v>
      </c>
      <c r="O155">
        <v>22</v>
      </c>
      <c r="P155">
        <v>0.8</v>
      </c>
      <c r="Q155" s="2">
        <v>62.470601819033803</v>
      </c>
    </row>
    <row r="156" spans="1:17" x14ac:dyDescent="0.2">
      <c r="A156">
        <v>4</v>
      </c>
      <c r="B156" t="s">
        <v>13</v>
      </c>
      <c r="C156" s="7" t="str">
        <f>IF(B156="Smartphone", "Electronics", IF(B156="Laptop", "Computing", IF(B156="Tablet", "Mobile", IF(B156="Smartwatch", "Wearables", IF(B156="Headphones", "Audio", "Photography")))))</f>
        <v>Wearables</v>
      </c>
      <c r="D156" s="1">
        <v>43770</v>
      </c>
      <c r="E156" s="13" t="str">
        <f>IF(OR(MONTH(D156)=9, MONTH(D156)=10, MONTH(D156)=11), "Spring",
 IF(OR(MONTH(D156)=12, MONTH(D156)=1, MONTH(D156)=2), "Summer",
 IF(OR(MONTH(D156)=3, MONTH(D156)=4, MONTH(D156)=5), "Autumn",
 IF(OR(MONTH(D156)=6, MONTH(D156)=7, MONTH(D156)=8), "Winter", "Unknown"
))))</f>
        <v>Spring</v>
      </c>
      <c r="F156">
        <v>45</v>
      </c>
      <c r="G156">
        <v>391</v>
      </c>
      <c r="H156" s="7">
        <f>F156+G156</f>
        <v>436</v>
      </c>
      <c r="I156">
        <v>326</v>
      </c>
      <c r="J156" s="7">
        <f t="shared" si="7"/>
        <v>110</v>
      </c>
      <c r="K156">
        <v>65</v>
      </c>
      <c r="L156" s="75">
        <f>IF(B156="Camera",$T$13, IF(B156="Headphones",$U$13, IF(B156="Laptop",$V$13, IF(B156="Smartphone",$W$13, IF(B156="Smartwatch",$X$13,$Y$13)))))</f>
        <v>363.12350657108726</v>
      </c>
      <c r="M156" s="75">
        <f t="shared" si="8"/>
        <v>298.12350657108726</v>
      </c>
      <c r="N156" s="32">
        <f>I156/((F156+K156)/2)</f>
        <v>5.9272727272727277</v>
      </c>
      <c r="O156">
        <v>15</v>
      </c>
      <c r="P156">
        <v>0.93268559401280904</v>
      </c>
      <c r="Q156" s="2">
        <v>76.312615294337704</v>
      </c>
    </row>
    <row r="157" spans="1:17" x14ac:dyDescent="0.2">
      <c r="A157">
        <v>4</v>
      </c>
      <c r="B157" t="s">
        <v>13</v>
      </c>
      <c r="C157" s="7" t="str">
        <f>IF(B157="Smartphone", "Electronics", IF(B157="Laptop", "Computing", IF(B157="Tablet", "Mobile", IF(B157="Smartwatch", "Wearables", IF(B157="Headphones", "Audio", "Photography")))))</f>
        <v>Wearables</v>
      </c>
      <c r="D157" s="1">
        <v>43800</v>
      </c>
      <c r="E157" s="13" t="str">
        <f>IF(OR(MONTH(D157)=9, MONTH(D157)=10, MONTH(D157)=11), "Spring",
 IF(OR(MONTH(D157)=12, MONTH(D157)=1, MONTH(D157)=2), "Summer",
 IF(OR(MONTH(D157)=3, MONTH(D157)=4, MONTH(D157)=5), "Autumn",
 IF(OR(MONTH(D157)=6, MONTH(D157)=7, MONTH(D157)=8), "Winter", "Unknown"
))))</f>
        <v>Summer</v>
      </c>
      <c r="F157">
        <v>95</v>
      </c>
      <c r="G157">
        <v>151</v>
      </c>
      <c r="H157" s="7">
        <f>F157+G157</f>
        <v>246</v>
      </c>
      <c r="I157">
        <v>103</v>
      </c>
      <c r="J157" s="7">
        <f t="shared" si="7"/>
        <v>143</v>
      </c>
      <c r="K157">
        <v>48</v>
      </c>
      <c r="L157" s="75">
        <f>IF(B157="Camera",$T$13, IF(B157="Headphones",$U$13, IF(B157="Laptop",$V$13, IF(B157="Smartphone",$W$13, IF(B157="Smartwatch",$X$13,$Y$13)))))</f>
        <v>363.12350657108726</v>
      </c>
      <c r="M157" s="75">
        <f t="shared" si="8"/>
        <v>315.12350657108726</v>
      </c>
      <c r="N157" s="32">
        <f>I157/((F157+K157)/2)</f>
        <v>1.4405594405594406</v>
      </c>
      <c r="O157">
        <v>26</v>
      </c>
      <c r="P157">
        <v>0.83777708000810802</v>
      </c>
      <c r="Q157" s="2">
        <v>96.285501756584594</v>
      </c>
    </row>
    <row r="158" spans="1:17" x14ac:dyDescent="0.2">
      <c r="A158">
        <v>4</v>
      </c>
      <c r="B158" t="s">
        <v>13</v>
      </c>
      <c r="C158" s="7" t="str">
        <f>IF(B158="Smartphone", "Electronics", IF(B158="Laptop", "Computing", IF(B158="Tablet", "Mobile", IF(B158="Smartwatch", "Wearables", IF(B158="Headphones", "Audio", "Photography")))))</f>
        <v>Wearables</v>
      </c>
      <c r="D158" s="1">
        <v>43831</v>
      </c>
      <c r="E158" s="13" t="str">
        <f>IF(OR(MONTH(D158)=9, MONTH(D158)=10, MONTH(D158)=11), "Spring",
 IF(OR(MONTH(D158)=12, MONTH(D158)=1, MONTH(D158)=2), "Summer",
 IF(OR(MONTH(D158)=3, MONTH(D158)=4, MONTH(D158)=5), "Autumn",
 IF(OR(MONTH(D158)=6, MONTH(D158)=7, MONTH(D158)=8), "Winter", "Unknown"
))))</f>
        <v>Summer</v>
      </c>
      <c r="F158">
        <v>62</v>
      </c>
      <c r="G158">
        <v>313</v>
      </c>
      <c r="H158" s="7">
        <f>F158+G158</f>
        <v>375</v>
      </c>
      <c r="I158">
        <v>273</v>
      </c>
      <c r="J158" s="7">
        <f t="shared" si="7"/>
        <v>102</v>
      </c>
      <c r="K158">
        <v>40</v>
      </c>
      <c r="L158" s="75">
        <f>IF(B158="Camera",$T$13, IF(B158="Headphones",$U$13, IF(B158="Laptop",$V$13, IF(B158="Smartphone",$W$13, IF(B158="Smartwatch",$X$13,$Y$13)))))</f>
        <v>363.12350657108726</v>
      </c>
      <c r="M158" s="75">
        <f t="shared" si="8"/>
        <v>323.12350657108726</v>
      </c>
      <c r="N158" s="32">
        <f>I158/((F158+K158)/2)</f>
        <v>5.3529411764705879</v>
      </c>
      <c r="O158">
        <v>3</v>
      </c>
      <c r="P158">
        <v>0.85842490285219497</v>
      </c>
      <c r="Q158" s="2">
        <v>64.091805424332406</v>
      </c>
    </row>
    <row r="159" spans="1:17" x14ac:dyDescent="0.2">
      <c r="A159">
        <v>4</v>
      </c>
      <c r="B159" t="s">
        <v>13</v>
      </c>
      <c r="C159" s="7" t="str">
        <f>IF(B159="Smartphone", "Electronics", IF(B159="Laptop", "Computing", IF(B159="Tablet", "Mobile", IF(B159="Smartwatch", "Wearables", IF(B159="Headphones", "Audio", "Photography")))))</f>
        <v>Wearables</v>
      </c>
      <c r="D159" s="1">
        <v>43862</v>
      </c>
      <c r="E159" s="13" t="str">
        <f>IF(OR(MONTH(D159)=9, MONTH(D159)=10, MONTH(D159)=11), "Spring",
 IF(OR(MONTH(D159)=12, MONTH(D159)=1, MONTH(D159)=2), "Summer",
 IF(OR(MONTH(D159)=3, MONTH(D159)=4, MONTH(D159)=5), "Autumn",
 IF(OR(MONTH(D159)=6, MONTH(D159)=7, MONTH(D159)=8), "Winter", "Unknown"
))))</f>
        <v>Summer</v>
      </c>
      <c r="F159">
        <v>78</v>
      </c>
      <c r="G159">
        <v>336</v>
      </c>
      <c r="H159" s="7">
        <f>F159+G159</f>
        <v>414</v>
      </c>
      <c r="I159">
        <v>261</v>
      </c>
      <c r="J159" s="7">
        <f t="shared" si="7"/>
        <v>153</v>
      </c>
      <c r="K159">
        <v>75</v>
      </c>
      <c r="L159" s="75">
        <f>IF(B159="Camera",$T$13, IF(B159="Headphones",$U$13, IF(B159="Laptop",$V$13, IF(B159="Smartphone",$W$13, IF(B159="Smartwatch",$X$13,$Y$13)))))</f>
        <v>363.12350657108726</v>
      </c>
      <c r="M159" s="75">
        <f t="shared" si="8"/>
        <v>288.12350657108726</v>
      </c>
      <c r="N159" s="32">
        <f>I159/((F159+K159)/2)</f>
        <v>3.4117647058823528</v>
      </c>
      <c r="O159">
        <v>2</v>
      </c>
      <c r="P159">
        <v>0.91909195304204905</v>
      </c>
      <c r="Q159" s="2">
        <v>115.83798136334001</v>
      </c>
    </row>
    <row r="160" spans="1:17" x14ac:dyDescent="0.2">
      <c r="A160">
        <v>4</v>
      </c>
      <c r="B160" t="s">
        <v>13</v>
      </c>
      <c r="C160" s="7" t="str">
        <f>IF(B160="Smartphone", "Electronics", IF(B160="Laptop", "Computing", IF(B160="Tablet", "Mobile", IF(B160="Smartwatch", "Wearables", IF(B160="Headphones", "Audio", "Photography")))))</f>
        <v>Wearables</v>
      </c>
      <c r="D160" s="1">
        <v>43891</v>
      </c>
      <c r="E160" s="13" t="str">
        <f>IF(OR(MONTH(D160)=9, MONTH(D160)=10, MONTH(D160)=11), "Spring",
 IF(OR(MONTH(D160)=12, MONTH(D160)=1, MONTH(D160)=2), "Summer",
 IF(OR(MONTH(D160)=3, MONTH(D160)=4, MONTH(D160)=5), "Autumn",
 IF(OR(MONTH(D160)=6, MONTH(D160)=7, MONTH(D160)=8), "Winter", "Unknown"
))))</f>
        <v>Autumn</v>
      </c>
      <c r="F160">
        <v>60</v>
      </c>
      <c r="G160">
        <v>207</v>
      </c>
      <c r="H160" s="7">
        <f>F160+G160</f>
        <v>267</v>
      </c>
      <c r="I160">
        <v>166</v>
      </c>
      <c r="J160" s="7">
        <f t="shared" si="7"/>
        <v>101</v>
      </c>
      <c r="K160">
        <v>41</v>
      </c>
      <c r="L160" s="75">
        <f>IF(B160="Camera",$T$13, IF(B160="Headphones",$U$13, IF(B160="Laptop",$V$13, IF(B160="Smartphone",$W$13, IF(B160="Smartwatch",$X$13,$Y$13)))))</f>
        <v>363.12350657108726</v>
      </c>
      <c r="M160" s="75">
        <f t="shared" si="8"/>
        <v>322.12350657108726</v>
      </c>
      <c r="N160" s="32">
        <f>I160/((F160+K160)/2)</f>
        <v>3.2871287128712869</v>
      </c>
      <c r="O160">
        <v>7</v>
      </c>
      <c r="P160">
        <v>0.84601546487488199</v>
      </c>
      <c r="Q160" s="2">
        <v>30.783134313186601</v>
      </c>
    </row>
    <row r="161" spans="1:17" x14ac:dyDescent="0.2">
      <c r="A161">
        <v>4</v>
      </c>
      <c r="B161" t="s">
        <v>13</v>
      </c>
      <c r="C161" s="7" t="str">
        <f>IF(B161="Smartphone", "Electronics", IF(B161="Laptop", "Computing", IF(B161="Tablet", "Mobile", IF(B161="Smartwatch", "Wearables", IF(B161="Headphones", "Audio", "Photography")))))</f>
        <v>Wearables</v>
      </c>
      <c r="D161" s="1">
        <v>43922</v>
      </c>
      <c r="E161" s="13" t="str">
        <f>IF(OR(MONTH(D161)=9, MONTH(D161)=10, MONTH(D161)=11), "Spring",
 IF(OR(MONTH(D161)=12, MONTH(D161)=1, MONTH(D161)=2), "Summer",
 IF(OR(MONTH(D161)=3, MONTH(D161)=4, MONTH(D161)=5), "Autumn",
 IF(OR(MONTH(D161)=6, MONTH(D161)=7, MONTH(D161)=8), "Winter", "Unknown"
))))</f>
        <v>Autumn</v>
      </c>
      <c r="F161">
        <v>44</v>
      </c>
      <c r="G161">
        <v>449</v>
      </c>
      <c r="H161" s="7">
        <f>F161+G161</f>
        <v>493</v>
      </c>
      <c r="I161">
        <v>415</v>
      </c>
      <c r="J161" s="7">
        <f t="shared" si="7"/>
        <v>78</v>
      </c>
      <c r="K161">
        <v>34</v>
      </c>
      <c r="L161" s="75">
        <f>IF(B161="Camera",$T$13, IF(B161="Headphones",$U$13, IF(B161="Laptop",$V$13, IF(B161="Smartphone",$W$13, IF(B161="Smartwatch",$X$13,$Y$13)))))</f>
        <v>363.12350657108726</v>
      </c>
      <c r="M161" s="75">
        <f t="shared" si="8"/>
        <v>329.12350657108726</v>
      </c>
      <c r="N161" s="32">
        <f>I161/((F161+K161)/2)</f>
        <v>10.641025641025641</v>
      </c>
      <c r="O161">
        <v>13</v>
      </c>
      <c r="P161">
        <v>0.96541120389127699</v>
      </c>
      <c r="Q161" s="2">
        <v>9.2572260359371104</v>
      </c>
    </row>
    <row r="162" spans="1:17" x14ac:dyDescent="0.2">
      <c r="A162">
        <v>4</v>
      </c>
      <c r="B162" t="s">
        <v>13</v>
      </c>
      <c r="C162" s="7" t="str">
        <f>IF(B162="Smartphone", "Electronics", IF(B162="Laptop", "Computing", IF(B162="Tablet", "Mobile", IF(B162="Smartwatch", "Wearables", IF(B162="Headphones", "Audio", "Photography")))))</f>
        <v>Wearables</v>
      </c>
      <c r="D162" s="1">
        <v>43952</v>
      </c>
      <c r="E162" s="13" t="str">
        <f>IF(OR(MONTH(D162)=9, MONTH(D162)=10, MONTH(D162)=11), "Spring",
 IF(OR(MONTH(D162)=12, MONTH(D162)=1, MONTH(D162)=2), "Summer",
 IF(OR(MONTH(D162)=3, MONTH(D162)=4, MONTH(D162)=5), "Autumn",
 IF(OR(MONTH(D162)=6, MONTH(D162)=7, MONTH(D162)=8), "Winter", "Unknown"
))))</f>
        <v>Autumn</v>
      </c>
      <c r="F162">
        <v>15</v>
      </c>
      <c r="G162">
        <v>286</v>
      </c>
      <c r="H162" s="7">
        <f>F162+G162</f>
        <v>301</v>
      </c>
      <c r="I162">
        <v>200</v>
      </c>
      <c r="J162" s="7">
        <f t="shared" si="7"/>
        <v>101</v>
      </c>
      <c r="K162">
        <v>86</v>
      </c>
      <c r="L162" s="75">
        <f>IF(B162="Camera",$T$13, IF(B162="Headphones",$U$13, IF(B162="Laptop",$V$13, IF(B162="Smartphone",$W$13, IF(B162="Smartwatch",$X$13,$Y$13)))))</f>
        <v>363.12350657108726</v>
      </c>
      <c r="M162" s="75">
        <f t="shared" si="8"/>
        <v>277.12350657108726</v>
      </c>
      <c r="N162" s="32">
        <f>I162/((F162+K162)/2)</f>
        <v>3.9603960396039604</v>
      </c>
      <c r="O162">
        <v>26</v>
      </c>
      <c r="P162">
        <v>0.88217641813158298</v>
      </c>
      <c r="Q162" s="2">
        <v>233.903699161758</v>
      </c>
    </row>
    <row r="163" spans="1:17" x14ac:dyDescent="0.2">
      <c r="A163">
        <v>4</v>
      </c>
      <c r="B163" t="s">
        <v>13</v>
      </c>
      <c r="C163" s="7" t="str">
        <f>IF(B163="Smartphone", "Electronics", IF(B163="Laptop", "Computing", IF(B163="Tablet", "Mobile", IF(B163="Smartwatch", "Wearables", IF(B163="Headphones", "Audio", "Photography")))))</f>
        <v>Wearables</v>
      </c>
      <c r="D163" s="1">
        <v>43983</v>
      </c>
      <c r="E163" s="13" t="str">
        <f>IF(OR(MONTH(D163)=9, MONTH(D163)=10, MONTH(D163)=11), "Spring",
 IF(OR(MONTH(D163)=12, MONTH(D163)=1, MONTH(D163)=2), "Summer",
 IF(OR(MONTH(D163)=3, MONTH(D163)=4, MONTH(D163)=5), "Autumn",
 IF(OR(MONTH(D163)=6, MONTH(D163)=7, MONTH(D163)=8), "Winter", "Unknown"
))))</f>
        <v>Winter</v>
      </c>
      <c r="F163">
        <v>24</v>
      </c>
      <c r="G163">
        <v>54</v>
      </c>
      <c r="H163" s="7">
        <f>F163+G163</f>
        <v>78</v>
      </c>
      <c r="I163">
        <v>28</v>
      </c>
      <c r="J163" s="7">
        <f t="shared" si="7"/>
        <v>50</v>
      </c>
      <c r="K163">
        <v>26</v>
      </c>
      <c r="L163" s="75">
        <f>IF(B163="Camera",$T$13, IF(B163="Headphones",$U$13, IF(B163="Laptop",$V$13, IF(B163="Smartphone",$W$13, IF(B163="Smartwatch",$X$13,$Y$13)))))</f>
        <v>363.12350657108726</v>
      </c>
      <c r="M163" s="75">
        <f t="shared" si="8"/>
        <v>337.12350657108726</v>
      </c>
      <c r="N163" s="32">
        <f>I163/((F163+K163)/2)</f>
        <v>1.1200000000000001</v>
      </c>
      <c r="O163">
        <v>14</v>
      </c>
      <c r="P163">
        <v>0.93355185063399004</v>
      </c>
      <c r="Q163" s="2">
        <v>107.670401316786</v>
      </c>
    </row>
    <row r="164" spans="1:17" x14ac:dyDescent="0.2">
      <c r="A164">
        <v>4</v>
      </c>
      <c r="B164" t="s">
        <v>13</v>
      </c>
      <c r="C164" s="7" t="str">
        <f>IF(B164="Smartphone", "Electronics", IF(B164="Laptop", "Computing", IF(B164="Tablet", "Mobile", IF(B164="Smartwatch", "Wearables", IF(B164="Headphones", "Audio", "Photography")))))</f>
        <v>Wearables</v>
      </c>
      <c r="D164" s="1">
        <v>44013</v>
      </c>
      <c r="E164" s="13" t="str">
        <f>IF(OR(MONTH(D164)=9, MONTH(D164)=10, MONTH(D164)=11), "Spring",
 IF(OR(MONTH(D164)=12, MONTH(D164)=1, MONTH(D164)=2), "Summer",
 IF(OR(MONTH(D164)=3, MONTH(D164)=4, MONTH(D164)=5), "Autumn",
 IF(OR(MONTH(D164)=6, MONTH(D164)=7, MONTH(D164)=8), "Winter", "Unknown"
))))</f>
        <v>Winter</v>
      </c>
      <c r="F164">
        <v>80</v>
      </c>
      <c r="G164">
        <v>335</v>
      </c>
      <c r="H164" s="7">
        <f>F164+G164</f>
        <v>415</v>
      </c>
      <c r="I164">
        <v>253</v>
      </c>
      <c r="J164" s="7">
        <f t="shared" si="7"/>
        <v>162</v>
      </c>
      <c r="K164">
        <v>82</v>
      </c>
      <c r="L164" s="75">
        <f>IF(B164="Camera",$T$13, IF(B164="Headphones",$U$13, IF(B164="Laptop",$V$13, IF(B164="Smartphone",$W$13, IF(B164="Smartwatch",$X$13,$Y$13)))))</f>
        <v>363.12350657108726</v>
      </c>
      <c r="M164" s="75">
        <f t="shared" si="8"/>
        <v>281.12350657108726</v>
      </c>
      <c r="N164" s="32">
        <f>I164/((F164+K164)/2)</f>
        <v>3.1234567901234569</v>
      </c>
      <c r="O164">
        <v>11</v>
      </c>
      <c r="P164">
        <v>0.80720811145248295</v>
      </c>
      <c r="Q164" s="2">
        <v>51.8566078897422</v>
      </c>
    </row>
    <row r="165" spans="1:17" x14ac:dyDescent="0.2">
      <c r="A165">
        <v>4</v>
      </c>
      <c r="B165" t="s">
        <v>13</v>
      </c>
      <c r="C165" s="7" t="str">
        <f>IF(B165="Smartphone", "Electronics", IF(B165="Laptop", "Computing", IF(B165="Tablet", "Mobile", IF(B165="Smartwatch", "Wearables", IF(B165="Headphones", "Audio", "Photography")))))</f>
        <v>Wearables</v>
      </c>
      <c r="D165" s="1">
        <v>44044</v>
      </c>
      <c r="E165" s="13" t="str">
        <f>IF(OR(MONTH(D165)=9, MONTH(D165)=10, MONTH(D165)=11), "Spring",
 IF(OR(MONTH(D165)=12, MONTH(D165)=1, MONTH(D165)=2), "Summer",
 IF(OR(MONTH(D165)=3, MONTH(D165)=4, MONTH(D165)=5), "Autumn",
 IF(OR(MONTH(D165)=6, MONTH(D165)=7, MONTH(D165)=8), "Winter", "Unknown"
))))</f>
        <v>Winter</v>
      </c>
      <c r="F165">
        <v>62</v>
      </c>
      <c r="G165">
        <v>210</v>
      </c>
      <c r="H165" s="7">
        <f>F165+G165</f>
        <v>272</v>
      </c>
      <c r="I165">
        <v>196</v>
      </c>
      <c r="J165" s="7">
        <f t="shared" si="7"/>
        <v>76</v>
      </c>
      <c r="K165">
        <v>14</v>
      </c>
      <c r="L165" s="75">
        <f>IF(B165="Camera",$T$13, IF(B165="Headphones",$U$13, IF(B165="Laptop",$V$13, IF(B165="Smartphone",$W$13, IF(B165="Smartwatch",$X$13,$Y$13)))))</f>
        <v>363.12350657108726</v>
      </c>
      <c r="M165" s="75">
        <f t="shared" si="8"/>
        <v>349.12350657108726</v>
      </c>
      <c r="N165" s="32">
        <f>I165/((F165+K165)/2)</f>
        <v>5.1578947368421053</v>
      </c>
      <c r="O165">
        <v>19</v>
      </c>
      <c r="P165">
        <v>0.93141534627355804</v>
      </c>
      <c r="Q165" s="2">
        <v>41.263031310170497</v>
      </c>
    </row>
    <row r="166" spans="1:17" x14ac:dyDescent="0.2">
      <c r="A166">
        <v>4</v>
      </c>
      <c r="B166" t="s">
        <v>13</v>
      </c>
      <c r="C166" s="7" t="str">
        <f>IF(B166="Smartphone", "Electronics", IF(B166="Laptop", "Computing", IF(B166="Tablet", "Mobile", IF(B166="Smartwatch", "Wearables", IF(B166="Headphones", "Audio", "Photography")))))</f>
        <v>Wearables</v>
      </c>
      <c r="D166" s="1">
        <v>44075</v>
      </c>
      <c r="E166" s="13" t="str">
        <f>IF(OR(MONTH(D166)=9, MONTH(D166)=10, MONTH(D166)=11), "Spring",
 IF(OR(MONTH(D166)=12, MONTH(D166)=1, MONTH(D166)=2), "Summer",
 IF(OR(MONTH(D166)=3, MONTH(D166)=4, MONTH(D166)=5), "Autumn",
 IF(OR(MONTH(D166)=6, MONTH(D166)=7, MONTH(D166)=8), "Winter", "Unknown"
))))</f>
        <v>Spring</v>
      </c>
      <c r="F166">
        <v>88</v>
      </c>
      <c r="G166">
        <v>200</v>
      </c>
      <c r="H166" s="7">
        <f>F166+G166</f>
        <v>288</v>
      </c>
      <c r="I166">
        <v>199</v>
      </c>
      <c r="J166" s="7">
        <f t="shared" si="7"/>
        <v>89</v>
      </c>
      <c r="K166">
        <v>1</v>
      </c>
      <c r="L166" s="75">
        <f>IF(B166="Camera",$T$13, IF(B166="Headphones",$U$13, IF(B166="Laptop",$V$13, IF(B166="Smartphone",$W$13, IF(B166="Smartwatch",$X$13,$Y$13)))))</f>
        <v>363.12350657108726</v>
      </c>
      <c r="M166" s="75">
        <f t="shared" si="8"/>
        <v>362.12350657108726</v>
      </c>
      <c r="N166" s="32">
        <f>I166/((F166+K166)/2)</f>
        <v>4.4719101123595504</v>
      </c>
      <c r="O166">
        <v>4</v>
      </c>
      <c r="P166">
        <v>0.88304773483951304</v>
      </c>
      <c r="Q166" s="2">
        <v>45.156800021512403</v>
      </c>
    </row>
    <row r="167" spans="1:17" x14ac:dyDescent="0.2">
      <c r="A167">
        <v>4</v>
      </c>
      <c r="B167" t="s">
        <v>13</v>
      </c>
      <c r="C167" s="7" t="str">
        <f>IF(B167="Smartphone", "Electronics", IF(B167="Laptop", "Computing", IF(B167="Tablet", "Mobile", IF(B167="Smartwatch", "Wearables", IF(B167="Headphones", "Audio", "Photography")))))</f>
        <v>Wearables</v>
      </c>
      <c r="D167" s="1">
        <v>44105</v>
      </c>
      <c r="E167" s="13" t="str">
        <f>IF(OR(MONTH(D167)=9, MONTH(D167)=10, MONTH(D167)=11), "Spring",
 IF(OR(MONTH(D167)=12, MONTH(D167)=1, MONTH(D167)=2), "Summer",
 IF(OR(MONTH(D167)=3, MONTH(D167)=4, MONTH(D167)=5), "Autumn",
 IF(OR(MONTH(D167)=6, MONTH(D167)=7, MONTH(D167)=8), "Winter", "Unknown"
))))</f>
        <v>Spring</v>
      </c>
      <c r="F167">
        <v>71</v>
      </c>
      <c r="G167">
        <v>307</v>
      </c>
      <c r="H167" s="7">
        <f>F167+G167</f>
        <v>378</v>
      </c>
      <c r="I167">
        <v>298</v>
      </c>
      <c r="J167" s="7">
        <f t="shared" si="7"/>
        <v>80</v>
      </c>
      <c r="K167">
        <v>9</v>
      </c>
      <c r="L167" s="75">
        <f>IF(B167="Camera",$T$13, IF(B167="Headphones",$U$13, IF(B167="Laptop",$V$13, IF(B167="Smartphone",$W$13, IF(B167="Smartwatch",$X$13,$Y$13)))))</f>
        <v>363.12350657108726</v>
      </c>
      <c r="M167" s="75">
        <f t="shared" si="8"/>
        <v>354.12350657108726</v>
      </c>
      <c r="N167" s="32">
        <f>I167/((F167+K167)/2)</f>
        <v>7.45</v>
      </c>
      <c r="O167">
        <v>26</v>
      </c>
      <c r="P167">
        <v>0.88290561319143501</v>
      </c>
      <c r="Q167" s="2">
        <v>121.309993057863</v>
      </c>
    </row>
    <row r="168" spans="1:17" x14ac:dyDescent="0.2">
      <c r="A168">
        <v>4</v>
      </c>
      <c r="B168" t="s">
        <v>13</v>
      </c>
      <c r="C168" s="7" t="str">
        <f>IF(B168="Smartphone", "Electronics", IF(B168="Laptop", "Computing", IF(B168="Tablet", "Mobile", IF(B168="Smartwatch", "Wearables", IF(B168="Headphones", "Audio", "Photography")))))</f>
        <v>Wearables</v>
      </c>
      <c r="D168" s="1">
        <v>44136</v>
      </c>
      <c r="E168" s="13" t="str">
        <f>IF(OR(MONTH(D168)=9, MONTH(D168)=10, MONTH(D168)=11), "Spring",
 IF(OR(MONTH(D168)=12, MONTH(D168)=1, MONTH(D168)=2), "Summer",
 IF(OR(MONTH(D168)=3, MONTH(D168)=4, MONTH(D168)=5), "Autumn",
 IF(OR(MONTH(D168)=6, MONTH(D168)=7, MONTH(D168)=8), "Winter", "Unknown"
))))</f>
        <v>Spring</v>
      </c>
      <c r="F168">
        <v>65</v>
      </c>
      <c r="G168">
        <v>239</v>
      </c>
      <c r="H168" s="7">
        <f>F168+G168</f>
        <v>304</v>
      </c>
      <c r="I168">
        <v>193</v>
      </c>
      <c r="J168" s="7">
        <f t="shared" si="7"/>
        <v>111</v>
      </c>
      <c r="K168">
        <v>46</v>
      </c>
      <c r="L168" s="75">
        <f>IF(B168="Camera",$T$13, IF(B168="Headphones",$U$13, IF(B168="Laptop",$V$13, IF(B168="Smartphone",$W$13, IF(B168="Smartwatch",$X$13,$Y$13)))))</f>
        <v>363.12350657108726</v>
      </c>
      <c r="M168" s="75">
        <f t="shared" si="8"/>
        <v>317.12350657108726</v>
      </c>
      <c r="N168" s="32">
        <f>I168/((F168+K168)/2)</f>
        <v>3.4774774774774775</v>
      </c>
      <c r="O168">
        <v>7</v>
      </c>
      <c r="P168">
        <v>0.929179423498663</v>
      </c>
      <c r="Q168" s="2">
        <v>167.02903323545701</v>
      </c>
    </row>
    <row r="169" spans="1:17" x14ac:dyDescent="0.2">
      <c r="A169">
        <v>4</v>
      </c>
      <c r="B169" t="s">
        <v>13</v>
      </c>
      <c r="C169" s="7" t="str">
        <f>IF(B169="Smartphone", "Electronics", IF(B169="Laptop", "Computing", IF(B169="Tablet", "Mobile", IF(B169="Smartwatch", "Wearables", IF(B169="Headphones", "Audio", "Photography")))))</f>
        <v>Wearables</v>
      </c>
      <c r="D169" s="1">
        <v>44166</v>
      </c>
      <c r="E169" s="13" t="str">
        <f>IF(OR(MONTH(D169)=9, MONTH(D169)=10, MONTH(D169)=11), "Spring",
 IF(OR(MONTH(D169)=12, MONTH(D169)=1, MONTH(D169)=2), "Summer",
 IF(OR(MONTH(D169)=3, MONTH(D169)=4, MONTH(D169)=5), "Autumn",
 IF(OR(MONTH(D169)=6, MONTH(D169)=7, MONTH(D169)=8), "Winter", "Unknown"
))))</f>
        <v>Summer</v>
      </c>
      <c r="F169">
        <v>48</v>
      </c>
      <c r="G169">
        <v>468</v>
      </c>
      <c r="H169" s="7">
        <f>F169+G169</f>
        <v>516</v>
      </c>
      <c r="I169">
        <v>453</v>
      </c>
      <c r="J169" s="7">
        <f t="shared" si="7"/>
        <v>63</v>
      </c>
      <c r="K169">
        <v>15</v>
      </c>
      <c r="L169" s="75">
        <f>IF(B169="Camera",$T$13, IF(B169="Headphones",$U$13, IF(B169="Laptop",$V$13, IF(B169="Smartphone",$W$13, IF(B169="Smartwatch",$X$13,$Y$13)))))</f>
        <v>363.12350657108726</v>
      </c>
      <c r="M169" s="75">
        <f t="shared" si="8"/>
        <v>348.12350657108726</v>
      </c>
      <c r="N169" s="32">
        <f>I169/((F169+K169)/2)</f>
        <v>14.380952380952381</v>
      </c>
      <c r="O169">
        <v>28</v>
      </c>
      <c r="P169">
        <v>0.94090935680529497</v>
      </c>
      <c r="Q169" s="2">
        <v>109.474317110116</v>
      </c>
    </row>
    <row r="170" spans="1:17" x14ac:dyDescent="0.2">
      <c r="A170">
        <v>4</v>
      </c>
      <c r="B170" t="s">
        <v>13</v>
      </c>
      <c r="C170" s="7" t="str">
        <f>IF(B170="Smartphone", "Electronics", IF(B170="Laptop", "Computing", IF(B170="Tablet", "Mobile", IF(B170="Smartwatch", "Wearables", IF(B170="Headphones", "Audio", "Photography")))))</f>
        <v>Wearables</v>
      </c>
      <c r="D170" s="1">
        <v>44197</v>
      </c>
      <c r="E170" s="13" t="str">
        <f>IF(OR(MONTH(D170)=9, MONTH(D170)=10, MONTH(D170)=11), "Spring",
 IF(OR(MONTH(D170)=12, MONTH(D170)=1, MONTH(D170)=2), "Summer",
 IF(OR(MONTH(D170)=3, MONTH(D170)=4, MONTH(D170)=5), "Autumn",
 IF(OR(MONTH(D170)=6, MONTH(D170)=7, MONTH(D170)=8), "Winter", "Unknown"
))))</f>
        <v>Summer</v>
      </c>
      <c r="F170">
        <v>40</v>
      </c>
      <c r="G170">
        <v>150</v>
      </c>
      <c r="H170" s="7">
        <f>F170+G170</f>
        <v>190</v>
      </c>
      <c r="I170">
        <v>92</v>
      </c>
      <c r="J170" s="7">
        <f t="shared" si="7"/>
        <v>98</v>
      </c>
      <c r="K170">
        <v>85</v>
      </c>
      <c r="L170" s="75">
        <f>IF(B170="Camera",$T$13, IF(B170="Headphones",$U$13, IF(B170="Laptop",$V$13, IF(B170="Smartphone",$W$13, IF(B170="Smartwatch",$X$13,$Y$13)))))</f>
        <v>363.12350657108726</v>
      </c>
      <c r="M170" s="75">
        <f t="shared" si="8"/>
        <v>278.12350657108726</v>
      </c>
      <c r="N170" s="32">
        <f>I170/((F170+K170)/2)</f>
        <v>1.472</v>
      </c>
      <c r="O170">
        <v>7</v>
      </c>
      <c r="P170">
        <v>0.81309097638317196</v>
      </c>
      <c r="Q170" s="2">
        <v>64.809087332883706</v>
      </c>
    </row>
    <row r="171" spans="1:17" x14ac:dyDescent="0.2">
      <c r="A171">
        <v>4</v>
      </c>
      <c r="B171" t="s">
        <v>13</v>
      </c>
      <c r="C171" s="7" t="str">
        <f>IF(B171="Smartphone", "Electronics", IF(B171="Laptop", "Computing", IF(B171="Tablet", "Mobile", IF(B171="Smartwatch", "Wearables", IF(B171="Headphones", "Audio", "Photography")))))</f>
        <v>Wearables</v>
      </c>
      <c r="D171" s="1">
        <v>44228</v>
      </c>
      <c r="E171" s="13" t="str">
        <f>IF(OR(MONTH(D171)=9, MONTH(D171)=10, MONTH(D171)=11), "Spring",
 IF(OR(MONTH(D171)=12, MONTH(D171)=1, MONTH(D171)=2), "Summer",
 IF(OR(MONTH(D171)=3, MONTH(D171)=4, MONTH(D171)=5), "Autumn",
 IF(OR(MONTH(D171)=6, MONTH(D171)=7, MONTH(D171)=8), "Winter", "Unknown"
))))</f>
        <v>Summer</v>
      </c>
      <c r="F171">
        <v>75</v>
      </c>
      <c r="G171">
        <v>215</v>
      </c>
      <c r="H171" s="7">
        <f>F171+G171</f>
        <v>290</v>
      </c>
      <c r="I171">
        <v>261</v>
      </c>
      <c r="J171" s="7">
        <f t="shared" si="7"/>
        <v>29</v>
      </c>
      <c r="K171">
        <v>87</v>
      </c>
      <c r="L171" s="75">
        <f>IF(B171="Camera",$T$13, IF(B171="Headphones",$U$13, IF(B171="Laptop",$V$13, IF(B171="Smartphone",$W$13, IF(B171="Smartwatch",$X$13,$Y$13)))))</f>
        <v>363.12350657108726</v>
      </c>
      <c r="M171" s="75">
        <f t="shared" si="8"/>
        <v>276.12350657108726</v>
      </c>
      <c r="N171" s="32">
        <f>I171/((F171+K171)/2)</f>
        <v>3.2222222222222223</v>
      </c>
      <c r="O171">
        <v>5</v>
      </c>
      <c r="P171">
        <v>0.82308150005159397</v>
      </c>
      <c r="Q171" s="2">
        <v>47.894323331075803</v>
      </c>
    </row>
    <row r="172" spans="1:17" x14ac:dyDescent="0.2">
      <c r="A172">
        <v>4</v>
      </c>
      <c r="B172" t="s">
        <v>13</v>
      </c>
      <c r="C172" s="7" t="str">
        <f>IF(B172="Smartphone", "Electronics", IF(B172="Laptop", "Computing", IF(B172="Tablet", "Mobile", IF(B172="Smartwatch", "Wearables", IF(B172="Headphones", "Audio", "Photography")))))</f>
        <v>Wearables</v>
      </c>
      <c r="D172" s="1">
        <v>44256</v>
      </c>
      <c r="E172" s="13" t="str">
        <f>IF(OR(MONTH(D172)=9, MONTH(D172)=10, MONTH(D172)=11), "Spring",
 IF(OR(MONTH(D172)=12, MONTH(D172)=1, MONTH(D172)=2), "Summer",
 IF(OR(MONTH(D172)=3, MONTH(D172)=4, MONTH(D172)=5), "Autumn",
 IF(OR(MONTH(D172)=6, MONTH(D172)=7, MONTH(D172)=8), "Winter", "Unknown"
))))</f>
        <v>Autumn</v>
      </c>
      <c r="F172">
        <v>41</v>
      </c>
      <c r="G172">
        <v>207</v>
      </c>
      <c r="H172" s="7">
        <f>F172+G172</f>
        <v>248</v>
      </c>
      <c r="I172">
        <v>178</v>
      </c>
      <c r="J172" s="7">
        <f t="shared" si="7"/>
        <v>70</v>
      </c>
      <c r="K172">
        <v>29</v>
      </c>
      <c r="L172" s="75">
        <f>IF(B172="Camera",$T$13, IF(B172="Headphones",$U$13, IF(B172="Laptop",$V$13, IF(B172="Smartphone",$W$13, IF(B172="Smartwatch",$X$13,$Y$13)))))</f>
        <v>363.12350657108726</v>
      </c>
      <c r="M172" s="75">
        <f t="shared" si="8"/>
        <v>334.12350657108726</v>
      </c>
      <c r="N172" s="32">
        <f>I172/((F172+K172)/2)</f>
        <v>5.0857142857142854</v>
      </c>
      <c r="O172">
        <v>24</v>
      </c>
      <c r="P172">
        <v>1</v>
      </c>
      <c r="Q172" s="2">
        <v>50.6281303575972</v>
      </c>
    </row>
    <row r="173" spans="1:17" x14ac:dyDescent="0.2">
      <c r="A173">
        <v>4</v>
      </c>
      <c r="B173" t="s">
        <v>13</v>
      </c>
      <c r="C173" s="7" t="str">
        <f>IF(B173="Smartphone", "Electronics", IF(B173="Laptop", "Computing", IF(B173="Tablet", "Mobile", IF(B173="Smartwatch", "Wearables", IF(B173="Headphones", "Audio", "Photography")))))</f>
        <v>Wearables</v>
      </c>
      <c r="D173" s="1">
        <v>44287</v>
      </c>
      <c r="E173" s="13" t="str">
        <f>IF(OR(MONTH(D173)=9, MONTH(D173)=10, MONTH(D173)=11), "Spring",
 IF(OR(MONTH(D173)=12, MONTH(D173)=1, MONTH(D173)=2), "Summer",
 IF(OR(MONTH(D173)=3, MONTH(D173)=4, MONTH(D173)=5), "Autumn",
 IF(OR(MONTH(D173)=6, MONTH(D173)=7, MONTH(D173)=8), "Winter", "Unknown"
))))</f>
        <v>Autumn</v>
      </c>
      <c r="F173">
        <v>34</v>
      </c>
      <c r="G173">
        <v>63</v>
      </c>
      <c r="H173" s="7">
        <f>F173+G173</f>
        <v>97</v>
      </c>
      <c r="I173">
        <v>0</v>
      </c>
      <c r="J173" s="7">
        <f t="shared" si="7"/>
        <v>97</v>
      </c>
      <c r="K173">
        <v>63</v>
      </c>
      <c r="L173" s="75">
        <f>IF(B173="Camera",$T$13, IF(B173="Headphones",$U$13, IF(B173="Laptop",$V$13, IF(B173="Smartphone",$W$13, IF(B173="Smartwatch",$X$13,$Y$13)))))</f>
        <v>363.12350657108726</v>
      </c>
      <c r="M173" s="75">
        <f t="shared" si="8"/>
        <v>300.12350657108726</v>
      </c>
      <c r="N173" s="32">
        <f>I173/((F173+K173)/2)</f>
        <v>0</v>
      </c>
      <c r="O173">
        <v>28</v>
      </c>
      <c r="P173">
        <v>0.90948140616527196</v>
      </c>
      <c r="Q173" s="2">
        <v>69.494627002111102</v>
      </c>
    </row>
    <row r="174" spans="1:17" x14ac:dyDescent="0.2">
      <c r="A174">
        <v>4</v>
      </c>
      <c r="B174" t="s">
        <v>13</v>
      </c>
      <c r="C174" s="7" t="str">
        <f>IF(B174="Smartphone", "Electronics", IF(B174="Laptop", "Computing", IF(B174="Tablet", "Mobile", IF(B174="Smartwatch", "Wearables", IF(B174="Headphones", "Audio", "Photography")))))</f>
        <v>Wearables</v>
      </c>
      <c r="D174" s="1">
        <v>44317</v>
      </c>
      <c r="E174" s="13" t="str">
        <f>IF(OR(MONTH(D174)=9, MONTH(D174)=10, MONTH(D174)=11), "Spring",
 IF(OR(MONTH(D174)=12, MONTH(D174)=1, MONTH(D174)=2), "Summer",
 IF(OR(MONTH(D174)=3, MONTH(D174)=4, MONTH(D174)=5), "Autumn",
 IF(OR(MONTH(D174)=6, MONTH(D174)=7, MONTH(D174)=8), "Winter", "Unknown"
))))</f>
        <v>Autumn</v>
      </c>
      <c r="F174">
        <v>86</v>
      </c>
      <c r="G174">
        <v>396</v>
      </c>
      <c r="H174" s="7">
        <f>F174+G174</f>
        <v>482</v>
      </c>
      <c r="I174">
        <v>530</v>
      </c>
      <c r="J174" s="7">
        <f t="shared" si="7"/>
        <v>-48</v>
      </c>
      <c r="K174">
        <v>45</v>
      </c>
      <c r="L174" s="75">
        <f>IF(B174="Camera",$T$13, IF(B174="Headphones",$U$13, IF(B174="Laptop",$V$13, IF(B174="Smartphone",$W$13, IF(B174="Smartwatch",$X$13,$Y$13)))))</f>
        <v>363.12350657108726</v>
      </c>
      <c r="M174" s="75">
        <f t="shared" si="8"/>
        <v>318.12350657108726</v>
      </c>
      <c r="N174" s="32">
        <f>I174/((F174+K174)/2)</f>
        <v>8.0916030534351151</v>
      </c>
      <c r="O174">
        <v>24</v>
      </c>
      <c r="P174">
        <v>0.89151829404524197</v>
      </c>
      <c r="Q174" s="2">
        <v>9.9556138180666505</v>
      </c>
    </row>
    <row r="175" spans="1:17" x14ac:dyDescent="0.2">
      <c r="A175">
        <v>4</v>
      </c>
      <c r="B175" t="s">
        <v>13</v>
      </c>
      <c r="C175" s="7" t="str">
        <f>IF(B175="Smartphone", "Electronics", IF(B175="Laptop", "Computing", IF(B175="Tablet", "Mobile", IF(B175="Smartwatch", "Wearables", IF(B175="Headphones", "Audio", "Photography")))))</f>
        <v>Wearables</v>
      </c>
      <c r="D175" s="1">
        <v>44348</v>
      </c>
      <c r="E175" s="13" t="str">
        <f>IF(OR(MONTH(D175)=9, MONTH(D175)=10, MONTH(D175)=11), "Spring",
 IF(OR(MONTH(D175)=12, MONTH(D175)=1, MONTH(D175)=2), "Summer",
 IF(OR(MONTH(D175)=3, MONTH(D175)=4, MONTH(D175)=5), "Autumn",
 IF(OR(MONTH(D175)=6, MONTH(D175)=7, MONTH(D175)=8), "Winter", "Unknown"
))))</f>
        <v>Winter</v>
      </c>
      <c r="F175">
        <v>26</v>
      </c>
      <c r="G175">
        <v>315</v>
      </c>
      <c r="H175" s="7">
        <f>F175+G175</f>
        <v>341</v>
      </c>
      <c r="I175">
        <v>226</v>
      </c>
      <c r="J175" s="7">
        <f t="shared" si="7"/>
        <v>115</v>
      </c>
      <c r="K175">
        <v>89</v>
      </c>
      <c r="L175" s="75">
        <f>IF(B175="Camera",$T$13, IF(B175="Headphones",$U$13, IF(B175="Laptop",$V$13, IF(B175="Smartphone",$W$13, IF(B175="Smartwatch",$X$13,$Y$13)))))</f>
        <v>363.12350657108726</v>
      </c>
      <c r="M175" s="75">
        <f t="shared" si="8"/>
        <v>274.12350657108726</v>
      </c>
      <c r="N175" s="32">
        <f>I175/((F175+K175)/2)</f>
        <v>3.9304347826086956</v>
      </c>
      <c r="O175">
        <v>4</v>
      </c>
      <c r="P175">
        <v>0.92052379219472202</v>
      </c>
      <c r="Q175" s="2">
        <v>59.522487254195298</v>
      </c>
    </row>
    <row r="176" spans="1:17" x14ac:dyDescent="0.2">
      <c r="A176">
        <v>4</v>
      </c>
      <c r="B176" t="s">
        <v>13</v>
      </c>
      <c r="C176" s="7" t="str">
        <f>IF(B176="Smartphone", "Electronics", IF(B176="Laptop", "Computing", IF(B176="Tablet", "Mobile", IF(B176="Smartwatch", "Wearables", IF(B176="Headphones", "Audio", "Photography")))))</f>
        <v>Wearables</v>
      </c>
      <c r="D176" s="1">
        <v>44378</v>
      </c>
      <c r="E176" s="13" t="str">
        <f>IF(OR(MONTH(D176)=9, MONTH(D176)=10, MONTH(D176)=11), "Spring",
 IF(OR(MONTH(D176)=12, MONTH(D176)=1, MONTH(D176)=2), "Summer",
 IF(OR(MONTH(D176)=3, MONTH(D176)=4, MONTH(D176)=5), "Autumn",
 IF(OR(MONTH(D176)=6, MONTH(D176)=7, MONTH(D176)=8), "Winter", "Unknown"
))))</f>
        <v>Winter</v>
      </c>
      <c r="F176">
        <v>82</v>
      </c>
      <c r="G176">
        <v>338</v>
      </c>
      <c r="H176" s="7">
        <f>F176+G176</f>
        <v>420</v>
      </c>
      <c r="I176">
        <v>285</v>
      </c>
      <c r="J176" s="7">
        <f t="shared" si="7"/>
        <v>135</v>
      </c>
      <c r="K176">
        <v>53</v>
      </c>
      <c r="L176" s="75">
        <f>IF(B176="Camera",$T$13, IF(B176="Headphones",$U$13, IF(B176="Laptop",$V$13, IF(B176="Smartphone",$W$13, IF(B176="Smartwatch",$X$13,$Y$13)))))</f>
        <v>363.12350657108726</v>
      </c>
      <c r="M176" s="75">
        <f t="shared" si="8"/>
        <v>310.12350657108726</v>
      </c>
      <c r="N176" s="32">
        <f>I176/((F176+K176)/2)</f>
        <v>4.2222222222222223</v>
      </c>
      <c r="O176">
        <v>17</v>
      </c>
      <c r="P176">
        <v>0.85980114631796301</v>
      </c>
      <c r="Q176" s="2">
        <v>58.6740960577376</v>
      </c>
    </row>
    <row r="177" spans="1:17" x14ac:dyDescent="0.2">
      <c r="A177">
        <v>4</v>
      </c>
      <c r="B177" t="s">
        <v>13</v>
      </c>
      <c r="C177" s="7" t="str">
        <f>IF(B177="Smartphone", "Electronics", IF(B177="Laptop", "Computing", IF(B177="Tablet", "Mobile", IF(B177="Smartwatch", "Wearables", IF(B177="Headphones", "Audio", "Photography")))))</f>
        <v>Wearables</v>
      </c>
      <c r="D177" s="1">
        <v>44409</v>
      </c>
      <c r="E177" s="13" t="str">
        <f>IF(OR(MONTH(D177)=9, MONTH(D177)=10, MONTH(D177)=11), "Spring",
 IF(OR(MONTH(D177)=12, MONTH(D177)=1, MONTH(D177)=2), "Summer",
 IF(OR(MONTH(D177)=3, MONTH(D177)=4, MONTH(D177)=5), "Autumn",
 IF(OR(MONTH(D177)=6, MONTH(D177)=7, MONTH(D177)=8), "Winter", "Unknown"
))))</f>
        <v>Winter</v>
      </c>
      <c r="F177">
        <v>14</v>
      </c>
      <c r="G177">
        <v>385</v>
      </c>
      <c r="H177" s="7">
        <f>F177+G177</f>
        <v>399</v>
      </c>
      <c r="I177">
        <v>290</v>
      </c>
      <c r="J177" s="7">
        <f t="shared" si="7"/>
        <v>109</v>
      </c>
      <c r="K177">
        <v>95</v>
      </c>
      <c r="L177" s="75">
        <f>IF(B177="Camera",$T$13, IF(B177="Headphones",$U$13, IF(B177="Laptop",$V$13, IF(B177="Smartphone",$W$13, IF(B177="Smartwatch",$X$13,$Y$13)))))</f>
        <v>363.12350657108726</v>
      </c>
      <c r="M177" s="75">
        <f t="shared" si="8"/>
        <v>268.12350657108726</v>
      </c>
      <c r="N177" s="32">
        <f>I177/((F177+K177)/2)</f>
        <v>5.3211009174311927</v>
      </c>
      <c r="O177">
        <v>27</v>
      </c>
      <c r="P177">
        <v>0.95558592837620904</v>
      </c>
      <c r="Q177" s="2">
        <v>10.190156365221</v>
      </c>
    </row>
    <row r="178" spans="1:17" x14ac:dyDescent="0.2">
      <c r="A178">
        <v>4</v>
      </c>
      <c r="B178" t="s">
        <v>13</v>
      </c>
      <c r="C178" s="7" t="str">
        <f>IF(B178="Smartphone", "Electronics", IF(B178="Laptop", "Computing", IF(B178="Tablet", "Mobile", IF(B178="Smartwatch", "Wearables", IF(B178="Headphones", "Audio", "Photography")))))</f>
        <v>Wearables</v>
      </c>
      <c r="D178" s="1">
        <v>44440</v>
      </c>
      <c r="E178" s="13" t="str">
        <f>IF(OR(MONTH(D178)=9, MONTH(D178)=10, MONTH(D178)=11), "Spring",
 IF(OR(MONTH(D178)=12, MONTH(D178)=1, MONTH(D178)=2), "Summer",
 IF(OR(MONTH(D178)=3, MONTH(D178)=4, MONTH(D178)=5), "Autumn",
 IF(OR(MONTH(D178)=6, MONTH(D178)=7, MONTH(D178)=8), "Winter", "Unknown"
))))</f>
        <v>Spring</v>
      </c>
      <c r="F178">
        <v>1</v>
      </c>
      <c r="G178">
        <v>474</v>
      </c>
      <c r="H178" s="7">
        <f>F178+G178</f>
        <v>475</v>
      </c>
      <c r="I178">
        <v>466</v>
      </c>
      <c r="J178" s="7">
        <f t="shared" si="7"/>
        <v>9</v>
      </c>
      <c r="K178">
        <v>8</v>
      </c>
      <c r="L178" s="75">
        <f>IF(B178="Camera",$T$13, IF(B178="Headphones",$U$13, IF(B178="Laptop",$V$13, IF(B178="Smartphone",$W$13, IF(B178="Smartwatch",$X$13,$Y$13)))))</f>
        <v>363.12350657108726</v>
      </c>
      <c r="M178" s="75">
        <f t="shared" si="8"/>
        <v>355.12350657108726</v>
      </c>
      <c r="N178" s="32">
        <f>I178/((F178+K178)/2)</f>
        <v>103.55555555555556</v>
      </c>
      <c r="O178">
        <v>28</v>
      </c>
      <c r="P178">
        <v>0.96693108671952199</v>
      </c>
      <c r="Q178" s="2">
        <v>46.268139921801001</v>
      </c>
    </row>
    <row r="179" spans="1:17" x14ac:dyDescent="0.2">
      <c r="A179">
        <v>4</v>
      </c>
      <c r="B179" t="s">
        <v>13</v>
      </c>
      <c r="C179" s="7" t="str">
        <f>IF(B179="Smartphone", "Electronics", IF(B179="Laptop", "Computing", IF(B179="Tablet", "Mobile", IF(B179="Smartwatch", "Wearables", IF(B179="Headphones", "Audio", "Photography")))))</f>
        <v>Wearables</v>
      </c>
      <c r="D179" s="1">
        <v>44470</v>
      </c>
      <c r="E179" s="13" t="str">
        <f>IF(OR(MONTH(D179)=9, MONTH(D179)=10, MONTH(D179)=11), "Spring",
 IF(OR(MONTH(D179)=12, MONTH(D179)=1, MONTH(D179)=2), "Summer",
 IF(OR(MONTH(D179)=3, MONTH(D179)=4, MONTH(D179)=5), "Autumn",
 IF(OR(MONTH(D179)=6, MONTH(D179)=7, MONTH(D179)=8), "Winter", "Unknown"
))))</f>
        <v>Spring</v>
      </c>
      <c r="F179">
        <v>9</v>
      </c>
      <c r="G179">
        <v>454</v>
      </c>
      <c r="H179" s="7">
        <f>F179+G179</f>
        <v>463</v>
      </c>
      <c r="I179">
        <v>325</v>
      </c>
      <c r="J179" s="7">
        <f t="shared" si="7"/>
        <v>138</v>
      </c>
      <c r="K179">
        <v>129</v>
      </c>
      <c r="L179" s="75">
        <f>IF(B179="Camera",$T$13, IF(B179="Headphones",$U$13, IF(B179="Laptop",$V$13, IF(B179="Smartphone",$W$13, IF(B179="Smartwatch",$X$13,$Y$13)))))</f>
        <v>363.12350657108726</v>
      </c>
      <c r="M179" s="75">
        <f t="shared" si="8"/>
        <v>234.12350657108726</v>
      </c>
      <c r="N179" s="32">
        <f>I179/((F179+K179)/2)</f>
        <v>4.7101449275362315</v>
      </c>
      <c r="O179">
        <v>4</v>
      </c>
      <c r="P179">
        <v>0.92865660263462402</v>
      </c>
      <c r="Q179" s="2">
        <v>38.403486457617298</v>
      </c>
    </row>
    <row r="180" spans="1:17" x14ac:dyDescent="0.2">
      <c r="A180">
        <v>4</v>
      </c>
      <c r="B180" t="s">
        <v>13</v>
      </c>
      <c r="C180" s="7" t="str">
        <f>IF(B180="Smartphone", "Electronics", IF(B180="Laptop", "Computing", IF(B180="Tablet", "Mobile", IF(B180="Smartwatch", "Wearables", IF(B180="Headphones", "Audio", "Photography")))))</f>
        <v>Wearables</v>
      </c>
      <c r="D180" s="1">
        <v>44501</v>
      </c>
      <c r="E180" s="13" t="str">
        <f>IF(OR(MONTH(D180)=9, MONTH(D180)=10, MONTH(D180)=11), "Spring",
 IF(OR(MONTH(D180)=12, MONTH(D180)=1, MONTH(D180)=2), "Summer",
 IF(OR(MONTH(D180)=3, MONTH(D180)=4, MONTH(D180)=5), "Autumn",
 IF(OR(MONTH(D180)=6, MONTH(D180)=7, MONTH(D180)=8), "Winter", "Unknown"
))))</f>
        <v>Spring</v>
      </c>
      <c r="F180">
        <v>46</v>
      </c>
      <c r="G180">
        <v>61</v>
      </c>
      <c r="H180" s="7">
        <f>F180+G180</f>
        <v>107</v>
      </c>
      <c r="I180">
        <v>85</v>
      </c>
      <c r="J180" s="7">
        <f t="shared" si="7"/>
        <v>22</v>
      </c>
      <c r="K180">
        <v>89</v>
      </c>
      <c r="L180" s="75">
        <f>IF(B180="Camera",$T$13, IF(B180="Headphones",$U$13, IF(B180="Laptop",$V$13, IF(B180="Smartphone",$W$13, IF(B180="Smartwatch",$X$13,$Y$13)))))</f>
        <v>363.12350657108726</v>
      </c>
      <c r="M180" s="75">
        <f t="shared" si="8"/>
        <v>274.12350657108726</v>
      </c>
      <c r="N180" s="32">
        <f>I180/((F180+K180)/2)</f>
        <v>1.2592592592592593</v>
      </c>
      <c r="O180">
        <v>6</v>
      </c>
      <c r="P180">
        <v>0.99823475239844495</v>
      </c>
      <c r="Q180" s="2">
        <v>44.038389136708197</v>
      </c>
    </row>
    <row r="181" spans="1:17" x14ac:dyDescent="0.2">
      <c r="A181">
        <v>4</v>
      </c>
      <c r="B181" t="s">
        <v>13</v>
      </c>
      <c r="C181" s="7" t="str">
        <f>IF(B181="Smartphone", "Electronics", IF(B181="Laptop", "Computing", IF(B181="Tablet", "Mobile", IF(B181="Smartwatch", "Wearables", IF(B181="Headphones", "Audio", "Photography")))))</f>
        <v>Wearables</v>
      </c>
      <c r="D181" s="1">
        <v>44531</v>
      </c>
      <c r="E181" s="13" t="str">
        <f>IF(OR(MONTH(D181)=9, MONTH(D181)=10, MONTH(D181)=11), "Spring",
 IF(OR(MONTH(D181)=12, MONTH(D181)=1, MONTH(D181)=2), "Summer",
 IF(OR(MONTH(D181)=3, MONTH(D181)=4, MONTH(D181)=5), "Autumn",
 IF(OR(MONTH(D181)=6, MONTH(D181)=7, MONTH(D181)=8), "Winter", "Unknown"
))))</f>
        <v>Summer</v>
      </c>
      <c r="F181">
        <v>15</v>
      </c>
      <c r="G181">
        <v>80</v>
      </c>
      <c r="H181" s="7">
        <f>F181+G181</f>
        <v>95</v>
      </c>
      <c r="I181">
        <v>132</v>
      </c>
      <c r="J181" s="7">
        <f t="shared" si="7"/>
        <v>-37</v>
      </c>
      <c r="K181">
        <v>72</v>
      </c>
      <c r="L181" s="75">
        <f>IF(B181="Camera",$T$13, IF(B181="Headphones",$U$13, IF(B181="Laptop",$V$13, IF(B181="Smartphone",$W$13, IF(B181="Smartwatch",$X$13,$Y$13)))))</f>
        <v>363.12350657108726</v>
      </c>
      <c r="M181" s="75">
        <f t="shared" si="8"/>
        <v>291.12350657108726</v>
      </c>
      <c r="N181" s="32">
        <f>I181/((F181+K181)/2)</f>
        <v>3.0344827586206895</v>
      </c>
      <c r="O181">
        <v>9</v>
      </c>
      <c r="P181">
        <v>0.92948610463706904</v>
      </c>
      <c r="Q181" s="2">
        <v>119.737911352681</v>
      </c>
    </row>
    <row r="182" spans="1:17" x14ac:dyDescent="0.2">
      <c r="A182">
        <v>3</v>
      </c>
      <c r="B182" t="s">
        <v>12</v>
      </c>
      <c r="C182" s="7" t="str">
        <f>IF(B182="Smartphone", "Electronics", IF(B182="Laptop", "Computing", IF(B182="Tablet", "Mobile", IF(B182="Smartwatch", "Wearables", IF(B182="Headphones", "Audio", "Photography")))))</f>
        <v>Mobile</v>
      </c>
      <c r="D182" s="1">
        <v>43466</v>
      </c>
      <c r="E182" s="13" t="str">
        <f>IF(OR(MONTH(D182)=9, MONTH(D182)=10, MONTH(D182)=11), "Spring",
 IF(OR(MONTH(D182)=12, MONTH(D182)=1, MONTH(D182)=2), "Summer",
 IF(OR(MONTH(D182)=3, MONTH(D182)=4, MONTH(D182)=5), "Autumn",
 IF(OR(MONTH(D182)=6, MONTH(D182)=7, MONTH(D182)=8), "Winter", "Unknown"
))))</f>
        <v>Summer</v>
      </c>
      <c r="F182">
        <v>92</v>
      </c>
      <c r="G182">
        <v>127</v>
      </c>
      <c r="H182" s="7">
        <f>F182+G182</f>
        <v>219</v>
      </c>
      <c r="I182">
        <v>67</v>
      </c>
      <c r="J182" s="7">
        <f t="shared" si="7"/>
        <v>152</v>
      </c>
      <c r="K182">
        <v>60</v>
      </c>
      <c r="L182" s="75">
        <f>IF(B182="Camera",$T$13, IF(B182="Headphones",$U$13, IF(B182="Laptop",$V$13, IF(B182="Smartphone",$W$13, IF(B182="Smartwatch",$X$13,$Y$13)))))</f>
        <v>384.30142373556356</v>
      </c>
      <c r="M182" s="75">
        <f t="shared" si="8"/>
        <v>324.30142373556356</v>
      </c>
      <c r="N182" s="32">
        <f>I182/((F182+K182)/2)</f>
        <v>0.88157894736842102</v>
      </c>
      <c r="O182">
        <v>12</v>
      </c>
      <c r="P182">
        <v>0.92182125647465396</v>
      </c>
      <c r="Q182" s="2">
        <v>81.324925670598702</v>
      </c>
    </row>
    <row r="183" spans="1:17" x14ac:dyDescent="0.2">
      <c r="A183">
        <v>3</v>
      </c>
      <c r="B183" t="s">
        <v>12</v>
      </c>
      <c r="C183" s="7" t="str">
        <f>IF(B183="Smartphone", "Electronics", IF(B183="Laptop", "Computing", IF(B183="Tablet", "Mobile", IF(B183="Smartwatch", "Wearables", IF(B183="Headphones", "Audio", "Photography")))))</f>
        <v>Mobile</v>
      </c>
      <c r="D183" s="1">
        <v>43497</v>
      </c>
      <c r="E183" s="13" t="str">
        <f>IF(OR(MONTH(D183)=9, MONTH(D183)=10, MONTH(D183)=11), "Spring",
 IF(OR(MONTH(D183)=12, MONTH(D183)=1, MONTH(D183)=2), "Summer",
 IF(OR(MONTH(D183)=3, MONTH(D183)=4, MONTH(D183)=5), "Autumn",
 IF(OR(MONTH(D183)=6, MONTH(D183)=7, MONTH(D183)=8), "Winter", "Unknown"
))))</f>
        <v>Summer</v>
      </c>
      <c r="F183">
        <v>90</v>
      </c>
      <c r="G183">
        <v>369</v>
      </c>
      <c r="H183" s="7">
        <f>F183+G183</f>
        <v>459</v>
      </c>
      <c r="I183">
        <v>541</v>
      </c>
      <c r="J183" s="7">
        <f t="shared" si="7"/>
        <v>-82</v>
      </c>
      <c r="K183">
        <v>2</v>
      </c>
      <c r="L183" s="75">
        <f>IF(B183="Camera",$T$13, IF(B183="Headphones",$U$13, IF(B183="Laptop",$V$13, IF(B183="Smartphone",$W$13, IF(B183="Smartwatch",$X$13,$Y$13)))))</f>
        <v>384.30142373556356</v>
      </c>
      <c r="M183" s="75">
        <f t="shared" si="8"/>
        <v>382.30142373556356</v>
      </c>
      <c r="N183" s="32">
        <f>I183/((F183+K183)/2)</f>
        <v>11.760869565217391</v>
      </c>
      <c r="O183">
        <v>3</v>
      </c>
      <c r="P183">
        <v>0.90139757276222299</v>
      </c>
      <c r="Q183" s="2">
        <v>130.66634615987499</v>
      </c>
    </row>
    <row r="184" spans="1:17" x14ac:dyDescent="0.2">
      <c r="A184">
        <v>3</v>
      </c>
      <c r="B184" t="s">
        <v>12</v>
      </c>
      <c r="C184" s="7" t="str">
        <f>IF(B184="Smartphone", "Electronics", IF(B184="Laptop", "Computing", IF(B184="Tablet", "Mobile", IF(B184="Smartwatch", "Wearables", IF(B184="Headphones", "Audio", "Photography")))))</f>
        <v>Mobile</v>
      </c>
      <c r="D184" s="1">
        <v>43525</v>
      </c>
      <c r="E184" s="13" t="str">
        <f>IF(OR(MONTH(D184)=9, MONTH(D184)=10, MONTH(D184)=11), "Spring",
 IF(OR(MONTH(D184)=12, MONTH(D184)=1, MONTH(D184)=2), "Summer",
 IF(OR(MONTH(D184)=3, MONTH(D184)=4, MONTH(D184)=5), "Autumn",
 IF(OR(MONTH(D184)=6, MONTH(D184)=7, MONTH(D184)=8), "Winter", "Unknown"
))))</f>
        <v>Autumn</v>
      </c>
      <c r="F184">
        <v>81</v>
      </c>
      <c r="G184">
        <v>91</v>
      </c>
      <c r="H184" s="7">
        <f>F184+G184</f>
        <v>172</v>
      </c>
      <c r="I184">
        <v>88</v>
      </c>
      <c r="J184" s="7">
        <f t="shared" si="7"/>
        <v>84</v>
      </c>
      <c r="K184">
        <v>36</v>
      </c>
      <c r="L184" s="75">
        <f>IF(B184="Camera",$T$13, IF(B184="Headphones",$U$13, IF(B184="Laptop",$V$13, IF(B184="Smartphone",$W$13, IF(B184="Smartwatch",$X$13,$Y$13)))))</f>
        <v>384.30142373556356</v>
      </c>
      <c r="M184" s="75">
        <f t="shared" si="8"/>
        <v>348.30142373556356</v>
      </c>
      <c r="N184" s="32">
        <f>I184/((F184+K184)/2)</f>
        <v>1.5042735042735043</v>
      </c>
      <c r="O184">
        <v>9</v>
      </c>
      <c r="P184">
        <v>0.845193848763096</v>
      </c>
      <c r="Q184" s="2">
        <v>95.479834046315105</v>
      </c>
    </row>
    <row r="185" spans="1:17" x14ac:dyDescent="0.2">
      <c r="A185">
        <v>3</v>
      </c>
      <c r="B185" t="s">
        <v>12</v>
      </c>
      <c r="C185" s="7" t="str">
        <f>IF(B185="Smartphone", "Electronics", IF(B185="Laptop", "Computing", IF(B185="Tablet", "Mobile", IF(B185="Smartwatch", "Wearables", IF(B185="Headphones", "Audio", "Photography")))))</f>
        <v>Mobile</v>
      </c>
      <c r="D185" s="1">
        <v>43556</v>
      </c>
      <c r="E185" s="13" t="str">
        <f>IF(OR(MONTH(D185)=9, MONTH(D185)=10, MONTH(D185)=11), "Spring",
 IF(OR(MONTH(D185)=12, MONTH(D185)=1, MONTH(D185)=2), "Summer",
 IF(OR(MONTH(D185)=3, MONTH(D185)=4, MONTH(D185)=5), "Autumn",
 IF(OR(MONTH(D185)=6, MONTH(D185)=7, MONTH(D185)=8), "Winter", "Unknown"
))))</f>
        <v>Autumn</v>
      </c>
      <c r="F185">
        <v>63</v>
      </c>
      <c r="G185">
        <v>268</v>
      </c>
      <c r="H185" s="7">
        <f>F185+G185</f>
        <v>331</v>
      </c>
      <c r="I185">
        <v>303</v>
      </c>
      <c r="J185" s="7">
        <f t="shared" si="7"/>
        <v>28</v>
      </c>
      <c r="K185">
        <v>89</v>
      </c>
      <c r="L185" s="75">
        <f>IF(B185="Camera",$T$13, IF(B185="Headphones",$U$13, IF(B185="Laptop",$V$13, IF(B185="Smartphone",$W$13, IF(B185="Smartwatch",$X$13,$Y$13)))))</f>
        <v>384.30142373556356</v>
      </c>
      <c r="M185" s="75">
        <f t="shared" si="8"/>
        <v>295.30142373556356</v>
      </c>
      <c r="N185" s="32">
        <f>I185/((F185+K185)/2)</f>
        <v>3.986842105263158</v>
      </c>
      <c r="O185">
        <v>8</v>
      </c>
      <c r="P185">
        <v>0.90628755862677102</v>
      </c>
      <c r="Q185" s="2">
        <v>86.932992772497698</v>
      </c>
    </row>
    <row r="186" spans="1:17" x14ac:dyDescent="0.2">
      <c r="A186">
        <v>3</v>
      </c>
      <c r="B186" t="s">
        <v>12</v>
      </c>
      <c r="C186" s="7" t="str">
        <f>IF(B186="Smartphone", "Electronics", IF(B186="Laptop", "Computing", IF(B186="Tablet", "Mobile", IF(B186="Smartwatch", "Wearables", IF(B186="Headphones", "Audio", "Photography")))))</f>
        <v>Mobile</v>
      </c>
      <c r="D186" s="1">
        <v>43586</v>
      </c>
      <c r="E186" s="13" t="str">
        <f>IF(OR(MONTH(D186)=9, MONTH(D186)=10, MONTH(D186)=11), "Spring",
 IF(OR(MONTH(D186)=12, MONTH(D186)=1, MONTH(D186)=2), "Summer",
 IF(OR(MONTH(D186)=3, MONTH(D186)=4, MONTH(D186)=5), "Autumn",
 IF(OR(MONTH(D186)=6, MONTH(D186)=7, MONTH(D186)=8), "Winter", "Unknown"
))))</f>
        <v>Autumn</v>
      </c>
      <c r="F186">
        <v>50</v>
      </c>
      <c r="G186">
        <v>151</v>
      </c>
      <c r="H186" s="7">
        <f>F186+G186</f>
        <v>201</v>
      </c>
      <c r="I186">
        <v>147</v>
      </c>
      <c r="J186" s="7">
        <f t="shared" si="7"/>
        <v>54</v>
      </c>
      <c r="K186">
        <v>4</v>
      </c>
      <c r="L186" s="75">
        <f>IF(B186="Camera",$T$13, IF(B186="Headphones",$U$13, IF(B186="Laptop",$V$13, IF(B186="Smartphone",$W$13, IF(B186="Smartwatch",$X$13,$Y$13)))))</f>
        <v>384.30142373556356</v>
      </c>
      <c r="M186" s="75">
        <f t="shared" si="8"/>
        <v>380.30142373556356</v>
      </c>
      <c r="N186" s="32">
        <f>I186/((F186+K186)/2)</f>
        <v>5.4444444444444446</v>
      </c>
      <c r="O186">
        <v>12</v>
      </c>
      <c r="P186">
        <v>1</v>
      </c>
      <c r="Q186" s="2">
        <v>86.512363418368295</v>
      </c>
    </row>
    <row r="187" spans="1:17" x14ac:dyDescent="0.2">
      <c r="A187">
        <v>3</v>
      </c>
      <c r="B187" t="s">
        <v>12</v>
      </c>
      <c r="C187" s="7" t="str">
        <f>IF(B187="Smartphone", "Electronics", IF(B187="Laptop", "Computing", IF(B187="Tablet", "Mobile", IF(B187="Smartwatch", "Wearables", IF(B187="Headphones", "Audio", "Photography")))))</f>
        <v>Mobile</v>
      </c>
      <c r="D187" s="1">
        <v>43617</v>
      </c>
      <c r="E187" s="13" t="str">
        <f>IF(OR(MONTH(D187)=9, MONTH(D187)=10, MONTH(D187)=11), "Spring",
 IF(OR(MONTH(D187)=12, MONTH(D187)=1, MONTH(D187)=2), "Summer",
 IF(OR(MONTH(D187)=3, MONTH(D187)=4, MONTH(D187)=5), "Autumn",
 IF(OR(MONTH(D187)=6, MONTH(D187)=7, MONTH(D187)=8), "Winter", "Unknown"
))))</f>
        <v>Winter</v>
      </c>
      <c r="F187">
        <v>47</v>
      </c>
      <c r="G187">
        <v>281</v>
      </c>
      <c r="H187" s="7">
        <f>F187+G187</f>
        <v>328</v>
      </c>
      <c r="I187">
        <v>246</v>
      </c>
      <c r="J187" s="7">
        <f t="shared" si="7"/>
        <v>82</v>
      </c>
      <c r="K187">
        <v>35</v>
      </c>
      <c r="L187" s="75">
        <f>IF(B187="Camera",$T$13, IF(B187="Headphones",$U$13, IF(B187="Laptop",$V$13, IF(B187="Smartphone",$W$13, IF(B187="Smartwatch",$X$13,$Y$13)))))</f>
        <v>384.30142373556356</v>
      </c>
      <c r="M187" s="75">
        <f t="shared" si="8"/>
        <v>349.30142373556356</v>
      </c>
      <c r="N187" s="32">
        <f>I187/((F187+K187)/2)</f>
        <v>6</v>
      </c>
      <c r="O187">
        <v>22</v>
      </c>
      <c r="P187">
        <v>0.92714132796595095</v>
      </c>
      <c r="Q187" s="2">
        <v>64.415640861326906</v>
      </c>
    </row>
    <row r="188" spans="1:17" x14ac:dyDescent="0.2">
      <c r="A188">
        <v>3</v>
      </c>
      <c r="B188" t="s">
        <v>12</v>
      </c>
      <c r="C188" s="7" t="str">
        <f>IF(B188="Smartphone", "Electronics", IF(B188="Laptop", "Computing", IF(B188="Tablet", "Mobile", IF(B188="Smartwatch", "Wearables", IF(B188="Headphones", "Audio", "Photography")))))</f>
        <v>Mobile</v>
      </c>
      <c r="D188" s="1">
        <v>43647</v>
      </c>
      <c r="E188" s="13" t="str">
        <f>IF(OR(MONTH(D188)=9, MONTH(D188)=10, MONTH(D188)=11), "Spring",
 IF(OR(MONTH(D188)=12, MONTH(D188)=1, MONTH(D188)=2), "Summer",
 IF(OR(MONTH(D188)=3, MONTH(D188)=4, MONTH(D188)=5), "Autumn",
 IF(OR(MONTH(D188)=6, MONTH(D188)=7, MONTH(D188)=8), "Winter", "Unknown"
))))</f>
        <v>Winter</v>
      </c>
      <c r="F188">
        <v>44</v>
      </c>
      <c r="G188">
        <v>185</v>
      </c>
      <c r="H188" s="7">
        <f>F188+G188</f>
        <v>229</v>
      </c>
      <c r="I188">
        <v>100</v>
      </c>
      <c r="J188" s="7">
        <f t="shared" si="7"/>
        <v>129</v>
      </c>
      <c r="K188">
        <v>85</v>
      </c>
      <c r="L188" s="75">
        <f>IF(B188="Camera",$T$13, IF(B188="Headphones",$U$13, IF(B188="Laptop",$V$13, IF(B188="Smartphone",$W$13, IF(B188="Smartwatch",$X$13,$Y$13)))))</f>
        <v>384.30142373556356</v>
      </c>
      <c r="M188" s="75">
        <f t="shared" si="8"/>
        <v>299.30142373556356</v>
      </c>
      <c r="N188" s="32">
        <f>I188/((F188+K188)/2)</f>
        <v>1.5503875968992249</v>
      </c>
      <c r="O188">
        <v>29</v>
      </c>
      <c r="P188">
        <v>0.908541594920664</v>
      </c>
      <c r="Q188" s="2">
        <v>237.331320149449</v>
      </c>
    </row>
    <row r="189" spans="1:17" x14ac:dyDescent="0.2">
      <c r="A189">
        <v>3</v>
      </c>
      <c r="B189" t="s">
        <v>12</v>
      </c>
      <c r="C189" s="7" t="str">
        <f>IF(B189="Smartphone", "Electronics", IF(B189="Laptop", "Computing", IF(B189="Tablet", "Mobile", IF(B189="Smartwatch", "Wearables", IF(B189="Headphones", "Audio", "Photography")))))</f>
        <v>Mobile</v>
      </c>
      <c r="D189" s="1">
        <v>43678</v>
      </c>
      <c r="E189" s="13" t="str">
        <f>IF(OR(MONTH(D189)=9, MONTH(D189)=10, MONTH(D189)=11), "Spring",
 IF(OR(MONTH(D189)=12, MONTH(D189)=1, MONTH(D189)=2), "Summer",
 IF(OR(MONTH(D189)=3, MONTH(D189)=4, MONTH(D189)=5), "Autumn",
 IF(OR(MONTH(D189)=6, MONTH(D189)=7, MONTH(D189)=8), "Winter", "Unknown"
))))</f>
        <v>Winter</v>
      </c>
      <c r="F189">
        <v>14</v>
      </c>
      <c r="G189">
        <v>318</v>
      </c>
      <c r="H189" s="7">
        <f>F189+G189</f>
        <v>332</v>
      </c>
      <c r="I189">
        <v>309</v>
      </c>
      <c r="J189" s="7">
        <f t="shared" si="7"/>
        <v>23</v>
      </c>
      <c r="K189">
        <v>9</v>
      </c>
      <c r="L189" s="75">
        <f>IF(B189="Camera",$T$13, IF(B189="Headphones",$U$13, IF(B189="Laptop",$V$13, IF(B189="Smartphone",$W$13, IF(B189="Smartwatch",$X$13,$Y$13)))))</f>
        <v>384.30142373556356</v>
      </c>
      <c r="M189" s="75">
        <f t="shared" si="8"/>
        <v>375.30142373556356</v>
      </c>
      <c r="N189" s="32">
        <f>I189/((F189+K189)/2)</f>
        <v>26.869565217391305</v>
      </c>
      <c r="O189">
        <v>15</v>
      </c>
      <c r="P189">
        <v>0.93551662481193099</v>
      </c>
      <c r="Q189" s="2">
        <v>100.182315049064</v>
      </c>
    </row>
    <row r="190" spans="1:17" x14ac:dyDescent="0.2">
      <c r="A190">
        <v>3</v>
      </c>
      <c r="B190" t="s">
        <v>12</v>
      </c>
      <c r="C190" s="7" t="str">
        <f>IF(B190="Smartphone", "Electronics", IF(B190="Laptop", "Computing", IF(B190="Tablet", "Mobile", IF(B190="Smartwatch", "Wearables", IF(B190="Headphones", "Audio", "Photography")))))</f>
        <v>Mobile</v>
      </c>
      <c r="D190" s="1">
        <v>43709</v>
      </c>
      <c r="E190" s="13" t="str">
        <f>IF(OR(MONTH(D190)=9, MONTH(D190)=10, MONTH(D190)=11), "Spring",
 IF(OR(MONTH(D190)=12, MONTH(D190)=1, MONTH(D190)=2), "Summer",
 IF(OR(MONTH(D190)=3, MONTH(D190)=4, MONTH(D190)=5), "Autumn",
 IF(OR(MONTH(D190)=6, MONTH(D190)=7, MONTH(D190)=8), "Winter", "Unknown"
))))</f>
        <v>Spring</v>
      </c>
      <c r="F190">
        <v>93</v>
      </c>
      <c r="G190">
        <v>477</v>
      </c>
      <c r="H190" s="7">
        <f>F190+G190</f>
        <v>570</v>
      </c>
      <c r="I190">
        <v>414</v>
      </c>
      <c r="J190" s="7">
        <f t="shared" si="7"/>
        <v>156</v>
      </c>
      <c r="K190">
        <v>63</v>
      </c>
      <c r="L190" s="75">
        <f>IF(B190="Camera",$T$13, IF(B190="Headphones",$U$13, IF(B190="Laptop",$V$13, IF(B190="Smartphone",$W$13, IF(B190="Smartwatch",$X$13,$Y$13)))))</f>
        <v>384.30142373556356</v>
      </c>
      <c r="M190" s="75">
        <f t="shared" si="8"/>
        <v>321.30142373556356</v>
      </c>
      <c r="N190" s="32">
        <f>I190/((F190+K190)/2)</f>
        <v>5.3076923076923075</v>
      </c>
      <c r="O190">
        <v>22</v>
      </c>
      <c r="P190">
        <v>0.86530658395959903</v>
      </c>
      <c r="Q190" s="2">
        <v>34.881387035624201</v>
      </c>
    </row>
    <row r="191" spans="1:17" x14ac:dyDescent="0.2">
      <c r="A191">
        <v>3</v>
      </c>
      <c r="B191" t="s">
        <v>12</v>
      </c>
      <c r="C191" s="7" t="str">
        <f>IF(B191="Smartphone", "Electronics", IF(B191="Laptop", "Computing", IF(B191="Tablet", "Mobile", IF(B191="Smartwatch", "Wearables", IF(B191="Headphones", "Audio", "Photography")))))</f>
        <v>Mobile</v>
      </c>
      <c r="D191" s="1">
        <v>43739</v>
      </c>
      <c r="E191" s="13" t="str">
        <f>IF(OR(MONTH(D191)=9, MONTH(D191)=10, MONTH(D191)=11), "Spring",
 IF(OR(MONTH(D191)=12, MONTH(D191)=1, MONTH(D191)=2), "Summer",
 IF(OR(MONTH(D191)=3, MONTH(D191)=4, MONTH(D191)=5), "Autumn",
 IF(OR(MONTH(D191)=6, MONTH(D191)=7, MONTH(D191)=8), "Winter", "Unknown"
))))</f>
        <v>Spring</v>
      </c>
      <c r="F191">
        <v>346</v>
      </c>
      <c r="G191">
        <v>249</v>
      </c>
      <c r="H191" s="7">
        <f>F191+G191</f>
        <v>595</v>
      </c>
      <c r="I191">
        <v>436</v>
      </c>
      <c r="J191" s="7">
        <f t="shared" si="7"/>
        <v>159</v>
      </c>
      <c r="K191">
        <v>179</v>
      </c>
      <c r="L191" s="75">
        <f>IF(B191="Camera",$T$13, IF(B191="Headphones",$U$13, IF(B191="Laptop",$V$13, IF(B191="Smartphone",$W$13, IF(B191="Smartwatch",$X$13,$Y$13)))))</f>
        <v>384.30142373556356</v>
      </c>
      <c r="M191" s="75">
        <f t="shared" si="8"/>
        <v>205.30142373556356</v>
      </c>
      <c r="N191" s="32">
        <f>I191/((F191+K191)/2)</f>
        <v>1.660952380952381</v>
      </c>
      <c r="O191">
        <v>3</v>
      </c>
      <c r="P191">
        <v>0.87026970830802397</v>
      </c>
      <c r="Q191" s="2">
        <v>70.2441937418279</v>
      </c>
    </row>
    <row r="192" spans="1:17" x14ac:dyDescent="0.2">
      <c r="A192">
        <v>3</v>
      </c>
      <c r="B192" t="s">
        <v>12</v>
      </c>
      <c r="C192" s="7" t="str">
        <f>IF(B192="Smartphone", "Electronics", IF(B192="Laptop", "Computing", IF(B192="Tablet", "Mobile", IF(B192="Smartwatch", "Wearables", IF(B192="Headphones", "Audio", "Photography")))))</f>
        <v>Mobile</v>
      </c>
      <c r="D192" s="1">
        <v>43770</v>
      </c>
      <c r="E192" s="13" t="str">
        <f>IF(OR(MONTH(D192)=9, MONTH(D192)=10, MONTH(D192)=11), "Spring",
 IF(OR(MONTH(D192)=12, MONTH(D192)=1, MONTH(D192)=2), "Summer",
 IF(OR(MONTH(D192)=3, MONTH(D192)=4, MONTH(D192)=5), "Autumn",
 IF(OR(MONTH(D192)=6, MONTH(D192)=7, MONTH(D192)=8), "Winter", "Unknown"
))))</f>
        <v>Spring</v>
      </c>
      <c r="F192">
        <v>6</v>
      </c>
      <c r="G192">
        <v>308</v>
      </c>
      <c r="H192" s="7">
        <f>F192+G192</f>
        <v>314</v>
      </c>
      <c r="I192">
        <v>254</v>
      </c>
      <c r="J192" s="7">
        <f t="shared" si="7"/>
        <v>60</v>
      </c>
      <c r="K192">
        <v>54</v>
      </c>
      <c r="L192" s="75">
        <f>IF(B192="Camera",$T$13, IF(B192="Headphones",$U$13, IF(B192="Laptop",$V$13, IF(B192="Smartphone",$W$13, IF(B192="Smartwatch",$X$13,$Y$13)))))</f>
        <v>384.30142373556356</v>
      </c>
      <c r="M192" s="75">
        <f t="shared" si="8"/>
        <v>330.30142373556356</v>
      </c>
      <c r="N192" s="32">
        <f>I192/((F192+K192)/2)</f>
        <v>8.4666666666666668</v>
      </c>
      <c r="O192">
        <v>12</v>
      </c>
      <c r="P192">
        <v>0.90093901521582198</v>
      </c>
      <c r="Q192" s="2">
        <v>89.556977912926797</v>
      </c>
    </row>
    <row r="193" spans="1:17" x14ac:dyDescent="0.2">
      <c r="A193">
        <v>3</v>
      </c>
      <c r="B193" t="s">
        <v>12</v>
      </c>
      <c r="C193" s="7" t="str">
        <f>IF(B193="Smartphone", "Electronics", IF(B193="Laptop", "Computing", IF(B193="Tablet", "Mobile", IF(B193="Smartwatch", "Wearables", IF(B193="Headphones", "Audio", "Photography")))))</f>
        <v>Mobile</v>
      </c>
      <c r="D193" s="1">
        <v>43800</v>
      </c>
      <c r="E193" s="13" t="str">
        <f>IF(OR(MONTH(D193)=9, MONTH(D193)=10, MONTH(D193)=11), "Spring",
 IF(OR(MONTH(D193)=12, MONTH(D193)=1, MONTH(D193)=2), "Summer",
 IF(OR(MONTH(D193)=3, MONTH(D193)=4, MONTH(D193)=5), "Autumn",
 IF(OR(MONTH(D193)=6, MONTH(D193)=7, MONTH(D193)=8), "Winter", "Unknown"
))))</f>
        <v>Summer</v>
      </c>
      <c r="F193">
        <v>115</v>
      </c>
      <c r="G193">
        <v>307</v>
      </c>
      <c r="H193" s="7">
        <f>F193+G193</f>
        <v>422</v>
      </c>
      <c r="I193">
        <v>217</v>
      </c>
      <c r="J193" s="7">
        <f t="shared" si="7"/>
        <v>205</v>
      </c>
      <c r="K193">
        <v>90</v>
      </c>
      <c r="L193" s="75">
        <f>IF(B193="Camera",$T$13, IF(B193="Headphones",$U$13, IF(B193="Laptop",$V$13, IF(B193="Smartphone",$W$13, IF(B193="Smartwatch",$X$13,$Y$13)))))</f>
        <v>384.30142373556356</v>
      </c>
      <c r="M193" s="75">
        <f t="shared" si="8"/>
        <v>294.30142373556356</v>
      </c>
      <c r="N193" s="32">
        <f>I193/((F193+K193)/2)</f>
        <v>2.1170731707317074</v>
      </c>
      <c r="O193">
        <v>10</v>
      </c>
      <c r="P193">
        <v>1</v>
      </c>
      <c r="Q193" s="2">
        <v>81.655166828979404</v>
      </c>
    </row>
    <row r="194" spans="1:17" x14ac:dyDescent="0.2">
      <c r="A194">
        <v>3</v>
      </c>
      <c r="B194" t="s">
        <v>12</v>
      </c>
      <c r="C194" s="7" t="str">
        <f>IF(B194="Smartphone", "Electronics", IF(B194="Laptop", "Computing", IF(B194="Tablet", "Mobile", IF(B194="Smartwatch", "Wearables", IF(B194="Headphones", "Audio", "Photography")))))</f>
        <v>Mobile</v>
      </c>
      <c r="D194" s="1">
        <v>43831</v>
      </c>
      <c r="E194" s="13" t="str">
        <f>IF(OR(MONTH(D194)=9, MONTH(D194)=10, MONTH(D194)=11), "Spring",
 IF(OR(MONTH(D194)=12, MONTH(D194)=1, MONTH(D194)=2), "Summer",
 IF(OR(MONTH(D194)=3, MONTH(D194)=4, MONTH(D194)=5), "Autumn",
 IF(OR(MONTH(D194)=6, MONTH(D194)=7, MONTH(D194)=8), "Winter", "Unknown"
))))</f>
        <v>Summer</v>
      </c>
      <c r="F194">
        <v>60</v>
      </c>
      <c r="G194">
        <v>165</v>
      </c>
      <c r="H194" s="7">
        <f>F194+G194</f>
        <v>225</v>
      </c>
      <c r="I194">
        <v>94</v>
      </c>
      <c r="J194" s="7">
        <f t="shared" si="7"/>
        <v>131</v>
      </c>
      <c r="K194">
        <v>71</v>
      </c>
      <c r="L194" s="75">
        <f>IF(B194="Camera",$T$13, IF(B194="Headphones",$U$13, IF(B194="Laptop",$V$13, IF(B194="Smartphone",$W$13, IF(B194="Smartwatch",$X$13,$Y$13)))))</f>
        <v>384.30142373556356</v>
      </c>
      <c r="M194" s="75">
        <f t="shared" si="8"/>
        <v>313.30142373556356</v>
      </c>
      <c r="N194" s="32">
        <f>I194/((F194+K194)/2)</f>
        <v>1.4351145038167938</v>
      </c>
      <c r="O194">
        <v>5</v>
      </c>
      <c r="P194">
        <v>0.96813369311835296</v>
      </c>
      <c r="Q194" s="2">
        <v>72.333283560589905</v>
      </c>
    </row>
    <row r="195" spans="1:17" x14ac:dyDescent="0.2">
      <c r="A195">
        <v>3</v>
      </c>
      <c r="B195" t="s">
        <v>12</v>
      </c>
      <c r="C195" s="7" t="str">
        <f>IF(B195="Smartphone", "Electronics", IF(B195="Laptop", "Computing", IF(B195="Tablet", "Mobile", IF(B195="Smartwatch", "Wearables", IF(B195="Headphones", "Audio", "Photography")))))</f>
        <v>Mobile</v>
      </c>
      <c r="D195" s="1">
        <v>43862</v>
      </c>
      <c r="E195" s="13" t="str">
        <f>IF(OR(MONTH(D195)=9, MONTH(D195)=10, MONTH(D195)=11), "Spring",
 IF(OR(MONTH(D195)=12, MONTH(D195)=1, MONTH(D195)=2), "Summer",
 IF(OR(MONTH(D195)=3, MONTH(D195)=4, MONTH(D195)=5), "Autumn",
 IF(OR(MONTH(D195)=6, MONTH(D195)=7, MONTH(D195)=8), "Winter", "Unknown"
))))</f>
        <v>Summer</v>
      </c>
      <c r="F195">
        <v>2</v>
      </c>
      <c r="G195">
        <v>382</v>
      </c>
      <c r="H195" s="7">
        <f>F195+G195</f>
        <v>384</v>
      </c>
      <c r="I195">
        <v>298</v>
      </c>
      <c r="J195" s="7">
        <f t="shared" ref="J195:J217" si="9">H195-I195</f>
        <v>86</v>
      </c>
      <c r="K195">
        <v>84</v>
      </c>
      <c r="L195" s="75">
        <f>IF(B195="Camera",$T$13, IF(B195="Headphones",$U$13, IF(B195="Laptop",$V$13, IF(B195="Smartphone",$W$13, IF(B195="Smartwatch",$X$13,$Y$13)))))</f>
        <v>384.30142373556356</v>
      </c>
      <c r="M195" s="75">
        <f t="shared" ref="M195:M217" si="10">L195-K195</f>
        <v>300.30142373556356</v>
      </c>
      <c r="N195" s="32">
        <f>I195/((F195+K195)/2)</f>
        <v>6.9302325581395348</v>
      </c>
      <c r="O195">
        <v>10</v>
      </c>
      <c r="P195">
        <v>0.96403672292801901</v>
      </c>
      <c r="Q195" s="2">
        <v>40.052292062218903</v>
      </c>
    </row>
    <row r="196" spans="1:17" x14ac:dyDescent="0.2">
      <c r="A196">
        <v>3</v>
      </c>
      <c r="B196" t="s">
        <v>12</v>
      </c>
      <c r="C196" s="7" t="str">
        <f>IF(B196="Smartphone", "Electronics", IF(B196="Laptop", "Computing", IF(B196="Tablet", "Mobile", IF(B196="Smartwatch", "Wearables", IF(B196="Headphones", "Audio", "Photography")))))</f>
        <v>Mobile</v>
      </c>
      <c r="D196" s="1">
        <v>43891</v>
      </c>
      <c r="E196" s="13" t="str">
        <f>IF(OR(MONTH(D196)=9, MONTH(D196)=10, MONTH(D196)=11), "Spring",
 IF(OR(MONTH(D196)=12, MONTH(D196)=1, MONTH(D196)=2), "Summer",
 IF(OR(MONTH(D196)=3, MONTH(D196)=4, MONTH(D196)=5), "Autumn",
 IF(OR(MONTH(D196)=6, MONTH(D196)=7, MONTH(D196)=8), "Winter", "Unknown"
))))</f>
        <v>Autumn</v>
      </c>
      <c r="F196">
        <v>36</v>
      </c>
      <c r="G196">
        <v>495</v>
      </c>
      <c r="H196" s="7">
        <f>F196+G196</f>
        <v>531</v>
      </c>
      <c r="I196">
        <v>343</v>
      </c>
      <c r="J196" s="7">
        <f t="shared" si="9"/>
        <v>188</v>
      </c>
      <c r="K196">
        <v>152</v>
      </c>
      <c r="L196" s="75">
        <f>IF(B196="Camera",$T$13, IF(B196="Headphones",$U$13, IF(B196="Laptop",$V$13, IF(B196="Smartphone",$W$13, IF(B196="Smartwatch",$X$13,$Y$13)))))</f>
        <v>384.30142373556356</v>
      </c>
      <c r="M196" s="75">
        <f t="shared" si="10"/>
        <v>232.30142373556356</v>
      </c>
      <c r="N196" s="32">
        <f>I196/((F196+K196)/2)</f>
        <v>3.6489361702127661</v>
      </c>
      <c r="O196">
        <v>14</v>
      </c>
      <c r="P196">
        <v>0.860886548983683</v>
      </c>
      <c r="Q196" s="2">
        <v>92.544620080080904</v>
      </c>
    </row>
    <row r="197" spans="1:17" x14ac:dyDescent="0.2">
      <c r="A197">
        <v>3</v>
      </c>
      <c r="B197" t="s">
        <v>12</v>
      </c>
      <c r="C197" s="7" t="str">
        <f>IF(B197="Smartphone", "Electronics", IF(B197="Laptop", "Computing", IF(B197="Tablet", "Mobile", IF(B197="Smartwatch", "Wearables", IF(B197="Headphones", "Audio", "Photography")))))</f>
        <v>Mobile</v>
      </c>
      <c r="D197" s="1">
        <v>43922</v>
      </c>
      <c r="E197" s="13" t="str">
        <f>IF(OR(MONTH(D197)=9, MONTH(D197)=10, MONTH(D197)=11), "Spring",
 IF(OR(MONTH(D197)=12, MONTH(D197)=1, MONTH(D197)=2), "Summer",
 IF(OR(MONTH(D197)=3, MONTH(D197)=4, MONTH(D197)=5), "Autumn",
 IF(OR(MONTH(D197)=6, MONTH(D197)=7, MONTH(D197)=8), "Winter", "Unknown"
))))</f>
        <v>Autumn</v>
      </c>
      <c r="F197">
        <v>89</v>
      </c>
      <c r="G197">
        <v>194</v>
      </c>
      <c r="H197" s="7">
        <f>F197+G197</f>
        <v>283</v>
      </c>
      <c r="I197">
        <v>134</v>
      </c>
      <c r="J197" s="7">
        <f t="shared" si="9"/>
        <v>149</v>
      </c>
      <c r="K197">
        <v>60</v>
      </c>
      <c r="L197" s="75">
        <f>IF(B197="Camera",$T$13, IF(B197="Headphones",$U$13, IF(B197="Laptop",$V$13, IF(B197="Smartphone",$W$13, IF(B197="Smartwatch",$X$13,$Y$13)))))</f>
        <v>384.30142373556356</v>
      </c>
      <c r="M197" s="75">
        <f t="shared" si="10"/>
        <v>324.30142373556356</v>
      </c>
      <c r="N197" s="32">
        <f>I197/((F197+K197)/2)</f>
        <v>1.7986577181208054</v>
      </c>
      <c r="O197">
        <v>16</v>
      </c>
      <c r="P197">
        <v>0.97129682907395498</v>
      </c>
      <c r="Q197" s="2">
        <v>231.70100700918999</v>
      </c>
    </row>
    <row r="198" spans="1:17" x14ac:dyDescent="0.2">
      <c r="A198">
        <v>3</v>
      </c>
      <c r="B198" t="s">
        <v>12</v>
      </c>
      <c r="C198" s="7" t="str">
        <f>IF(B198="Smartphone", "Electronics", IF(B198="Laptop", "Computing", IF(B198="Tablet", "Mobile", IF(B198="Smartwatch", "Wearables", IF(B198="Headphones", "Audio", "Photography")))))</f>
        <v>Mobile</v>
      </c>
      <c r="D198" s="1">
        <v>43952</v>
      </c>
      <c r="E198" s="13" t="str">
        <f>IF(OR(MONTH(D198)=9, MONTH(D198)=10, MONTH(D198)=11), "Spring",
 IF(OR(MONTH(D198)=12, MONTH(D198)=1, MONTH(D198)=2), "Summer",
 IF(OR(MONTH(D198)=3, MONTH(D198)=4, MONTH(D198)=5), "Autumn",
 IF(OR(MONTH(D198)=6, MONTH(D198)=7, MONTH(D198)=8), "Winter", "Unknown"
))))</f>
        <v>Autumn</v>
      </c>
      <c r="F198">
        <v>4</v>
      </c>
      <c r="G198">
        <v>79</v>
      </c>
      <c r="H198" s="7">
        <f>F198+G198</f>
        <v>83</v>
      </c>
      <c r="I198">
        <v>126</v>
      </c>
      <c r="J198" s="7">
        <f t="shared" si="9"/>
        <v>-43</v>
      </c>
      <c r="K198">
        <v>5</v>
      </c>
      <c r="L198" s="75">
        <f>IF(B198="Camera",$T$13, IF(B198="Headphones",$U$13, IF(B198="Laptop",$V$13, IF(B198="Smartphone",$W$13, IF(B198="Smartwatch",$X$13,$Y$13)))))</f>
        <v>384.30142373556356</v>
      </c>
      <c r="M198" s="75">
        <f t="shared" si="10"/>
        <v>379.30142373556356</v>
      </c>
      <c r="N198" s="32">
        <f>I198/((F198+K198)/2)</f>
        <v>28</v>
      </c>
      <c r="O198">
        <v>10</v>
      </c>
      <c r="P198">
        <v>0.89381358318664095</v>
      </c>
      <c r="Q198" s="2">
        <v>333.69087311309602</v>
      </c>
    </row>
    <row r="199" spans="1:17" x14ac:dyDescent="0.2">
      <c r="A199">
        <v>3</v>
      </c>
      <c r="B199" t="s">
        <v>12</v>
      </c>
      <c r="C199" s="7" t="str">
        <f>IF(B199="Smartphone", "Electronics", IF(B199="Laptop", "Computing", IF(B199="Tablet", "Mobile", IF(B199="Smartwatch", "Wearables", IF(B199="Headphones", "Audio", "Photography")))))</f>
        <v>Mobile</v>
      </c>
      <c r="D199" s="1">
        <v>43983</v>
      </c>
      <c r="E199" s="13" t="str">
        <f>IF(OR(MONTH(D199)=9, MONTH(D199)=10, MONTH(D199)=11), "Spring",
 IF(OR(MONTH(D199)=12, MONTH(D199)=1, MONTH(D199)=2), "Summer",
 IF(OR(MONTH(D199)=3, MONTH(D199)=4, MONTH(D199)=5), "Autumn",
 IF(OR(MONTH(D199)=6, MONTH(D199)=7, MONTH(D199)=8), "Winter", "Unknown"
))))</f>
        <v>Winter</v>
      </c>
      <c r="F199">
        <v>35</v>
      </c>
      <c r="G199">
        <v>167</v>
      </c>
      <c r="H199" s="7">
        <f>F199+G199</f>
        <v>202</v>
      </c>
      <c r="I199">
        <v>89</v>
      </c>
      <c r="J199" s="7">
        <f t="shared" si="9"/>
        <v>113</v>
      </c>
      <c r="K199">
        <v>78</v>
      </c>
      <c r="L199" s="75">
        <f>IF(B199="Camera",$T$13, IF(B199="Headphones",$U$13, IF(B199="Laptop",$V$13, IF(B199="Smartphone",$W$13, IF(B199="Smartwatch",$X$13,$Y$13)))))</f>
        <v>384.30142373556356</v>
      </c>
      <c r="M199" s="75">
        <f t="shared" si="10"/>
        <v>306.30142373556356</v>
      </c>
      <c r="N199" s="32">
        <f>I199/((F199+K199)/2)</f>
        <v>1.5752212389380531</v>
      </c>
      <c r="O199">
        <v>14</v>
      </c>
      <c r="P199">
        <v>0.917458627015592</v>
      </c>
      <c r="Q199" s="2">
        <v>212.249850327274</v>
      </c>
    </row>
    <row r="200" spans="1:17" x14ac:dyDescent="0.2">
      <c r="A200">
        <v>3</v>
      </c>
      <c r="B200" t="s">
        <v>12</v>
      </c>
      <c r="C200" s="7" t="str">
        <f>IF(B200="Smartphone", "Electronics", IF(B200="Laptop", "Computing", IF(B200="Tablet", "Mobile", IF(B200="Smartwatch", "Wearables", IF(B200="Headphones", "Audio", "Photography")))))</f>
        <v>Mobile</v>
      </c>
      <c r="D200" s="1">
        <v>44013</v>
      </c>
      <c r="E200" s="13" t="str">
        <f>IF(OR(MONTH(D200)=9, MONTH(D200)=10, MONTH(D200)=11), "Spring",
 IF(OR(MONTH(D200)=12, MONTH(D200)=1, MONTH(D200)=2), "Summer",
 IF(OR(MONTH(D200)=3, MONTH(D200)=4, MONTH(D200)=5), "Autumn",
 IF(OR(MONTH(D200)=6, MONTH(D200)=7, MONTH(D200)=8), "Winter", "Unknown"
))))</f>
        <v>Winter</v>
      </c>
      <c r="F200">
        <v>85</v>
      </c>
      <c r="G200">
        <v>170</v>
      </c>
      <c r="H200" s="7">
        <f>F200+G200</f>
        <v>255</v>
      </c>
      <c r="I200">
        <v>373</v>
      </c>
      <c r="J200" s="7">
        <f t="shared" si="9"/>
        <v>-118</v>
      </c>
      <c r="K200">
        <v>8</v>
      </c>
      <c r="L200" s="75">
        <f>IF(B200="Camera",$T$13, IF(B200="Headphones",$U$13, IF(B200="Laptop",$V$13, IF(B200="Smartphone",$W$13, IF(B200="Smartwatch",$X$13,$Y$13)))))</f>
        <v>384.30142373556356</v>
      </c>
      <c r="M200" s="75">
        <f t="shared" si="10"/>
        <v>376.30142373556356</v>
      </c>
      <c r="N200" s="32">
        <f>I200/((F200+K200)/2)</f>
        <v>8.021505376344086</v>
      </c>
      <c r="O200">
        <v>20</v>
      </c>
      <c r="P200">
        <v>0.92351611552641399</v>
      </c>
      <c r="Q200" s="2">
        <v>53.541457254677198</v>
      </c>
    </row>
    <row r="201" spans="1:17" x14ac:dyDescent="0.2">
      <c r="A201">
        <v>3</v>
      </c>
      <c r="B201" t="s">
        <v>12</v>
      </c>
      <c r="C201" s="7" t="str">
        <f>IF(B201="Smartphone", "Electronics", IF(B201="Laptop", "Computing", IF(B201="Tablet", "Mobile", IF(B201="Smartwatch", "Wearables", IF(B201="Headphones", "Audio", "Photography")))))</f>
        <v>Mobile</v>
      </c>
      <c r="D201" s="1">
        <v>44044</v>
      </c>
      <c r="E201" s="13" t="str">
        <f>IF(OR(MONTH(D201)=9, MONTH(D201)=10, MONTH(D201)=11), "Spring",
 IF(OR(MONTH(D201)=12, MONTH(D201)=1, MONTH(D201)=2), "Summer",
 IF(OR(MONTH(D201)=3, MONTH(D201)=4, MONTH(D201)=5), "Autumn",
 IF(OR(MONTH(D201)=6, MONTH(D201)=7, MONTH(D201)=8), "Winter", "Unknown"
))))</f>
        <v>Winter</v>
      </c>
      <c r="F201">
        <v>9</v>
      </c>
      <c r="G201">
        <v>337</v>
      </c>
      <c r="H201" s="7">
        <f>F201+G201</f>
        <v>346</v>
      </c>
      <c r="I201">
        <v>188</v>
      </c>
      <c r="J201" s="7">
        <f t="shared" si="9"/>
        <v>158</v>
      </c>
      <c r="K201">
        <v>149</v>
      </c>
      <c r="L201" s="75">
        <f>IF(B201="Camera",$T$13, IF(B201="Headphones",$U$13, IF(B201="Laptop",$V$13, IF(B201="Smartphone",$W$13, IF(B201="Smartwatch",$X$13,$Y$13)))))</f>
        <v>384.30142373556356</v>
      </c>
      <c r="M201" s="75">
        <f t="shared" si="10"/>
        <v>235.30142373556356</v>
      </c>
      <c r="N201" s="32">
        <f>I201/((F201+K201)/2)</f>
        <v>2.3797468354430378</v>
      </c>
      <c r="O201">
        <v>24</v>
      </c>
      <c r="P201">
        <v>0.87632709531838204</v>
      </c>
      <c r="Q201" s="2">
        <v>166.70621480786599</v>
      </c>
    </row>
    <row r="202" spans="1:17" x14ac:dyDescent="0.2">
      <c r="A202">
        <v>3</v>
      </c>
      <c r="B202" t="s">
        <v>12</v>
      </c>
      <c r="C202" s="7" t="str">
        <f>IF(B202="Smartphone", "Electronics", IF(B202="Laptop", "Computing", IF(B202="Tablet", "Mobile", IF(B202="Smartwatch", "Wearables", IF(B202="Headphones", "Audio", "Photography")))))</f>
        <v>Mobile</v>
      </c>
      <c r="D202" s="1">
        <v>44075</v>
      </c>
      <c r="E202" s="13" t="str">
        <f>IF(OR(MONTH(D202)=9, MONTH(D202)=10, MONTH(D202)=11), "Spring",
 IF(OR(MONTH(D202)=12, MONTH(D202)=1, MONTH(D202)=2), "Summer",
 IF(OR(MONTH(D202)=3, MONTH(D202)=4, MONTH(D202)=5), "Autumn",
 IF(OR(MONTH(D202)=6, MONTH(D202)=7, MONTH(D202)=8), "Winter", "Unknown"
))))</f>
        <v>Spring</v>
      </c>
      <c r="F202">
        <v>63</v>
      </c>
      <c r="G202">
        <v>341</v>
      </c>
      <c r="H202" s="7">
        <f>F202+G202</f>
        <v>404</v>
      </c>
      <c r="I202">
        <v>337</v>
      </c>
      <c r="J202" s="7">
        <f t="shared" si="9"/>
        <v>67</v>
      </c>
      <c r="K202">
        <v>18</v>
      </c>
      <c r="L202" s="75">
        <f>IF(B202="Camera",$T$13, IF(B202="Headphones",$U$13, IF(B202="Laptop",$V$13, IF(B202="Smartphone",$W$13, IF(B202="Smartwatch",$X$13,$Y$13)))))</f>
        <v>384.30142373556356</v>
      </c>
      <c r="M202" s="75">
        <f t="shared" si="10"/>
        <v>366.30142373556356</v>
      </c>
      <c r="N202" s="32">
        <f>I202/((F202+K202)/2)</f>
        <v>8.3209876543209873</v>
      </c>
      <c r="O202">
        <v>29</v>
      </c>
      <c r="P202">
        <v>0.92132479094598396</v>
      </c>
      <c r="Q202" s="2">
        <v>131.604111548693</v>
      </c>
    </row>
    <row r="203" spans="1:17" x14ac:dyDescent="0.2">
      <c r="A203">
        <v>3</v>
      </c>
      <c r="B203" t="s">
        <v>12</v>
      </c>
      <c r="C203" s="7" t="str">
        <f>IF(B203="Smartphone", "Electronics", IF(B203="Laptop", "Computing", IF(B203="Tablet", "Mobile", IF(B203="Smartwatch", "Wearables", IF(B203="Headphones", "Audio", "Photography")))))</f>
        <v>Mobile</v>
      </c>
      <c r="D203" s="1">
        <v>44105</v>
      </c>
      <c r="E203" s="13" t="str">
        <f>IF(OR(MONTH(D203)=9, MONTH(D203)=10, MONTH(D203)=11), "Spring",
 IF(OR(MONTH(D203)=12, MONTH(D203)=1, MONTH(D203)=2), "Summer",
 IF(OR(MONTH(D203)=3, MONTH(D203)=4, MONTH(D203)=5), "Autumn",
 IF(OR(MONTH(D203)=6, MONTH(D203)=7, MONTH(D203)=8), "Winter", "Unknown"
))))</f>
        <v>Spring</v>
      </c>
      <c r="F203">
        <v>179</v>
      </c>
      <c r="G203">
        <v>390</v>
      </c>
      <c r="H203" s="7">
        <f>F203+G203</f>
        <v>569</v>
      </c>
      <c r="I203">
        <v>336</v>
      </c>
      <c r="J203" s="7">
        <f t="shared" si="9"/>
        <v>233</v>
      </c>
      <c r="K203">
        <v>54</v>
      </c>
      <c r="L203" s="75">
        <f>IF(B203="Camera",$T$13, IF(B203="Headphones",$U$13, IF(B203="Laptop",$V$13, IF(B203="Smartphone",$W$13, IF(B203="Smartwatch",$X$13,$Y$13)))))</f>
        <v>384.30142373556356</v>
      </c>
      <c r="M203" s="75">
        <f t="shared" si="10"/>
        <v>330.30142373556356</v>
      </c>
      <c r="N203" s="32">
        <f>I203/((F203+K203)/2)</f>
        <v>2.8841201716738198</v>
      </c>
      <c r="O203">
        <v>3</v>
      </c>
      <c r="P203">
        <v>0.90297764841567996</v>
      </c>
      <c r="Q203" s="2">
        <v>13.7048162501011</v>
      </c>
    </row>
    <row r="204" spans="1:17" x14ac:dyDescent="0.2">
      <c r="A204">
        <v>3</v>
      </c>
      <c r="B204" t="s">
        <v>12</v>
      </c>
      <c r="C204" s="7" t="str">
        <f>IF(B204="Smartphone", "Electronics", IF(B204="Laptop", "Computing", IF(B204="Tablet", "Mobile", IF(B204="Smartwatch", "Wearables", IF(B204="Headphones", "Audio", "Photography")))))</f>
        <v>Mobile</v>
      </c>
      <c r="D204" s="1">
        <v>44136</v>
      </c>
      <c r="E204" s="13" t="str">
        <f>IF(OR(MONTH(D204)=9, MONTH(D204)=10, MONTH(D204)=11), "Spring",
 IF(OR(MONTH(D204)=12, MONTH(D204)=1, MONTH(D204)=2), "Summer",
 IF(OR(MONTH(D204)=3, MONTH(D204)=4, MONTH(D204)=5), "Autumn",
 IF(OR(MONTH(D204)=6, MONTH(D204)=7, MONTH(D204)=8), "Winter", "Unknown"
))))</f>
        <v>Spring</v>
      </c>
      <c r="F204">
        <v>54</v>
      </c>
      <c r="G204">
        <v>229</v>
      </c>
      <c r="H204" s="7">
        <f>F204+G204</f>
        <v>283</v>
      </c>
      <c r="I204">
        <v>225</v>
      </c>
      <c r="J204" s="7">
        <f t="shared" si="9"/>
        <v>58</v>
      </c>
      <c r="K204">
        <v>4</v>
      </c>
      <c r="L204" s="75">
        <f>IF(B204="Camera",$T$13, IF(B204="Headphones",$U$13, IF(B204="Laptop",$V$13, IF(B204="Smartphone",$W$13, IF(B204="Smartwatch",$X$13,$Y$13)))))</f>
        <v>384.30142373556356</v>
      </c>
      <c r="M204" s="75">
        <f t="shared" si="10"/>
        <v>380.30142373556356</v>
      </c>
      <c r="N204" s="32">
        <f>I204/((F204+K204)/2)</f>
        <v>7.7586206896551726</v>
      </c>
      <c r="O204">
        <v>8</v>
      </c>
      <c r="P204">
        <v>0.86491462009375597</v>
      </c>
      <c r="Q204" s="2">
        <v>125.735896970879</v>
      </c>
    </row>
    <row r="205" spans="1:17" x14ac:dyDescent="0.2">
      <c r="A205">
        <v>3</v>
      </c>
      <c r="B205" t="s">
        <v>12</v>
      </c>
      <c r="C205" s="7" t="str">
        <f>IF(B205="Smartphone", "Electronics", IF(B205="Laptop", "Computing", IF(B205="Tablet", "Mobile", IF(B205="Smartwatch", "Wearables", IF(B205="Headphones", "Audio", "Photography")))))</f>
        <v>Mobile</v>
      </c>
      <c r="D205" s="1">
        <v>44166</v>
      </c>
      <c r="E205" s="13" t="str">
        <f>IF(OR(MONTH(D205)=9, MONTH(D205)=10, MONTH(D205)=11), "Spring",
 IF(OR(MONTH(D205)=12, MONTH(D205)=1, MONTH(D205)=2), "Summer",
 IF(OR(MONTH(D205)=3, MONTH(D205)=4, MONTH(D205)=5), "Autumn",
 IF(OR(MONTH(D205)=6, MONTH(D205)=7, MONTH(D205)=8), "Winter", "Unknown"
))))</f>
        <v>Summer</v>
      </c>
      <c r="F205">
        <v>90</v>
      </c>
      <c r="G205">
        <v>311</v>
      </c>
      <c r="H205" s="7">
        <f>F205+G205</f>
        <v>401</v>
      </c>
      <c r="I205">
        <v>258</v>
      </c>
      <c r="J205" s="7">
        <f t="shared" si="9"/>
        <v>143</v>
      </c>
      <c r="K205">
        <v>53</v>
      </c>
      <c r="L205" s="75">
        <f>IF(B205="Camera",$T$13, IF(B205="Headphones",$U$13, IF(B205="Laptop",$V$13, IF(B205="Smartphone",$W$13, IF(B205="Smartwatch",$X$13,$Y$13)))))</f>
        <v>384.30142373556356</v>
      </c>
      <c r="M205" s="75">
        <f t="shared" si="10"/>
        <v>331.30142373556356</v>
      </c>
      <c r="N205" s="32">
        <f>I205/((F205+K205)/2)</f>
        <v>3.6083916083916083</v>
      </c>
      <c r="O205">
        <v>4</v>
      </c>
      <c r="P205">
        <v>1</v>
      </c>
      <c r="Q205" s="2">
        <v>36.848570779596699</v>
      </c>
    </row>
    <row r="206" spans="1:17" x14ac:dyDescent="0.2">
      <c r="A206">
        <v>3</v>
      </c>
      <c r="B206" t="s">
        <v>12</v>
      </c>
      <c r="C206" s="7" t="str">
        <f>IF(B206="Smartphone", "Electronics", IF(B206="Laptop", "Computing", IF(B206="Tablet", "Mobile", IF(B206="Smartwatch", "Wearables", IF(B206="Headphones", "Audio", "Photography")))))</f>
        <v>Mobile</v>
      </c>
      <c r="D206" s="1">
        <v>44197</v>
      </c>
      <c r="E206" s="13" t="str">
        <f>IF(OR(MONTH(D206)=9, MONTH(D206)=10, MONTH(D206)=11), "Spring",
 IF(OR(MONTH(D206)=12, MONTH(D206)=1, MONTH(D206)=2), "Summer",
 IF(OR(MONTH(D206)=3, MONTH(D206)=4, MONTH(D206)=5), "Autumn",
 IF(OR(MONTH(D206)=6, MONTH(D206)=7, MONTH(D206)=8), "Winter", "Unknown"
))))</f>
        <v>Summer</v>
      </c>
      <c r="F206">
        <v>71</v>
      </c>
      <c r="G206">
        <v>365</v>
      </c>
      <c r="H206" s="7">
        <f>F206+G206</f>
        <v>436</v>
      </c>
      <c r="I206">
        <v>321</v>
      </c>
      <c r="J206" s="7">
        <f t="shared" si="9"/>
        <v>115</v>
      </c>
      <c r="K206">
        <v>44</v>
      </c>
      <c r="L206" s="75">
        <f>IF(B206="Camera",$T$13, IF(B206="Headphones",$U$13, IF(B206="Laptop",$V$13, IF(B206="Smartphone",$W$13, IF(B206="Smartwatch",$X$13,$Y$13)))))</f>
        <v>384.30142373556356</v>
      </c>
      <c r="M206" s="75">
        <f t="shared" si="10"/>
        <v>340.30142373556356</v>
      </c>
      <c r="N206" s="32">
        <f>I206/((F206+K206)/2)</f>
        <v>5.5826086956521737</v>
      </c>
      <c r="O206">
        <v>23</v>
      </c>
      <c r="P206">
        <v>0.92618855549164403</v>
      </c>
      <c r="Q206" s="2">
        <v>34.3407144615962</v>
      </c>
    </row>
    <row r="207" spans="1:17" x14ac:dyDescent="0.2">
      <c r="A207">
        <v>3</v>
      </c>
      <c r="B207" t="s">
        <v>12</v>
      </c>
      <c r="C207" s="7" t="str">
        <f>IF(B207="Smartphone", "Electronics", IF(B207="Laptop", "Computing", IF(B207="Tablet", "Mobile", IF(B207="Smartwatch", "Wearables", IF(B207="Headphones", "Audio", "Photography")))))</f>
        <v>Mobile</v>
      </c>
      <c r="D207" s="1">
        <v>44228</v>
      </c>
      <c r="E207" s="13" t="str">
        <f>IF(OR(MONTH(D207)=9, MONTH(D207)=10, MONTH(D207)=11), "Spring",
 IF(OR(MONTH(D207)=12, MONTH(D207)=1, MONTH(D207)=2), "Summer",
 IF(OR(MONTH(D207)=3, MONTH(D207)=4, MONTH(D207)=5), "Autumn",
 IF(OR(MONTH(D207)=6, MONTH(D207)=7, MONTH(D207)=8), "Winter", "Unknown"
))))</f>
        <v>Summer</v>
      </c>
      <c r="F207">
        <v>84</v>
      </c>
      <c r="G207">
        <v>91</v>
      </c>
      <c r="H207" s="7">
        <f>F207+G207</f>
        <v>175</v>
      </c>
      <c r="I207">
        <v>28</v>
      </c>
      <c r="J207" s="7">
        <f t="shared" si="9"/>
        <v>147</v>
      </c>
      <c r="K207">
        <v>92</v>
      </c>
      <c r="L207" s="75">
        <f>IF(B207="Camera",$T$13, IF(B207="Headphones",$U$13, IF(B207="Laptop",$V$13, IF(B207="Smartphone",$W$13, IF(B207="Smartwatch",$X$13,$Y$13)))))</f>
        <v>384.30142373556356</v>
      </c>
      <c r="M207" s="75">
        <f t="shared" si="10"/>
        <v>292.30142373556356</v>
      </c>
      <c r="N207" s="32">
        <f>I207/((F207+K207)/2)</f>
        <v>0.31818181818181818</v>
      </c>
      <c r="O207">
        <v>24</v>
      </c>
      <c r="P207">
        <v>0.86715446997512602</v>
      </c>
      <c r="Q207" s="2">
        <v>89.501818690247106</v>
      </c>
    </row>
    <row r="208" spans="1:17" x14ac:dyDescent="0.2">
      <c r="A208">
        <v>3</v>
      </c>
      <c r="B208" t="s">
        <v>12</v>
      </c>
      <c r="C208" s="7" t="str">
        <f>IF(B208="Smartphone", "Electronics", IF(B208="Laptop", "Computing", IF(B208="Tablet", "Mobile", IF(B208="Smartwatch", "Wearables", IF(B208="Headphones", "Audio", "Photography")))))</f>
        <v>Mobile</v>
      </c>
      <c r="D208" s="1">
        <v>44256</v>
      </c>
      <c r="E208" s="13" t="str">
        <f>IF(OR(MONTH(D208)=9, MONTH(D208)=10, MONTH(D208)=11), "Spring",
 IF(OR(MONTH(D208)=12, MONTH(D208)=1, MONTH(D208)=2), "Summer",
 IF(OR(MONTH(D208)=3, MONTH(D208)=4, MONTH(D208)=5), "Autumn",
 IF(OR(MONTH(D208)=6, MONTH(D208)=7, MONTH(D208)=8), "Winter", "Unknown"
))))</f>
        <v>Autumn</v>
      </c>
      <c r="F208">
        <v>152</v>
      </c>
      <c r="G208">
        <v>265</v>
      </c>
      <c r="H208" s="7">
        <f>F208+G208</f>
        <v>417</v>
      </c>
      <c r="I208">
        <v>464</v>
      </c>
      <c r="J208" s="7">
        <f t="shared" si="9"/>
        <v>-47</v>
      </c>
      <c r="K208">
        <v>50</v>
      </c>
      <c r="L208" s="75">
        <f>IF(B208="Camera",$T$13, IF(B208="Headphones",$U$13, IF(B208="Laptop",$V$13, IF(B208="Smartphone",$W$13, IF(B208="Smartwatch",$X$13,$Y$13)))))</f>
        <v>384.30142373556356</v>
      </c>
      <c r="M208" s="75">
        <f t="shared" si="10"/>
        <v>334.30142373556356</v>
      </c>
      <c r="N208" s="32">
        <f>I208/((F208+K208)/2)</f>
        <v>4.5940594059405937</v>
      </c>
      <c r="O208">
        <v>4</v>
      </c>
      <c r="P208">
        <v>0.85164658782639602</v>
      </c>
      <c r="Q208" s="2">
        <v>77.333980467971898</v>
      </c>
    </row>
    <row r="209" spans="1:17" x14ac:dyDescent="0.2">
      <c r="A209">
        <v>3</v>
      </c>
      <c r="B209" t="s">
        <v>12</v>
      </c>
      <c r="C209" s="7" t="str">
        <f>IF(B209="Smartphone", "Electronics", IF(B209="Laptop", "Computing", IF(B209="Tablet", "Mobile", IF(B209="Smartwatch", "Wearables", IF(B209="Headphones", "Audio", "Photography")))))</f>
        <v>Mobile</v>
      </c>
      <c r="D209" s="1">
        <v>44287</v>
      </c>
      <c r="E209" s="13" t="str">
        <f>IF(OR(MONTH(D209)=9, MONTH(D209)=10, MONTH(D209)=11), "Spring",
 IF(OR(MONTH(D209)=12, MONTH(D209)=1, MONTH(D209)=2), "Summer",
 IF(OR(MONTH(D209)=3, MONTH(D209)=4, MONTH(D209)=5), "Autumn",
 IF(OR(MONTH(D209)=6, MONTH(D209)=7, MONTH(D209)=8), "Winter", "Unknown"
))))</f>
        <v>Autumn</v>
      </c>
      <c r="F209">
        <v>60</v>
      </c>
      <c r="G209">
        <v>485</v>
      </c>
      <c r="H209" s="7">
        <f>F209+G209</f>
        <v>545</v>
      </c>
      <c r="I209">
        <v>471</v>
      </c>
      <c r="J209" s="7">
        <f t="shared" si="9"/>
        <v>74</v>
      </c>
      <c r="K209">
        <v>14</v>
      </c>
      <c r="L209" s="75">
        <f>IF(B209="Camera",$T$13, IF(B209="Headphones",$U$13, IF(B209="Laptop",$V$13, IF(B209="Smartphone",$W$13, IF(B209="Smartwatch",$X$13,$Y$13)))))</f>
        <v>384.30142373556356</v>
      </c>
      <c r="M209" s="75">
        <f t="shared" si="10"/>
        <v>370.30142373556356</v>
      </c>
      <c r="N209" s="32">
        <f>I209/((F209+K209)/2)</f>
        <v>12.72972972972973</v>
      </c>
      <c r="O209">
        <v>28</v>
      </c>
      <c r="P209">
        <v>0.95348041310789899</v>
      </c>
      <c r="Q209" s="2">
        <v>48.196564936772702</v>
      </c>
    </row>
    <row r="210" spans="1:17" x14ac:dyDescent="0.2">
      <c r="A210">
        <v>3</v>
      </c>
      <c r="B210" t="s">
        <v>12</v>
      </c>
      <c r="C210" s="7" t="str">
        <f>IF(B210="Smartphone", "Electronics", IF(B210="Laptop", "Computing", IF(B210="Tablet", "Mobile", IF(B210="Smartwatch", "Wearables", IF(B210="Headphones", "Audio", "Photography")))))</f>
        <v>Mobile</v>
      </c>
      <c r="D210" s="1">
        <v>44317</v>
      </c>
      <c r="E210" s="13" t="str">
        <f>IF(OR(MONTH(D210)=9, MONTH(D210)=10, MONTH(D210)=11), "Spring",
 IF(OR(MONTH(D210)=12, MONTH(D210)=1, MONTH(D210)=2), "Summer",
 IF(OR(MONTH(D210)=3, MONTH(D210)=4, MONTH(D210)=5), "Autumn",
 IF(OR(MONTH(D210)=6, MONTH(D210)=7, MONTH(D210)=8), "Winter", "Unknown"
))))</f>
        <v>Autumn</v>
      </c>
      <c r="F210">
        <v>2</v>
      </c>
      <c r="G210">
        <v>115</v>
      </c>
      <c r="H210" s="7">
        <f>F210+G210</f>
        <v>117</v>
      </c>
      <c r="I210">
        <v>150</v>
      </c>
      <c r="J210" s="7">
        <f t="shared" si="9"/>
        <v>-33</v>
      </c>
      <c r="K210">
        <v>6</v>
      </c>
      <c r="L210" s="75">
        <f>IF(B210="Camera",$T$13, IF(B210="Headphones",$U$13, IF(B210="Laptop",$V$13, IF(B210="Smartphone",$W$13, IF(B210="Smartwatch",$X$13,$Y$13)))))</f>
        <v>384.30142373556356</v>
      </c>
      <c r="M210" s="75">
        <f t="shared" si="10"/>
        <v>378.30142373556356</v>
      </c>
      <c r="N210" s="32">
        <f>I210/((F210+K210)/2)</f>
        <v>37.5</v>
      </c>
      <c r="O210">
        <v>22</v>
      </c>
      <c r="P210">
        <v>0.93016430168368902</v>
      </c>
      <c r="Q210" s="2">
        <v>52.193070106154899</v>
      </c>
    </row>
    <row r="211" spans="1:17" x14ac:dyDescent="0.2">
      <c r="A211">
        <v>3</v>
      </c>
      <c r="B211" t="s">
        <v>12</v>
      </c>
      <c r="C211" s="7" t="str">
        <f>IF(B211="Smartphone", "Electronics", IF(B211="Laptop", "Computing", IF(B211="Tablet", "Mobile", IF(B211="Smartwatch", "Wearables", IF(B211="Headphones", "Audio", "Photography")))))</f>
        <v>Mobile</v>
      </c>
      <c r="D211" s="1">
        <v>44348</v>
      </c>
      <c r="E211" s="13" t="str">
        <f>IF(OR(MONTH(D211)=9, MONTH(D211)=10, MONTH(D211)=11), "Spring",
 IF(OR(MONTH(D211)=12, MONTH(D211)=1, MONTH(D211)=2), "Summer",
 IF(OR(MONTH(D211)=3, MONTH(D211)=4, MONTH(D211)=5), "Autumn",
 IF(OR(MONTH(D211)=6, MONTH(D211)=7, MONTH(D211)=8), "Winter", "Unknown"
))))</f>
        <v>Winter</v>
      </c>
      <c r="F211">
        <v>78</v>
      </c>
      <c r="G211">
        <v>305</v>
      </c>
      <c r="H211" s="7">
        <f>F211+G211</f>
        <v>383</v>
      </c>
      <c r="I211">
        <v>297</v>
      </c>
      <c r="J211" s="7">
        <f t="shared" si="9"/>
        <v>86</v>
      </c>
      <c r="K211">
        <v>81</v>
      </c>
      <c r="L211" s="75">
        <f>IF(B211="Camera",$T$13, IF(B211="Headphones",$U$13, IF(B211="Laptop",$V$13, IF(B211="Smartphone",$W$13, IF(B211="Smartwatch",$X$13,$Y$13)))))</f>
        <v>384.30142373556356</v>
      </c>
      <c r="M211" s="75">
        <f t="shared" si="10"/>
        <v>303.30142373556356</v>
      </c>
      <c r="N211" s="32">
        <f>I211/((F211+K211)/2)</f>
        <v>3.7358490566037736</v>
      </c>
      <c r="O211">
        <v>21</v>
      </c>
      <c r="P211">
        <v>0.85787997587316001</v>
      </c>
      <c r="Q211" s="2">
        <v>18.0158523308973</v>
      </c>
    </row>
    <row r="212" spans="1:17" x14ac:dyDescent="0.2">
      <c r="A212">
        <v>3</v>
      </c>
      <c r="B212" t="s">
        <v>12</v>
      </c>
      <c r="C212" s="7" t="str">
        <f>IF(B212="Smartphone", "Electronics", IF(B212="Laptop", "Computing", IF(B212="Tablet", "Mobile", IF(B212="Smartwatch", "Wearables", IF(B212="Headphones", "Audio", "Photography")))))</f>
        <v>Mobile</v>
      </c>
      <c r="D212" s="1">
        <v>44378</v>
      </c>
      <c r="E212" s="13" t="str">
        <f>IF(OR(MONTH(D212)=9, MONTH(D212)=10, MONTH(D212)=11), "Spring",
 IF(OR(MONTH(D212)=12, MONTH(D212)=1, MONTH(D212)=2), "Summer",
 IF(OR(MONTH(D212)=3, MONTH(D212)=4, MONTH(D212)=5), "Autumn",
 IF(OR(MONTH(D212)=6, MONTH(D212)=7, MONTH(D212)=8), "Winter", "Unknown"
))))</f>
        <v>Winter</v>
      </c>
      <c r="F212">
        <v>8</v>
      </c>
      <c r="G212">
        <v>359</v>
      </c>
      <c r="H212" s="7">
        <f>F212+G212</f>
        <v>367</v>
      </c>
      <c r="I212">
        <v>312</v>
      </c>
      <c r="J212" s="7">
        <f t="shared" si="9"/>
        <v>55</v>
      </c>
      <c r="K212">
        <v>47</v>
      </c>
      <c r="L212" s="75">
        <f>IF(B212="Camera",$T$13, IF(B212="Headphones",$U$13, IF(B212="Laptop",$V$13, IF(B212="Smartphone",$W$13, IF(B212="Smartwatch",$X$13,$Y$13)))))</f>
        <v>384.30142373556356</v>
      </c>
      <c r="M212" s="75">
        <f t="shared" si="10"/>
        <v>337.30142373556356</v>
      </c>
      <c r="N212" s="32">
        <f>I212/((F212+K212)/2)</f>
        <v>11.345454545454546</v>
      </c>
      <c r="O212">
        <v>23</v>
      </c>
      <c r="P212">
        <v>0.91911274695724599</v>
      </c>
      <c r="Q212" s="2">
        <v>105.38041628419499</v>
      </c>
    </row>
    <row r="213" spans="1:17" x14ac:dyDescent="0.2">
      <c r="A213">
        <v>3</v>
      </c>
      <c r="B213" t="s">
        <v>12</v>
      </c>
      <c r="C213" s="7" t="str">
        <f>IF(B213="Smartphone", "Electronics", IF(B213="Laptop", "Computing", IF(B213="Tablet", "Mobile", IF(B213="Smartwatch", "Wearables", IF(B213="Headphones", "Audio", "Photography")))))</f>
        <v>Mobile</v>
      </c>
      <c r="D213" s="1">
        <v>44409</v>
      </c>
      <c r="E213" s="13" t="str">
        <f>IF(OR(MONTH(D213)=9, MONTH(D213)=10, MONTH(D213)=11), "Spring",
 IF(OR(MONTH(D213)=12, MONTH(D213)=1, MONTH(D213)=2), "Summer",
 IF(OR(MONTH(D213)=3, MONTH(D213)=4, MONTH(D213)=5), "Autumn",
 IF(OR(MONTH(D213)=6, MONTH(D213)=7, MONTH(D213)=8), "Winter", "Unknown"
))))</f>
        <v>Winter</v>
      </c>
      <c r="F213">
        <v>149</v>
      </c>
      <c r="G213">
        <v>159</v>
      </c>
      <c r="H213" s="7">
        <f>F213+G213</f>
        <v>308</v>
      </c>
      <c r="I213">
        <v>293</v>
      </c>
      <c r="J213" s="7">
        <f t="shared" si="9"/>
        <v>15</v>
      </c>
      <c r="K213">
        <v>115</v>
      </c>
      <c r="L213" s="75">
        <f>IF(B213="Camera",$T$13, IF(B213="Headphones",$U$13, IF(B213="Laptop",$V$13, IF(B213="Smartphone",$W$13, IF(B213="Smartwatch",$X$13,$Y$13)))))</f>
        <v>384.30142373556356</v>
      </c>
      <c r="M213" s="75">
        <f t="shared" si="10"/>
        <v>269.30142373556356</v>
      </c>
      <c r="N213" s="32">
        <f>I213/((F213+K213)/2)</f>
        <v>2.2196969696969697</v>
      </c>
      <c r="O213">
        <v>17</v>
      </c>
      <c r="P213">
        <v>0.896348326009059</v>
      </c>
      <c r="Q213" s="2">
        <v>109.05433648499999</v>
      </c>
    </row>
    <row r="214" spans="1:17" x14ac:dyDescent="0.2">
      <c r="A214">
        <v>3</v>
      </c>
      <c r="B214" t="s">
        <v>12</v>
      </c>
      <c r="C214" s="7" t="str">
        <f>IF(B214="Smartphone", "Electronics", IF(B214="Laptop", "Computing", IF(B214="Tablet", "Mobile", IF(B214="Smartwatch", "Wearables", IF(B214="Headphones", "Audio", "Photography")))))</f>
        <v>Mobile</v>
      </c>
      <c r="D214" s="1">
        <v>44440</v>
      </c>
      <c r="E214" s="13" t="str">
        <f>IF(OR(MONTH(D214)=9, MONTH(D214)=10, MONTH(D214)=11), "Spring",
 IF(OR(MONTH(D214)=12, MONTH(D214)=1, MONTH(D214)=2), "Summer",
 IF(OR(MONTH(D214)=3, MONTH(D214)=4, MONTH(D214)=5), "Autumn",
 IF(OR(MONTH(D214)=6, MONTH(D214)=7, MONTH(D214)=8), "Winter", "Unknown"
))))</f>
        <v>Spring</v>
      </c>
      <c r="F214">
        <v>18</v>
      </c>
      <c r="G214">
        <v>436</v>
      </c>
      <c r="H214" s="7">
        <f>F214+G214</f>
        <v>454</v>
      </c>
      <c r="I214">
        <v>346</v>
      </c>
      <c r="J214" s="7">
        <f t="shared" si="9"/>
        <v>108</v>
      </c>
      <c r="K214">
        <v>90</v>
      </c>
      <c r="L214" s="75">
        <f>IF(B214="Camera",$T$13, IF(B214="Headphones",$U$13, IF(B214="Laptop",$V$13, IF(B214="Smartphone",$W$13, IF(B214="Smartwatch",$X$13,$Y$13)))))</f>
        <v>384.30142373556356</v>
      </c>
      <c r="M214" s="75">
        <f t="shared" si="10"/>
        <v>294.30142373556356</v>
      </c>
      <c r="N214" s="32">
        <f>I214/((F214+K214)/2)</f>
        <v>6.4074074074074074</v>
      </c>
      <c r="O214">
        <v>25</v>
      </c>
      <c r="P214">
        <v>0.8</v>
      </c>
      <c r="Q214" s="2">
        <v>54.764481133549602</v>
      </c>
    </row>
    <row r="215" spans="1:17" x14ac:dyDescent="0.2">
      <c r="A215">
        <v>3</v>
      </c>
      <c r="B215" t="s">
        <v>12</v>
      </c>
      <c r="C215" s="7" t="str">
        <f>IF(B215="Smartphone", "Electronics", IF(B215="Laptop", "Computing", IF(B215="Tablet", "Mobile", IF(B215="Smartwatch", "Wearables", IF(B215="Headphones", "Audio", "Photography")))))</f>
        <v>Mobile</v>
      </c>
      <c r="D215" s="1">
        <v>44470</v>
      </c>
      <c r="E215" s="13" t="str">
        <f>IF(OR(MONTH(D215)=9, MONTH(D215)=10, MONTH(D215)=11), "Spring",
 IF(OR(MONTH(D215)=12, MONTH(D215)=1, MONTH(D215)=2), "Summer",
 IF(OR(MONTH(D215)=3, MONTH(D215)=4, MONTH(D215)=5), "Autumn",
 IF(OR(MONTH(D215)=6, MONTH(D215)=7, MONTH(D215)=8), "Winter", "Unknown"
))))</f>
        <v>Spring</v>
      </c>
      <c r="F215">
        <v>54</v>
      </c>
      <c r="G215">
        <v>268</v>
      </c>
      <c r="H215" s="7">
        <f>F215+G215</f>
        <v>322</v>
      </c>
      <c r="I215">
        <v>348</v>
      </c>
      <c r="J215" s="7">
        <f t="shared" si="9"/>
        <v>-26</v>
      </c>
      <c r="K215">
        <v>93</v>
      </c>
      <c r="L215" s="75">
        <f>IF(B215="Camera",$T$13, IF(B215="Headphones",$U$13, IF(B215="Laptop",$V$13, IF(B215="Smartphone",$W$13, IF(B215="Smartwatch",$X$13,$Y$13)))))</f>
        <v>384.30142373556356</v>
      </c>
      <c r="M215" s="75">
        <f t="shared" si="10"/>
        <v>291.30142373556356</v>
      </c>
      <c r="N215" s="32">
        <f>I215/((F215+K215)/2)</f>
        <v>4.7346938775510203</v>
      </c>
      <c r="O215">
        <v>6</v>
      </c>
      <c r="P215">
        <v>0.95747117180006303</v>
      </c>
      <c r="Q215" s="2">
        <v>12.1569248275547</v>
      </c>
    </row>
    <row r="216" spans="1:17" x14ac:dyDescent="0.2">
      <c r="A216">
        <v>3</v>
      </c>
      <c r="B216" t="s">
        <v>12</v>
      </c>
      <c r="C216" s="7" t="str">
        <f>IF(B216="Smartphone", "Electronics", IF(B216="Laptop", "Computing", IF(B216="Tablet", "Mobile", IF(B216="Smartwatch", "Wearables", IF(B216="Headphones", "Audio", "Photography")))))</f>
        <v>Mobile</v>
      </c>
      <c r="D216" s="1">
        <v>44501</v>
      </c>
      <c r="E216" s="13" t="str">
        <f>IF(OR(MONTH(D216)=9, MONTH(D216)=10, MONTH(D216)=11), "Spring",
 IF(OR(MONTH(D216)=12, MONTH(D216)=1, MONTH(D216)=2), "Summer",
 IF(OR(MONTH(D216)=3, MONTH(D216)=4, MONTH(D216)=5), "Autumn",
 IF(OR(MONTH(D216)=6, MONTH(D216)=7, MONTH(D216)=8), "Winter", "Unknown"
))))</f>
        <v>Spring</v>
      </c>
      <c r="F216">
        <v>4</v>
      </c>
      <c r="G216">
        <v>493</v>
      </c>
      <c r="H216" s="7">
        <f>F216+G216</f>
        <v>497</v>
      </c>
      <c r="I216">
        <v>197</v>
      </c>
      <c r="J216" s="7">
        <f t="shared" si="9"/>
        <v>300</v>
      </c>
      <c r="K216">
        <v>346</v>
      </c>
      <c r="L216" s="75">
        <f>IF(B216="Camera",$T$13, IF(B216="Headphones",$U$13, IF(B216="Laptop",$V$13, IF(B216="Smartphone",$W$13, IF(B216="Smartwatch",$X$13,$Y$13)))))</f>
        <v>384.30142373556356</v>
      </c>
      <c r="M216" s="75">
        <f t="shared" si="10"/>
        <v>38.30142373556356</v>
      </c>
      <c r="N216" s="32">
        <f>I216/((F216+K216)/2)</f>
        <v>1.1257142857142857</v>
      </c>
      <c r="O216">
        <v>15</v>
      </c>
      <c r="P216">
        <v>0.88282944502060101</v>
      </c>
      <c r="Q216" s="2">
        <v>171.95325993788401</v>
      </c>
    </row>
    <row r="217" spans="1:17" x14ac:dyDescent="0.2">
      <c r="A217">
        <v>3</v>
      </c>
      <c r="B217" t="s">
        <v>12</v>
      </c>
      <c r="C217" s="7" t="str">
        <f>IF(B217="Smartphone", "Electronics", IF(B217="Laptop", "Computing", IF(B217="Tablet", "Mobile", IF(B217="Smartwatch", "Wearables", IF(B217="Headphones", "Audio", "Photography")))))</f>
        <v>Mobile</v>
      </c>
      <c r="D217" s="1">
        <v>44531</v>
      </c>
      <c r="E217" s="13" t="str">
        <f>IF(OR(MONTH(D217)=9, MONTH(D217)=10, MONTH(D217)=11), "Spring",
 IF(OR(MONTH(D217)=12, MONTH(D217)=1, MONTH(D217)=2), "Summer",
 IF(OR(MONTH(D217)=3, MONTH(D217)=4, MONTH(D217)=5), "Autumn",
 IF(OR(MONTH(D217)=6, MONTH(D217)=7, MONTH(D217)=8), "Winter", "Unknown"
))))</f>
        <v>Summer</v>
      </c>
      <c r="F217">
        <v>53</v>
      </c>
      <c r="G217">
        <v>190</v>
      </c>
      <c r="H217" s="7">
        <f>F217+G217</f>
        <v>243</v>
      </c>
      <c r="I217">
        <v>100</v>
      </c>
      <c r="J217" s="7">
        <f t="shared" si="9"/>
        <v>143</v>
      </c>
      <c r="K217">
        <v>90</v>
      </c>
      <c r="L217" s="75">
        <f>IF(B217="Camera",$T$13, IF(B217="Headphones",$U$13, IF(B217="Laptop",$V$13, IF(B217="Smartphone",$W$13, IF(B217="Smartwatch",$X$13,$Y$13)))))</f>
        <v>384.30142373556356</v>
      </c>
      <c r="M217" s="75">
        <f t="shared" si="10"/>
        <v>294.30142373556356</v>
      </c>
      <c r="N217" s="32">
        <f>I217/((F217+K217)/2)</f>
        <v>1.3986013986013985</v>
      </c>
      <c r="O217">
        <v>7</v>
      </c>
      <c r="P217">
        <v>0.92572004682852205</v>
      </c>
      <c r="Q217" s="2">
        <v>400.62786852270102</v>
      </c>
    </row>
  </sheetData>
  <autoFilter ref="A1:Q217" xr:uid="{00000000-0001-0000-0000-000000000000}">
    <sortState xmlns:xlrd2="http://schemas.microsoft.com/office/spreadsheetml/2017/richdata2" ref="A2:Q217">
      <sortCondition ref="B1:B217"/>
    </sortState>
  </autoFilter>
  <dataValidations count="1">
    <dataValidation type="decimal" allowBlank="1" showInputMessage="1" showErrorMessage="1" sqref="P1:P1048576" xr:uid="{858D87A0-C5BF-164A-A769-BE2B4E35BA4A}">
      <formula1>0.8</formula1>
      <formula2>1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7939-5176-8941-9404-D6B85D5B2BAE}">
  <sheetPr>
    <tabColor rgb="FFFFC000"/>
  </sheetPr>
  <dimension ref="A1:R217"/>
  <sheetViews>
    <sheetView topLeftCell="E1" zoomScale="140" zoomScaleNormal="140" workbookViewId="0">
      <pane ySplit="1" topLeftCell="A2" activePane="bottomLeft" state="frozen"/>
      <selection activeCell="F5" sqref="F5"/>
      <selection pane="bottomLeft" activeCell="K1" sqref="K1"/>
    </sheetView>
  </sheetViews>
  <sheetFormatPr baseColWidth="10" defaultColWidth="8.83203125" defaultRowHeight="15" x14ac:dyDescent="0.2"/>
  <cols>
    <col min="1" max="1" width="3.6640625" customWidth="1"/>
    <col min="2" max="2" width="11.1640625" customWidth="1"/>
    <col min="3" max="3" width="20.33203125" bestFit="1" customWidth="1"/>
    <col min="5" max="5" width="16.33203125" bestFit="1" customWidth="1"/>
    <col min="6" max="10" width="12.1640625" bestFit="1" customWidth="1"/>
    <col min="11" max="11" width="6.33203125" customWidth="1"/>
    <col min="12" max="12" width="16.33203125" bestFit="1" customWidth="1"/>
    <col min="13" max="18" width="12.1640625" bestFit="1" customWidth="1"/>
  </cols>
  <sheetData>
    <row r="1" spans="1:18" x14ac:dyDescent="0.2">
      <c r="A1" s="6" t="s">
        <v>0</v>
      </c>
      <c r="B1" s="6" t="s">
        <v>1</v>
      </c>
      <c r="C1" s="9" t="s">
        <v>8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L1" s="15"/>
      <c r="M1" s="15"/>
      <c r="N1" s="15"/>
      <c r="O1" s="15"/>
      <c r="P1" s="15"/>
      <c r="Q1" s="15"/>
      <c r="R1" s="15"/>
    </row>
    <row r="2" spans="1:18" x14ac:dyDescent="0.2">
      <c r="A2">
        <v>1</v>
      </c>
      <c r="B2" t="s">
        <v>10</v>
      </c>
      <c r="C2">
        <v>0.8</v>
      </c>
      <c r="E2">
        <v>0.8</v>
      </c>
      <c r="F2">
        <v>0.91672496008890603</v>
      </c>
      <c r="G2">
        <v>0.92182125647465396</v>
      </c>
      <c r="H2">
        <v>0.96631710989936104</v>
      </c>
      <c r="I2">
        <v>0.96110616511865199</v>
      </c>
      <c r="J2">
        <v>0.90555860801447596</v>
      </c>
      <c r="L2" s="15"/>
      <c r="M2" s="15"/>
      <c r="N2" s="15"/>
      <c r="O2" s="15"/>
      <c r="P2" s="15"/>
      <c r="Q2" s="15"/>
      <c r="R2" s="15"/>
    </row>
    <row r="3" spans="1:18" x14ac:dyDescent="0.2">
      <c r="A3">
        <v>2</v>
      </c>
      <c r="B3" t="s">
        <v>11</v>
      </c>
      <c r="C3">
        <v>0.91672496008890603</v>
      </c>
      <c r="E3">
        <v>0.97573184532901802</v>
      </c>
      <c r="F3">
        <v>1</v>
      </c>
      <c r="G3">
        <v>0.90139757276222299</v>
      </c>
      <c r="H3">
        <v>0.92090935392338702</v>
      </c>
      <c r="I3">
        <v>0.81163513234447104</v>
      </c>
      <c r="J3">
        <v>0.82745133687794503</v>
      </c>
      <c r="L3" s="15" t="s">
        <v>34</v>
      </c>
      <c r="M3" s="15"/>
      <c r="N3" s="15"/>
      <c r="O3" s="15"/>
      <c r="P3" s="15"/>
      <c r="Q3" s="15"/>
      <c r="R3" s="15"/>
    </row>
    <row r="4" spans="1:18" x14ac:dyDescent="0.2">
      <c r="A4">
        <v>3</v>
      </c>
      <c r="B4" t="s">
        <v>12</v>
      </c>
      <c r="C4">
        <v>0.92182125647465396</v>
      </c>
      <c r="E4">
        <v>0.85809018429952399</v>
      </c>
      <c r="F4">
        <v>0.87781908477414705</v>
      </c>
      <c r="G4">
        <v>0.845193848763096</v>
      </c>
      <c r="H4">
        <v>0.89820022940113797</v>
      </c>
      <c r="I4">
        <v>0.87931454161626899</v>
      </c>
      <c r="J4">
        <v>0.95354476156697998</v>
      </c>
      <c r="L4" s="15"/>
      <c r="M4" s="15"/>
      <c r="N4" s="15"/>
      <c r="O4" s="15"/>
      <c r="P4" s="15"/>
      <c r="Q4" s="15"/>
      <c r="R4" s="15"/>
    </row>
    <row r="5" spans="1:18" ht="16" thickBot="1" x14ac:dyDescent="0.25">
      <c r="A5">
        <v>4</v>
      </c>
      <c r="B5" t="s">
        <v>13</v>
      </c>
      <c r="C5">
        <v>0.96631710989936104</v>
      </c>
      <c r="E5">
        <v>0.87626131772581395</v>
      </c>
      <c r="F5">
        <v>0.8</v>
      </c>
      <c r="G5">
        <v>0.90628755862677102</v>
      </c>
      <c r="H5">
        <v>0.899290098779433</v>
      </c>
      <c r="I5">
        <v>0.85689750592977498</v>
      </c>
      <c r="J5">
        <v>0.90474999417485202</v>
      </c>
      <c r="L5" s="15" t="s">
        <v>35</v>
      </c>
      <c r="M5" s="15"/>
      <c r="N5" s="15"/>
      <c r="O5" s="15"/>
      <c r="P5" s="15"/>
      <c r="Q5" s="15"/>
      <c r="R5" s="15"/>
    </row>
    <row r="6" spans="1:18" x14ac:dyDescent="0.2">
      <c r="A6">
        <v>5</v>
      </c>
      <c r="B6" t="s">
        <v>14</v>
      </c>
      <c r="C6">
        <v>0.96110616511865199</v>
      </c>
      <c r="E6">
        <v>0.84623677058868296</v>
      </c>
      <c r="F6">
        <v>0.91649199768116696</v>
      </c>
      <c r="G6">
        <v>1</v>
      </c>
      <c r="H6">
        <v>0.80971972635466105</v>
      </c>
      <c r="I6">
        <v>0.87418789564954202</v>
      </c>
      <c r="J6">
        <v>0.86617474392754301</v>
      </c>
      <c r="L6" s="38" t="s">
        <v>36</v>
      </c>
      <c r="M6" s="38" t="s">
        <v>37</v>
      </c>
      <c r="N6" s="38" t="s">
        <v>38</v>
      </c>
      <c r="O6" s="38" t="s">
        <v>39</v>
      </c>
      <c r="P6" s="38" t="s">
        <v>40</v>
      </c>
      <c r="Q6" s="15"/>
      <c r="R6" s="15"/>
    </row>
    <row r="7" spans="1:18" x14ac:dyDescent="0.2">
      <c r="A7">
        <v>6</v>
      </c>
      <c r="B7" t="s">
        <v>15</v>
      </c>
      <c r="C7">
        <v>0.90555860801447596</v>
      </c>
      <c r="E7">
        <v>0.87833700582562202</v>
      </c>
      <c r="F7">
        <v>0.95099622897984804</v>
      </c>
      <c r="G7">
        <v>0.92714132796595095</v>
      </c>
      <c r="H7">
        <v>0.942438325130321</v>
      </c>
      <c r="I7">
        <v>0.90152477523768004</v>
      </c>
      <c r="J7">
        <v>0.833895034002757</v>
      </c>
      <c r="L7" s="39" t="s">
        <v>10</v>
      </c>
      <c r="M7" s="39">
        <v>36</v>
      </c>
      <c r="N7" s="39">
        <v>32.12863268807277</v>
      </c>
      <c r="O7" s="39">
        <v>0.8924620191131325</v>
      </c>
      <c r="P7" s="39">
        <v>2.3976996713517291E-3</v>
      </c>
      <c r="Q7" s="15"/>
      <c r="R7" s="15"/>
    </row>
    <row r="8" spans="1:18" x14ac:dyDescent="0.2">
      <c r="A8">
        <v>1</v>
      </c>
      <c r="B8" t="s">
        <v>10</v>
      </c>
      <c r="C8">
        <v>0.97573184532901802</v>
      </c>
      <c r="E8">
        <v>0.84426573193700105</v>
      </c>
      <c r="F8">
        <v>0.93731298537332897</v>
      </c>
      <c r="G8">
        <v>0.908541594920664</v>
      </c>
      <c r="H8">
        <v>0.96301037030394199</v>
      </c>
      <c r="I8">
        <v>0.91466310516233895</v>
      </c>
      <c r="J8">
        <v>0.84084925033339297</v>
      </c>
      <c r="L8" s="39" t="s">
        <v>11</v>
      </c>
      <c r="M8" s="39">
        <v>36</v>
      </c>
      <c r="N8" s="39">
        <v>32.920891828389543</v>
      </c>
      <c r="O8" s="39">
        <v>0.9144692174552651</v>
      </c>
      <c r="P8" s="39">
        <v>2.2567120802528713E-3</v>
      </c>
      <c r="Q8" s="15"/>
      <c r="R8" s="15"/>
    </row>
    <row r="9" spans="1:18" x14ac:dyDescent="0.2">
      <c r="A9">
        <v>2</v>
      </c>
      <c r="B9" t="s">
        <v>11</v>
      </c>
      <c r="C9">
        <v>1</v>
      </c>
      <c r="E9">
        <v>0.87390490929084197</v>
      </c>
      <c r="F9">
        <v>0.928240707484146</v>
      </c>
      <c r="G9">
        <v>0.93551662481193099</v>
      </c>
      <c r="H9">
        <v>0.94275543160773401</v>
      </c>
      <c r="I9">
        <v>0.84757379433974001</v>
      </c>
      <c r="J9">
        <v>0.83994849169615304</v>
      </c>
      <c r="L9" s="39" t="s">
        <v>12</v>
      </c>
      <c r="M9" s="39">
        <v>36</v>
      </c>
      <c r="N9" s="39">
        <v>32.815097406988599</v>
      </c>
      <c r="O9" s="39">
        <v>0.91153048352746113</v>
      </c>
      <c r="P9" s="39">
        <v>2.1624686559372384E-3</v>
      </c>
      <c r="Q9" s="15"/>
      <c r="R9" s="15"/>
    </row>
    <row r="10" spans="1:18" x14ac:dyDescent="0.2">
      <c r="A10">
        <v>3</v>
      </c>
      <c r="B10" t="s">
        <v>12</v>
      </c>
      <c r="C10">
        <v>0.90139757276222299</v>
      </c>
      <c r="E10">
        <v>0.89050987401262804</v>
      </c>
      <c r="F10">
        <v>0.97200367582667202</v>
      </c>
      <c r="G10">
        <v>0.86530658395959903</v>
      </c>
      <c r="H10">
        <v>0.92274859453004798</v>
      </c>
      <c r="I10">
        <v>0.92275305694694798</v>
      </c>
      <c r="J10">
        <v>0.93803863748353</v>
      </c>
      <c r="L10" s="39" t="s">
        <v>13</v>
      </c>
      <c r="M10" s="39">
        <v>36</v>
      </c>
      <c r="N10" s="39">
        <v>32.611580883361697</v>
      </c>
      <c r="O10" s="39">
        <v>0.90587724676004711</v>
      </c>
      <c r="P10" s="39">
        <v>2.9375123820637255E-3</v>
      </c>
      <c r="Q10" s="15"/>
      <c r="R10" s="15"/>
    </row>
    <row r="11" spans="1:18" x14ac:dyDescent="0.2">
      <c r="A11">
        <v>4</v>
      </c>
      <c r="B11" t="s">
        <v>13</v>
      </c>
      <c r="C11">
        <v>0.92090935392338702</v>
      </c>
      <c r="E11">
        <v>0.98322201269741005</v>
      </c>
      <c r="F11">
        <v>0.978095321238305</v>
      </c>
      <c r="G11">
        <v>0.87026970830802397</v>
      </c>
      <c r="H11">
        <v>0.8</v>
      </c>
      <c r="I11">
        <v>0.86607353323176195</v>
      </c>
      <c r="J11">
        <v>0.90378361470236102</v>
      </c>
      <c r="L11" s="39" t="s">
        <v>14</v>
      </c>
      <c r="M11" s="39">
        <v>36</v>
      </c>
      <c r="N11" s="39">
        <v>32.07144071297607</v>
      </c>
      <c r="O11" s="39">
        <v>0.89087335313822413</v>
      </c>
      <c r="P11" s="39">
        <v>2.1756998167383715E-3</v>
      </c>
      <c r="Q11" s="15"/>
      <c r="R11" s="15"/>
    </row>
    <row r="12" spans="1:18" ht="16" thickBot="1" x14ac:dyDescent="0.25">
      <c r="A12">
        <v>5</v>
      </c>
      <c r="B12" t="s">
        <v>14</v>
      </c>
      <c r="C12">
        <v>0.81163513234447104</v>
      </c>
      <c r="E12">
        <v>0.881917736115717</v>
      </c>
      <c r="F12">
        <v>0.99839494714640598</v>
      </c>
      <c r="G12">
        <v>0.90093901521582198</v>
      </c>
      <c r="H12">
        <v>0.93268559401280904</v>
      </c>
      <c r="I12">
        <v>0.91086071548236702</v>
      </c>
      <c r="J12">
        <v>0.88266834082545798</v>
      </c>
      <c r="L12" s="40" t="s">
        <v>15</v>
      </c>
      <c r="M12" s="40">
        <v>36</v>
      </c>
      <c r="N12" s="40">
        <v>32.755432002650004</v>
      </c>
      <c r="O12" s="40">
        <v>0.90987311118472236</v>
      </c>
      <c r="P12" s="40">
        <v>2.1587986679038221E-3</v>
      </c>
      <c r="Q12" s="15"/>
      <c r="R12" s="15"/>
    </row>
    <row r="13" spans="1:18" x14ac:dyDescent="0.2">
      <c r="A13">
        <v>6</v>
      </c>
      <c r="B13" t="s">
        <v>15</v>
      </c>
      <c r="C13">
        <v>0.82745133687794503</v>
      </c>
      <c r="E13">
        <v>0.80375941610186596</v>
      </c>
      <c r="F13">
        <v>0.896069118072925</v>
      </c>
      <c r="G13">
        <v>1</v>
      </c>
      <c r="H13">
        <v>0.83777708000810802</v>
      </c>
      <c r="I13">
        <v>0.80925634778128797</v>
      </c>
      <c r="J13">
        <v>0.99681946512844499</v>
      </c>
      <c r="L13" s="15"/>
      <c r="M13" s="15"/>
      <c r="N13" s="15"/>
      <c r="O13" s="15"/>
      <c r="P13" s="15"/>
      <c r="Q13" s="15"/>
      <c r="R13" s="15"/>
    </row>
    <row r="14" spans="1:18" x14ac:dyDescent="0.2">
      <c r="A14">
        <v>1</v>
      </c>
      <c r="B14" t="s">
        <v>10</v>
      </c>
      <c r="C14">
        <v>0.85809018429952399</v>
      </c>
      <c r="E14">
        <v>0.93710414849346602</v>
      </c>
      <c r="F14">
        <v>0.90937099402617105</v>
      </c>
      <c r="G14">
        <v>0.96813369311835296</v>
      </c>
      <c r="H14">
        <v>0.85842490285219497</v>
      </c>
      <c r="I14">
        <v>0.89467026195426702</v>
      </c>
      <c r="J14">
        <v>0.94775770584504104</v>
      </c>
      <c r="L14" s="15"/>
      <c r="M14" s="15"/>
      <c r="N14" s="15"/>
      <c r="O14" s="15"/>
      <c r="P14" s="15"/>
      <c r="Q14" s="15"/>
      <c r="R14" s="15"/>
    </row>
    <row r="15" spans="1:18" ht="16" thickBot="1" x14ac:dyDescent="0.25">
      <c r="A15">
        <v>2</v>
      </c>
      <c r="B15" t="s">
        <v>11</v>
      </c>
      <c r="C15">
        <v>0.87781908477414705</v>
      </c>
      <c r="E15">
        <v>1</v>
      </c>
      <c r="F15">
        <v>0.84157278426716897</v>
      </c>
      <c r="G15">
        <v>0.96403672292801901</v>
      </c>
      <c r="H15">
        <v>0.91909195304204905</v>
      </c>
      <c r="I15">
        <v>0.90815305337147001</v>
      </c>
      <c r="J15">
        <v>0.89961353888726303</v>
      </c>
      <c r="L15" s="15" t="s">
        <v>41</v>
      </c>
      <c r="M15" s="15"/>
      <c r="N15" s="15"/>
      <c r="O15" s="15"/>
      <c r="P15" s="15"/>
      <c r="Q15" s="15"/>
      <c r="R15" s="15"/>
    </row>
    <row r="16" spans="1:18" x14ac:dyDescent="0.2">
      <c r="A16">
        <v>3</v>
      </c>
      <c r="B16" t="s">
        <v>12</v>
      </c>
      <c r="C16">
        <v>0.845193848763096</v>
      </c>
      <c r="E16">
        <v>0.83076766896526899</v>
      </c>
      <c r="F16">
        <v>0.94815444991065101</v>
      </c>
      <c r="G16">
        <v>0.860886548983683</v>
      </c>
      <c r="H16">
        <v>0.84601546487488199</v>
      </c>
      <c r="I16">
        <v>0.94427294794501604</v>
      </c>
      <c r="J16">
        <v>0.93945670125733405</v>
      </c>
      <c r="L16" s="38" t="s">
        <v>42</v>
      </c>
      <c r="M16" s="38" t="s">
        <v>43</v>
      </c>
      <c r="N16" s="38" t="s">
        <v>44</v>
      </c>
      <c r="O16" s="38" t="s">
        <v>45</v>
      </c>
      <c r="P16" s="38" t="s">
        <v>46</v>
      </c>
      <c r="Q16" s="38" t="s">
        <v>47</v>
      </c>
      <c r="R16" s="38" t="s">
        <v>48</v>
      </c>
    </row>
    <row r="17" spans="1:18" x14ac:dyDescent="0.2">
      <c r="A17">
        <v>4</v>
      </c>
      <c r="B17" t="s">
        <v>13</v>
      </c>
      <c r="C17">
        <v>0.89820022940113797</v>
      </c>
      <c r="E17">
        <v>0.90395000418055305</v>
      </c>
      <c r="F17">
        <v>0.95397718104058205</v>
      </c>
      <c r="G17">
        <v>0.97129682907395498</v>
      </c>
      <c r="H17">
        <v>0.96541120389127699</v>
      </c>
      <c r="I17">
        <v>0.87358605132990097</v>
      </c>
      <c r="J17">
        <v>0.95070524656398503</v>
      </c>
      <c r="L17" s="39" t="s">
        <v>49</v>
      </c>
      <c r="M17" s="39">
        <v>1.8344436743088999E-2</v>
      </c>
      <c r="N17" s="39">
        <v>5</v>
      </c>
      <c r="O17" s="39">
        <v>3.6688873486177996E-3</v>
      </c>
      <c r="P17" s="39">
        <v>1.5624596473353185</v>
      </c>
      <c r="Q17" s="39">
        <v>0.17205915267285654</v>
      </c>
      <c r="R17" s="39">
        <v>2.2570659080988293</v>
      </c>
    </row>
    <row r="18" spans="1:18" x14ac:dyDescent="0.2">
      <c r="A18">
        <v>5</v>
      </c>
      <c r="B18" t="s">
        <v>14</v>
      </c>
      <c r="C18">
        <v>0.87931454161626899</v>
      </c>
      <c r="E18">
        <v>0.91058204887543204</v>
      </c>
      <c r="F18">
        <v>0.986295388517618</v>
      </c>
      <c r="G18">
        <v>0.89381358318664095</v>
      </c>
      <c r="H18">
        <v>0.88217641813158298</v>
      </c>
      <c r="I18">
        <v>0.86931015615785601</v>
      </c>
      <c r="J18">
        <v>0.90946439471177698</v>
      </c>
      <c r="L18" s="39" t="s">
        <v>50</v>
      </c>
      <c r="M18" s="39">
        <v>0.49311119459867153</v>
      </c>
      <c r="N18" s="39">
        <v>210</v>
      </c>
      <c r="O18" s="39">
        <v>2.3481485457079597E-3</v>
      </c>
      <c r="P18" s="39"/>
      <c r="Q18" s="39"/>
      <c r="R18" s="39"/>
    </row>
    <row r="19" spans="1:18" x14ac:dyDescent="0.2">
      <c r="A19">
        <v>6</v>
      </c>
      <c r="B19" t="s">
        <v>15</v>
      </c>
      <c r="C19">
        <v>0.95354476156697998</v>
      </c>
      <c r="E19">
        <v>0.923336273379605</v>
      </c>
      <c r="F19">
        <v>0.92429811414636298</v>
      </c>
      <c r="G19">
        <v>0.917458627015592</v>
      </c>
      <c r="H19">
        <v>0.93355185063399004</v>
      </c>
      <c r="I19">
        <v>0.88887290820428</v>
      </c>
      <c r="J19">
        <v>0.85637423422040604</v>
      </c>
      <c r="L19" s="39"/>
      <c r="M19" s="39"/>
      <c r="N19" s="39"/>
      <c r="O19" s="39"/>
      <c r="P19" s="39"/>
      <c r="Q19" s="39"/>
      <c r="R19" s="39"/>
    </row>
    <row r="20" spans="1:18" ht="16" thickBot="1" x14ac:dyDescent="0.25">
      <c r="A20">
        <v>1</v>
      </c>
      <c r="B20" t="s">
        <v>10</v>
      </c>
      <c r="C20">
        <v>0.87626131772581395</v>
      </c>
      <c r="E20">
        <v>0.85200860015431701</v>
      </c>
      <c r="F20">
        <v>0.94875255476517295</v>
      </c>
      <c r="G20">
        <v>0.92351611552641399</v>
      </c>
      <c r="H20">
        <v>0.80720811145248295</v>
      </c>
      <c r="I20">
        <v>0.95483767133999697</v>
      </c>
      <c r="J20">
        <v>0.99402175732013198</v>
      </c>
      <c r="L20" s="40" t="s">
        <v>51</v>
      </c>
      <c r="M20" s="40">
        <v>0.51145563134176053</v>
      </c>
      <c r="N20" s="40">
        <v>215</v>
      </c>
      <c r="O20" s="40"/>
      <c r="P20" s="40"/>
      <c r="Q20" s="40"/>
      <c r="R20" s="40"/>
    </row>
    <row r="21" spans="1:18" x14ac:dyDescent="0.2">
      <c r="A21">
        <v>2</v>
      </c>
      <c r="B21" t="s">
        <v>11</v>
      </c>
      <c r="C21">
        <v>0.8</v>
      </c>
      <c r="E21">
        <v>0.86420415746207302</v>
      </c>
      <c r="F21">
        <v>0.916808002313802</v>
      </c>
      <c r="G21">
        <v>0.87632709531838204</v>
      </c>
      <c r="H21">
        <v>0.93141534627355804</v>
      </c>
      <c r="I21">
        <v>0.84169955554623799</v>
      </c>
      <c r="J21">
        <v>0.89642771714506098</v>
      </c>
      <c r="L21" s="15"/>
      <c r="M21" s="15"/>
      <c r="N21" s="15"/>
      <c r="O21" s="15"/>
      <c r="P21" s="15"/>
      <c r="Q21" s="15"/>
      <c r="R21" s="15"/>
    </row>
    <row r="22" spans="1:18" x14ac:dyDescent="0.2">
      <c r="A22">
        <v>3</v>
      </c>
      <c r="B22" t="s">
        <v>12</v>
      </c>
      <c r="C22">
        <v>0.90628755862677102</v>
      </c>
      <c r="E22">
        <v>0.94906570639993904</v>
      </c>
      <c r="F22">
        <v>0.96178558696494199</v>
      </c>
      <c r="G22">
        <v>0.92132479094598396</v>
      </c>
      <c r="H22">
        <v>0.88304773483951304</v>
      </c>
      <c r="I22">
        <v>0.82036994578281897</v>
      </c>
      <c r="J22">
        <v>0.862122514438035</v>
      </c>
      <c r="L22" s="15"/>
      <c r="M22" s="15"/>
      <c r="N22" s="15"/>
      <c r="O22" s="15"/>
      <c r="P22" s="15"/>
      <c r="Q22" s="15"/>
      <c r="R22" s="15"/>
    </row>
    <row r="23" spans="1:18" x14ac:dyDescent="0.2">
      <c r="A23">
        <v>4</v>
      </c>
      <c r="B23" t="s">
        <v>13</v>
      </c>
      <c r="C23">
        <v>0.899290098779433</v>
      </c>
      <c r="E23">
        <v>0.87653632976226104</v>
      </c>
      <c r="F23">
        <v>0.86511331083491905</v>
      </c>
      <c r="G23">
        <v>0.90297764841567996</v>
      </c>
      <c r="H23">
        <v>0.88290561319143501</v>
      </c>
      <c r="I23">
        <v>0.90860606861677196</v>
      </c>
      <c r="J23">
        <v>0.96013136505238295</v>
      </c>
    </row>
    <row r="24" spans="1:18" x14ac:dyDescent="0.2">
      <c r="A24">
        <v>5</v>
      </c>
      <c r="B24" t="s">
        <v>14</v>
      </c>
      <c r="C24">
        <v>0.85689750592977498</v>
      </c>
      <c r="E24">
        <v>0.87967688893853102</v>
      </c>
      <c r="F24">
        <v>0.83085665113728802</v>
      </c>
      <c r="G24">
        <v>0.86491462009375597</v>
      </c>
      <c r="H24">
        <v>0.929179423498663</v>
      </c>
      <c r="I24">
        <v>0.93389718924763299</v>
      </c>
      <c r="J24">
        <v>0.92030425985081099</v>
      </c>
    </row>
    <row r="25" spans="1:18" x14ac:dyDescent="0.2">
      <c r="A25">
        <v>6</v>
      </c>
      <c r="B25" t="s">
        <v>15</v>
      </c>
      <c r="C25">
        <v>0.90474999417485202</v>
      </c>
      <c r="E25">
        <v>0.96503686529440003</v>
      </c>
      <c r="F25">
        <v>0.89068184650615001</v>
      </c>
      <c r="G25">
        <v>1</v>
      </c>
      <c r="H25">
        <v>0.94090935680529497</v>
      </c>
      <c r="I25">
        <v>0.8</v>
      </c>
      <c r="J25">
        <v>0.99003293149817795</v>
      </c>
    </row>
    <row r="26" spans="1:18" x14ac:dyDescent="0.2">
      <c r="A26">
        <v>1</v>
      </c>
      <c r="B26" t="s">
        <v>10</v>
      </c>
      <c r="C26">
        <v>0.84623677058868296</v>
      </c>
      <c r="E26">
        <v>0.86165066949321301</v>
      </c>
      <c r="F26">
        <v>0.84829494052715304</v>
      </c>
      <c r="G26">
        <v>0.92618855549164403</v>
      </c>
      <c r="H26">
        <v>0.81309097638317196</v>
      </c>
      <c r="I26">
        <v>0.86522653843391895</v>
      </c>
      <c r="J26">
        <v>0.97785492703121002</v>
      </c>
    </row>
    <row r="27" spans="1:18" x14ac:dyDescent="0.2">
      <c r="A27">
        <v>2</v>
      </c>
      <c r="B27" t="s">
        <v>11</v>
      </c>
      <c r="C27">
        <v>0.91649199768116696</v>
      </c>
      <c r="E27">
        <v>0.92781087894987502</v>
      </c>
      <c r="F27">
        <v>0.94061198904696097</v>
      </c>
      <c r="G27">
        <v>0.86715446997512602</v>
      </c>
      <c r="H27">
        <v>0.82308150005159397</v>
      </c>
      <c r="I27">
        <v>0.93534087146568601</v>
      </c>
      <c r="J27">
        <v>0.94651280781209701</v>
      </c>
    </row>
    <row r="28" spans="1:18" x14ac:dyDescent="0.2">
      <c r="A28">
        <v>3</v>
      </c>
      <c r="B28" t="s">
        <v>12</v>
      </c>
      <c r="C28">
        <v>1</v>
      </c>
      <c r="E28">
        <v>0.94424966930405496</v>
      </c>
      <c r="F28">
        <v>0.91045346150589301</v>
      </c>
      <c r="G28">
        <v>0.85164658782639602</v>
      </c>
      <c r="H28">
        <v>1</v>
      </c>
      <c r="I28">
        <v>0.92398937214920795</v>
      </c>
      <c r="J28">
        <v>0.891305667920541</v>
      </c>
    </row>
    <row r="29" spans="1:18" x14ac:dyDescent="0.2">
      <c r="A29">
        <v>4</v>
      </c>
      <c r="B29" t="s">
        <v>13</v>
      </c>
      <c r="C29">
        <v>0.80971972635466105</v>
      </c>
      <c r="E29">
        <v>0.89152753812583097</v>
      </c>
      <c r="F29">
        <v>0.90747987390367701</v>
      </c>
      <c r="G29">
        <v>0.95348041310789899</v>
      </c>
      <c r="H29">
        <v>0.90948140616527196</v>
      </c>
      <c r="I29">
        <v>0.94292565767237402</v>
      </c>
      <c r="J29">
        <v>0.90756988439466002</v>
      </c>
    </row>
    <row r="30" spans="1:18" x14ac:dyDescent="0.2">
      <c r="A30">
        <v>5</v>
      </c>
      <c r="B30" t="s">
        <v>14</v>
      </c>
      <c r="C30">
        <v>0.87418789564954202</v>
      </c>
      <c r="E30">
        <v>0.89438230542648101</v>
      </c>
      <c r="F30">
        <v>0.93206251966641895</v>
      </c>
      <c r="G30">
        <v>0.93016430168368902</v>
      </c>
      <c r="H30">
        <v>0.89151829404524197</v>
      </c>
      <c r="I30">
        <v>0.86253965211428696</v>
      </c>
      <c r="J30">
        <v>0.91708644573702103</v>
      </c>
    </row>
    <row r="31" spans="1:18" x14ac:dyDescent="0.2">
      <c r="A31">
        <v>6</v>
      </c>
      <c r="B31" t="s">
        <v>15</v>
      </c>
      <c r="C31">
        <v>0.86617474392754301</v>
      </c>
      <c r="E31">
        <v>0.90391743344812903</v>
      </c>
      <c r="F31">
        <v>0.87225641436146195</v>
      </c>
      <c r="G31">
        <v>0.85787997587316001</v>
      </c>
      <c r="H31">
        <v>0.92052379219472202</v>
      </c>
      <c r="I31">
        <v>0.92750475285138401</v>
      </c>
      <c r="J31">
        <v>0.88199839426725701</v>
      </c>
    </row>
    <row r="32" spans="1:18" x14ac:dyDescent="0.2">
      <c r="A32">
        <v>1</v>
      </c>
      <c r="B32" t="s">
        <v>10</v>
      </c>
      <c r="C32">
        <v>0.87833700582562202</v>
      </c>
      <c r="E32">
        <v>0.87100314820435298</v>
      </c>
      <c r="F32">
        <v>0.85848724054813996</v>
      </c>
      <c r="G32">
        <v>0.91911274695724599</v>
      </c>
      <c r="H32">
        <v>0.85980114631796301</v>
      </c>
      <c r="I32">
        <v>1</v>
      </c>
      <c r="J32">
        <v>0.87948592820145</v>
      </c>
    </row>
    <row r="33" spans="1:10" x14ac:dyDescent="0.2">
      <c r="A33">
        <v>2</v>
      </c>
      <c r="B33" t="s">
        <v>11</v>
      </c>
      <c r="C33">
        <v>0.95099622897984804</v>
      </c>
      <c r="E33">
        <v>0.8</v>
      </c>
      <c r="F33">
        <v>0.89849141666854304</v>
      </c>
      <c r="G33">
        <v>0.896348326009059</v>
      </c>
      <c r="H33">
        <v>0.95558592837620904</v>
      </c>
      <c r="I33">
        <v>0.91440631183638499</v>
      </c>
      <c r="J33">
        <v>0.85830824082800905</v>
      </c>
    </row>
    <row r="34" spans="1:10" x14ac:dyDescent="0.2">
      <c r="A34">
        <v>3</v>
      </c>
      <c r="B34" t="s">
        <v>12</v>
      </c>
      <c r="C34">
        <v>0.92714132796595095</v>
      </c>
      <c r="E34">
        <v>0.88568040632516098</v>
      </c>
      <c r="F34">
        <v>0.91637098858254895</v>
      </c>
      <c r="G34">
        <v>0.8</v>
      </c>
      <c r="H34">
        <v>0.96693108671952199</v>
      </c>
      <c r="I34">
        <v>0.85844150570976596</v>
      </c>
      <c r="J34">
        <v>0.97085219104737996</v>
      </c>
    </row>
    <row r="35" spans="1:10" x14ac:dyDescent="0.2">
      <c r="A35">
        <v>4</v>
      </c>
      <c r="B35" t="s">
        <v>13</v>
      </c>
      <c r="C35">
        <v>0.942438325130321</v>
      </c>
      <c r="E35">
        <v>0.91962325705632897</v>
      </c>
      <c r="F35">
        <v>0.93147970681969805</v>
      </c>
      <c r="G35">
        <v>0.95747117180006303</v>
      </c>
      <c r="H35">
        <v>0.92865660263462402</v>
      </c>
      <c r="I35">
        <v>0.93364431081587196</v>
      </c>
      <c r="J35">
        <v>0.89177917797693096</v>
      </c>
    </row>
    <row r="36" spans="1:10" x14ac:dyDescent="0.2">
      <c r="A36">
        <v>5</v>
      </c>
      <c r="B36" t="s">
        <v>14</v>
      </c>
      <c r="C36">
        <v>0.90152477523768004</v>
      </c>
      <c r="E36">
        <v>0.91860843407360404</v>
      </c>
      <c r="F36">
        <v>0.87062510925141201</v>
      </c>
      <c r="G36">
        <v>0.88282944502060101</v>
      </c>
      <c r="H36">
        <v>0.99823475239844495</v>
      </c>
      <c r="I36">
        <v>0.85959032074747799</v>
      </c>
      <c r="J36">
        <v>0.90771585633181395</v>
      </c>
    </row>
    <row r="37" spans="1:10" x14ac:dyDescent="0.2">
      <c r="A37">
        <v>6</v>
      </c>
      <c r="B37" t="s">
        <v>15</v>
      </c>
      <c r="C37">
        <v>0.833895034002757</v>
      </c>
      <c r="E37">
        <v>0.90567345183577397</v>
      </c>
      <c r="F37">
        <v>0.88446227641095998</v>
      </c>
      <c r="G37">
        <v>0.92572004682852205</v>
      </c>
      <c r="H37">
        <v>0.92948610463706904</v>
      </c>
      <c r="I37">
        <v>0.853709040842621</v>
      </c>
      <c r="J37">
        <v>0.90506783557732695</v>
      </c>
    </row>
    <row r="38" spans="1:10" x14ac:dyDescent="0.2">
      <c r="A38">
        <v>1</v>
      </c>
      <c r="B38" t="s">
        <v>10</v>
      </c>
      <c r="C38">
        <v>0.84426573193700105</v>
      </c>
    </row>
    <row r="39" spans="1:10" x14ac:dyDescent="0.2">
      <c r="A39">
        <v>2</v>
      </c>
      <c r="B39" t="s">
        <v>11</v>
      </c>
      <c r="C39">
        <v>0.93731298537332897</v>
      </c>
    </row>
    <row r="40" spans="1:10" x14ac:dyDescent="0.2">
      <c r="A40">
        <v>3</v>
      </c>
      <c r="B40" t="s">
        <v>12</v>
      </c>
      <c r="C40">
        <v>0.908541594920664</v>
      </c>
    </row>
    <row r="41" spans="1:10" x14ac:dyDescent="0.2">
      <c r="A41">
        <v>4</v>
      </c>
      <c r="B41" t="s">
        <v>13</v>
      </c>
      <c r="C41">
        <v>0.96301037030394199</v>
      </c>
    </row>
    <row r="42" spans="1:10" x14ac:dyDescent="0.2">
      <c r="A42">
        <v>5</v>
      </c>
      <c r="B42" t="s">
        <v>14</v>
      </c>
      <c r="C42">
        <v>0.91466310516233895</v>
      </c>
    </row>
    <row r="43" spans="1:10" x14ac:dyDescent="0.2">
      <c r="A43">
        <v>6</v>
      </c>
      <c r="B43" t="s">
        <v>15</v>
      </c>
      <c r="C43">
        <v>0.84084925033339297</v>
      </c>
    </row>
    <row r="44" spans="1:10" x14ac:dyDescent="0.2">
      <c r="A44">
        <v>1</v>
      </c>
      <c r="B44" t="s">
        <v>10</v>
      </c>
      <c r="C44">
        <v>0.87390490929084197</v>
      </c>
    </row>
    <row r="45" spans="1:10" x14ac:dyDescent="0.2">
      <c r="A45">
        <v>2</v>
      </c>
      <c r="B45" t="s">
        <v>11</v>
      </c>
      <c r="C45">
        <v>0.928240707484146</v>
      </c>
    </row>
    <row r="46" spans="1:10" x14ac:dyDescent="0.2">
      <c r="A46">
        <v>3</v>
      </c>
      <c r="B46" t="s">
        <v>12</v>
      </c>
      <c r="C46">
        <v>0.93551662481193099</v>
      </c>
    </row>
    <row r="47" spans="1:10" x14ac:dyDescent="0.2">
      <c r="A47">
        <v>4</v>
      </c>
      <c r="B47" t="s">
        <v>13</v>
      </c>
      <c r="C47">
        <v>0.94275543160773401</v>
      </c>
    </row>
    <row r="48" spans="1:10" x14ac:dyDescent="0.2">
      <c r="A48">
        <v>5</v>
      </c>
      <c r="B48" t="s">
        <v>14</v>
      </c>
      <c r="C48">
        <v>0.84757379433974001</v>
      </c>
    </row>
    <row r="49" spans="1:3" x14ac:dyDescent="0.2">
      <c r="A49">
        <v>6</v>
      </c>
      <c r="B49" t="s">
        <v>15</v>
      </c>
      <c r="C49">
        <v>0.83994849169615304</v>
      </c>
    </row>
    <row r="50" spans="1:3" x14ac:dyDescent="0.2">
      <c r="A50">
        <v>1</v>
      </c>
      <c r="B50" t="s">
        <v>10</v>
      </c>
      <c r="C50">
        <v>0.89050987401262804</v>
      </c>
    </row>
    <row r="51" spans="1:3" x14ac:dyDescent="0.2">
      <c r="A51">
        <v>2</v>
      </c>
      <c r="B51" t="s">
        <v>11</v>
      </c>
      <c r="C51">
        <v>0.97200367582667202</v>
      </c>
    </row>
    <row r="52" spans="1:3" x14ac:dyDescent="0.2">
      <c r="A52">
        <v>3</v>
      </c>
      <c r="B52" t="s">
        <v>12</v>
      </c>
      <c r="C52">
        <v>0.86530658395959903</v>
      </c>
    </row>
    <row r="53" spans="1:3" x14ac:dyDescent="0.2">
      <c r="A53">
        <v>4</v>
      </c>
      <c r="B53" t="s">
        <v>13</v>
      </c>
      <c r="C53">
        <v>0.92274859453004798</v>
      </c>
    </row>
    <row r="54" spans="1:3" x14ac:dyDescent="0.2">
      <c r="A54">
        <v>5</v>
      </c>
      <c r="B54" t="s">
        <v>14</v>
      </c>
      <c r="C54">
        <v>0.92275305694694798</v>
      </c>
    </row>
    <row r="55" spans="1:3" x14ac:dyDescent="0.2">
      <c r="A55">
        <v>6</v>
      </c>
      <c r="B55" t="s">
        <v>15</v>
      </c>
      <c r="C55">
        <v>0.93803863748353</v>
      </c>
    </row>
    <row r="56" spans="1:3" x14ac:dyDescent="0.2">
      <c r="A56">
        <v>1</v>
      </c>
      <c r="B56" t="s">
        <v>10</v>
      </c>
      <c r="C56">
        <v>0.98322201269741005</v>
      </c>
    </row>
    <row r="57" spans="1:3" x14ac:dyDescent="0.2">
      <c r="A57">
        <v>2</v>
      </c>
      <c r="B57" t="s">
        <v>11</v>
      </c>
      <c r="C57">
        <v>0.978095321238305</v>
      </c>
    </row>
    <row r="58" spans="1:3" x14ac:dyDescent="0.2">
      <c r="A58">
        <v>3</v>
      </c>
      <c r="B58" t="s">
        <v>12</v>
      </c>
      <c r="C58">
        <v>0.87026970830802397</v>
      </c>
    </row>
    <row r="59" spans="1:3" x14ac:dyDescent="0.2">
      <c r="A59">
        <v>4</v>
      </c>
      <c r="B59" t="s">
        <v>13</v>
      </c>
      <c r="C59">
        <v>0.8</v>
      </c>
    </row>
    <row r="60" spans="1:3" x14ac:dyDescent="0.2">
      <c r="A60">
        <v>5</v>
      </c>
      <c r="B60" t="s">
        <v>14</v>
      </c>
      <c r="C60">
        <v>0.86607353323176195</v>
      </c>
    </row>
    <row r="61" spans="1:3" x14ac:dyDescent="0.2">
      <c r="A61">
        <v>6</v>
      </c>
      <c r="B61" t="s">
        <v>15</v>
      </c>
      <c r="C61">
        <v>0.90378361470236102</v>
      </c>
    </row>
    <row r="62" spans="1:3" x14ac:dyDescent="0.2">
      <c r="A62">
        <v>1</v>
      </c>
      <c r="B62" t="s">
        <v>10</v>
      </c>
      <c r="C62">
        <v>0.881917736115717</v>
      </c>
    </row>
    <row r="63" spans="1:3" x14ac:dyDescent="0.2">
      <c r="A63">
        <v>2</v>
      </c>
      <c r="B63" t="s">
        <v>11</v>
      </c>
      <c r="C63">
        <v>0.99839494714640598</v>
      </c>
    </row>
    <row r="64" spans="1:3" x14ac:dyDescent="0.2">
      <c r="A64">
        <v>3</v>
      </c>
      <c r="B64" t="s">
        <v>12</v>
      </c>
      <c r="C64">
        <v>0.90093901521582198</v>
      </c>
    </row>
    <row r="65" spans="1:3" x14ac:dyDescent="0.2">
      <c r="A65">
        <v>4</v>
      </c>
      <c r="B65" t="s">
        <v>13</v>
      </c>
      <c r="C65">
        <v>0.93268559401280904</v>
      </c>
    </row>
    <row r="66" spans="1:3" x14ac:dyDescent="0.2">
      <c r="A66">
        <v>5</v>
      </c>
      <c r="B66" t="s">
        <v>14</v>
      </c>
      <c r="C66">
        <v>0.91086071548236702</v>
      </c>
    </row>
    <row r="67" spans="1:3" x14ac:dyDescent="0.2">
      <c r="A67">
        <v>6</v>
      </c>
      <c r="B67" t="s">
        <v>15</v>
      </c>
      <c r="C67">
        <v>0.88266834082545798</v>
      </c>
    </row>
    <row r="68" spans="1:3" x14ac:dyDescent="0.2">
      <c r="A68">
        <v>1</v>
      </c>
      <c r="B68" t="s">
        <v>10</v>
      </c>
      <c r="C68">
        <v>0.80375941610186596</v>
      </c>
    </row>
    <row r="69" spans="1:3" x14ac:dyDescent="0.2">
      <c r="A69">
        <v>2</v>
      </c>
      <c r="B69" t="s">
        <v>11</v>
      </c>
      <c r="C69">
        <v>0.896069118072925</v>
      </c>
    </row>
    <row r="70" spans="1:3" x14ac:dyDescent="0.2">
      <c r="A70">
        <v>3</v>
      </c>
      <c r="B70" t="s">
        <v>12</v>
      </c>
      <c r="C70">
        <v>1</v>
      </c>
    </row>
    <row r="71" spans="1:3" x14ac:dyDescent="0.2">
      <c r="A71">
        <v>4</v>
      </c>
      <c r="B71" t="s">
        <v>13</v>
      </c>
      <c r="C71">
        <v>0.83777708000810802</v>
      </c>
    </row>
    <row r="72" spans="1:3" x14ac:dyDescent="0.2">
      <c r="A72">
        <v>5</v>
      </c>
      <c r="B72" t="s">
        <v>14</v>
      </c>
      <c r="C72">
        <v>0.80925634778128797</v>
      </c>
    </row>
    <row r="73" spans="1:3" x14ac:dyDescent="0.2">
      <c r="A73">
        <v>6</v>
      </c>
      <c r="B73" t="s">
        <v>15</v>
      </c>
      <c r="C73">
        <v>0.99681946512844499</v>
      </c>
    </row>
    <row r="74" spans="1:3" x14ac:dyDescent="0.2">
      <c r="A74">
        <v>1</v>
      </c>
      <c r="B74" t="s">
        <v>10</v>
      </c>
      <c r="C74">
        <v>0.93710414849346602</v>
      </c>
    </row>
    <row r="75" spans="1:3" x14ac:dyDescent="0.2">
      <c r="A75">
        <v>2</v>
      </c>
      <c r="B75" t="s">
        <v>11</v>
      </c>
      <c r="C75">
        <v>0.90937099402617105</v>
      </c>
    </row>
    <row r="76" spans="1:3" x14ac:dyDescent="0.2">
      <c r="A76">
        <v>3</v>
      </c>
      <c r="B76" t="s">
        <v>12</v>
      </c>
      <c r="C76">
        <v>0.96813369311835296</v>
      </c>
    </row>
    <row r="77" spans="1:3" x14ac:dyDescent="0.2">
      <c r="A77">
        <v>4</v>
      </c>
      <c r="B77" t="s">
        <v>13</v>
      </c>
      <c r="C77">
        <v>0.85842490285219497</v>
      </c>
    </row>
    <row r="78" spans="1:3" x14ac:dyDescent="0.2">
      <c r="A78">
        <v>5</v>
      </c>
      <c r="B78" t="s">
        <v>14</v>
      </c>
      <c r="C78">
        <v>0.89467026195426702</v>
      </c>
    </row>
    <row r="79" spans="1:3" x14ac:dyDescent="0.2">
      <c r="A79">
        <v>6</v>
      </c>
      <c r="B79" t="s">
        <v>15</v>
      </c>
      <c r="C79">
        <v>0.94775770584504104</v>
      </c>
    </row>
    <row r="80" spans="1:3" x14ac:dyDescent="0.2">
      <c r="A80">
        <v>1</v>
      </c>
      <c r="B80" t="s">
        <v>10</v>
      </c>
      <c r="C80">
        <v>1</v>
      </c>
    </row>
    <row r="81" spans="1:3" x14ac:dyDescent="0.2">
      <c r="A81">
        <v>2</v>
      </c>
      <c r="B81" t="s">
        <v>11</v>
      </c>
      <c r="C81">
        <v>0.84157278426716897</v>
      </c>
    </row>
    <row r="82" spans="1:3" x14ac:dyDescent="0.2">
      <c r="A82">
        <v>3</v>
      </c>
      <c r="B82" t="s">
        <v>12</v>
      </c>
      <c r="C82">
        <v>0.96403672292801901</v>
      </c>
    </row>
    <row r="83" spans="1:3" x14ac:dyDescent="0.2">
      <c r="A83">
        <v>4</v>
      </c>
      <c r="B83" t="s">
        <v>13</v>
      </c>
      <c r="C83">
        <v>0.91909195304204905</v>
      </c>
    </row>
    <row r="84" spans="1:3" x14ac:dyDescent="0.2">
      <c r="A84">
        <v>5</v>
      </c>
      <c r="B84" t="s">
        <v>14</v>
      </c>
      <c r="C84">
        <v>0.90815305337147001</v>
      </c>
    </row>
    <row r="85" spans="1:3" x14ac:dyDescent="0.2">
      <c r="A85">
        <v>6</v>
      </c>
      <c r="B85" t="s">
        <v>15</v>
      </c>
      <c r="C85">
        <v>0.89961353888726303</v>
      </c>
    </row>
    <row r="86" spans="1:3" x14ac:dyDescent="0.2">
      <c r="A86">
        <v>1</v>
      </c>
      <c r="B86" t="s">
        <v>10</v>
      </c>
      <c r="C86">
        <v>0.83076766896526899</v>
      </c>
    </row>
    <row r="87" spans="1:3" x14ac:dyDescent="0.2">
      <c r="A87">
        <v>2</v>
      </c>
      <c r="B87" t="s">
        <v>11</v>
      </c>
      <c r="C87">
        <v>0.94815444991065101</v>
      </c>
    </row>
    <row r="88" spans="1:3" x14ac:dyDescent="0.2">
      <c r="A88">
        <v>3</v>
      </c>
      <c r="B88" t="s">
        <v>12</v>
      </c>
      <c r="C88">
        <v>0.860886548983683</v>
      </c>
    </row>
    <row r="89" spans="1:3" x14ac:dyDescent="0.2">
      <c r="A89">
        <v>4</v>
      </c>
      <c r="B89" t="s">
        <v>13</v>
      </c>
      <c r="C89">
        <v>0.84601546487488199</v>
      </c>
    </row>
    <row r="90" spans="1:3" x14ac:dyDescent="0.2">
      <c r="A90">
        <v>5</v>
      </c>
      <c r="B90" t="s">
        <v>14</v>
      </c>
      <c r="C90">
        <v>0.94427294794501604</v>
      </c>
    </row>
    <row r="91" spans="1:3" x14ac:dyDescent="0.2">
      <c r="A91">
        <v>6</v>
      </c>
      <c r="B91" t="s">
        <v>15</v>
      </c>
      <c r="C91">
        <v>0.93945670125733405</v>
      </c>
    </row>
    <row r="92" spans="1:3" x14ac:dyDescent="0.2">
      <c r="A92">
        <v>1</v>
      </c>
      <c r="B92" t="s">
        <v>10</v>
      </c>
      <c r="C92">
        <v>0.90395000418055305</v>
      </c>
    </row>
    <row r="93" spans="1:3" x14ac:dyDescent="0.2">
      <c r="A93">
        <v>2</v>
      </c>
      <c r="B93" t="s">
        <v>11</v>
      </c>
      <c r="C93">
        <v>0.95397718104058205</v>
      </c>
    </row>
    <row r="94" spans="1:3" x14ac:dyDescent="0.2">
      <c r="A94">
        <v>3</v>
      </c>
      <c r="B94" t="s">
        <v>12</v>
      </c>
      <c r="C94">
        <v>0.97129682907395498</v>
      </c>
    </row>
    <row r="95" spans="1:3" x14ac:dyDescent="0.2">
      <c r="A95">
        <v>4</v>
      </c>
      <c r="B95" t="s">
        <v>13</v>
      </c>
      <c r="C95">
        <v>0.96541120389127699</v>
      </c>
    </row>
    <row r="96" spans="1:3" x14ac:dyDescent="0.2">
      <c r="A96">
        <v>5</v>
      </c>
      <c r="B96" t="s">
        <v>14</v>
      </c>
      <c r="C96">
        <v>0.87358605132990097</v>
      </c>
    </row>
    <row r="97" spans="1:3" x14ac:dyDescent="0.2">
      <c r="A97">
        <v>6</v>
      </c>
      <c r="B97" t="s">
        <v>15</v>
      </c>
      <c r="C97">
        <v>0.95070524656398503</v>
      </c>
    </row>
    <row r="98" spans="1:3" x14ac:dyDescent="0.2">
      <c r="A98">
        <v>1</v>
      </c>
      <c r="B98" t="s">
        <v>10</v>
      </c>
      <c r="C98">
        <v>0.91058204887543204</v>
      </c>
    </row>
    <row r="99" spans="1:3" x14ac:dyDescent="0.2">
      <c r="A99">
        <v>2</v>
      </c>
      <c r="B99" t="s">
        <v>11</v>
      </c>
      <c r="C99">
        <v>0.986295388517618</v>
      </c>
    </row>
    <row r="100" spans="1:3" x14ac:dyDescent="0.2">
      <c r="A100">
        <v>3</v>
      </c>
      <c r="B100" t="s">
        <v>12</v>
      </c>
      <c r="C100">
        <v>0.89381358318664095</v>
      </c>
    </row>
    <row r="101" spans="1:3" x14ac:dyDescent="0.2">
      <c r="A101">
        <v>4</v>
      </c>
      <c r="B101" t="s">
        <v>13</v>
      </c>
      <c r="C101">
        <v>0.88217641813158298</v>
      </c>
    </row>
    <row r="102" spans="1:3" x14ac:dyDescent="0.2">
      <c r="A102">
        <v>5</v>
      </c>
      <c r="B102" t="s">
        <v>14</v>
      </c>
      <c r="C102">
        <v>0.86931015615785601</v>
      </c>
    </row>
    <row r="103" spans="1:3" x14ac:dyDescent="0.2">
      <c r="A103">
        <v>6</v>
      </c>
      <c r="B103" t="s">
        <v>15</v>
      </c>
      <c r="C103">
        <v>0.90946439471177698</v>
      </c>
    </row>
    <row r="104" spans="1:3" x14ac:dyDescent="0.2">
      <c r="A104">
        <v>1</v>
      </c>
      <c r="B104" t="s">
        <v>10</v>
      </c>
      <c r="C104">
        <v>0.923336273379605</v>
      </c>
    </row>
    <row r="105" spans="1:3" x14ac:dyDescent="0.2">
      <c r="A105">
        <v>2</v>
      </c>
      <c r="B105" t="s">
        <v>11</v>
      </c>
      <c r="C105">
        <v>0.92429811414636298</v>
      </c>
    </row>
    <row r="106" spans="1:3" x14ac:dyDescent="0.2">
      <c r="A106">
        <v>3</v>
      </c>
      <c r="B106" t="s">
        <v>12</v>
      </c>
      <c r="C106">
        <v>0.917458627015592</v>
      </c>
    </row>
    <row r="107" spans="1:3" x14ac:dyDescent="0.2">
      <c r="A107">
        <v>4</v>
      </c>
      <c r="B107" t="s">
        <v>13</v>
      </c>
      <c r="C107">
        <v>0.93355185063399004</v>
      </c>
    </row>
    <row r="108" spans="1:3" x14ac:dyDescent="0.2">
      <c r="A108">
        <v>5</v>
      </c>
      <c r="B108" t="s">
        <v>14</v>
      </c>
      <c r="C108">
        <v>0.88887290820428</v>
      </c>
    </row>
    <row r="109" spans="1:3" x14ac:dyDescent="0.2">
      <c r="A109">
        <v>6</v>
      </c>
      <c r="B109" t="s">
        <v>15</v>
      </c>
      <c r="C109">
        <v>0.85637423422040604</v>
      </c>
    </row>
    <row r="110" spans="1:3" x14ac:dyDescent="0.2">
      <c r="A110">
        <v>1</v>
      </c>
      <c r="B110" t="s">
        <v>10</v>
      </c>
      <c r="C110">
        <v>0.85200860015431701</v>
      </c>
    </row>
    <row r="111" spans="1:3" x14ac:dyDescent="0.2">
      <c r="A111">
        <v>2</v>
      </c>
      <c r="B111" t="s">
        <v>11</v>
      </c>
      <c r="C111">
        <v>0.94875255476517295</v>
      </c>
    </row>
    <row r="112" spans="1:3" x14ac:dyDescent="0.2">
      <c r="A112">
        <v>3</v>
      </c>
      <c r="B112" t="s">
        <v>12</v>
      </c>
      <c r="C112">
        <v>0.92351611552641399</v>
      </c>
    </row>
    <row r="113" spans="1:3" x14ac:dyDescent="0.2">
      <c r="A113">
        <v>4</v>
      </c>
      <c r="B113" t="s">
        <v>13</v>
      </c>
      <c r="C113">
        <v>0.80720811145248295</v>
      </c>
    </row>
    <row r="114" spans="1:3" x14ac:dyDescent="0.2">
      <c r="A114">
        <v>5</v>
      </c>
      <c r="B114" t="s">
        <v>14</v>
      </c>
      <c r="C114">
        <v>0.95483767133999697</v>
      </c>
    </row>
    <row r="115" spans="1:3" x14ac:dyDescent="0.2">
      <c r="A115">
        <v>6</v>
      </c>
      <c r="B115" t="s">
        <v>15</v>
      </c>
      <c r="C115">
        <v>0.99402175732013198</v>
      </c>
    </row>
    <row r="116" spans="1:3" x14ac:dyDescent="0.2">
      <c r="A116">
        <v>1</v>
      </c>
      <c r="B116" t="s">
        <v>10</v>
      </c>
      <c r="C116">
        <v>0.86420415746207302</v>
      </c>
    </row>
    <row r="117" spans="1:3" x14ac:dyDescent="0.2">
      <c r="A117">
        <v>2</v>
      </c>
      <c r="B117" t="s">
        <v>11</v>
      </c>
      <c r="C117">
        <v>0.916808002313802</v>
      </c>
    </row>
    <row r="118" spans="1:3" x14ac:dyDescent="0.2">
      <c r="A118">
        <v>3</v>
      </c>
      <c r="B118" t="s">
        <v>12</v>
      </c>
      <c r="C118">
        <v>0.87632709531838204</v>
      </c>
    </row>
    <row r="119" spans="1:3" x14ac:dyDescent="0.2">
      <c r="A119">
        <v>4</v>
      </c>
      <c r="B119" t="s">
        <v>13</v>
      </c>
      <c r="C119">
        <v>0.93141534627355804</v>
      </c>
    </row>
    <row r="120" spans="1:3" x14ac:dyDescent="0.2">
      <c r="A120">
        <v>5</v>
      </c>
      <c r="B120" t="s">
        <v>14</v>
      </c>
      <c r="C120">
        <v>0.84169955554623799</v>
      </c>
    </row>
    <row r="121" spans="1:3" x14ac:dyDescent="0.2">
      <c r="A121">
        <v>6</v>
      </c>
      <c r="B121" t="s">
        <v>15</v>
      </c>
      <c r="C121">
        <v>0.89642771714506098</v>
      </c>
    </row>
    <row r="122" spans="1:3" x14ac:dyDescent="0.2">
      <c r="A122">
        <v>1</v>
      </c>
      <c r="B122" t="s">
        <v>10</v>
      </c>
      <c r="C122">
        <v>0.94906570639993904</v>
      </c>
    </row>
    <row r="123" spans="1:3" x14ac:dyDescent="0.2">
      <c r="A123">
        <v>2</v>
      </c>
      <c r="B123" t="s">
        <v>11</v>
      </c>
      <c r="C123">
        <v>0.96178558696494199</v>
      </c>
    </row>
    <row r="124" spans="1:3" x14ac:dyDescent="0.2">
      <c r="A124">
        <v>3</v>
      </c>
      <c r="B124" t="s">
        <v>12</v>
      </c>
      <c r="C124">
        <v>0.92132479094598396</v>
      </c>
    </row>
    <row r="125" spans="1:3" x14ac:dyDescent="0.2">
      <c r="A125">
        <v>4</v>
      </c>
      <c r="B125" t="s">
        <v>13</v>
      </c>
      <c r="C125">
        <v>0.88304773483951304</v>
      </c>
    </row>
    <row r="126" spans="1:3" x14ac:dyDescent="0.2">
      <c r="A126">
        <v>5</v>
      </c>
      <c r="B126" t="s">
        <v>14</v>
      </c>
      <c r="C126">
        <v>0.82036994578281897</v>
      </c>
    </row>
    <row r="127" spans="1:3" x14ac:dyDescent="0.2">
      <c r="A127">
        <v>6</v>
      </c>
      <c r="B127" t="s">
        <v>15</v>
      </c>
      <c r="C127">
        <v>0.862122514438035</v>
      </c>
    </row>
    <row r="128" spans="1:3" x14ac:dyDescent="0.2">
      <c r="A128">
        <v>1</v>
      </c>
      <c r="B128" t="s">
        <v>10</v>
      </c>
      <c r="C128">
        <v>0.87653632976226104</v>
      </c>
    </row>
    <row r="129" spans="1:3" x14ac:dyDescent="0.2">
      <c r="A129">
        <v>2</v>
      </c>
      <c r="B129" t="s">
        <v>11</v>
      </c>
      <c r="C129">
        <v>0.86511331083491905</v>
      </c>
    </row>
    <row r="130" spans="1:3" x14ac:dyDescent="0.2">
      <c r="A130">
        <v>3</v>
      </c>
      <c r="B130" t="s">
        <v>12</v>
      </c>
      <c r="C130">
        <v>0.90297764841567996</v>
      </c>
    </row>
    <row r="131" spans="1:3" x14ac:dyDescent="0.2">
      <c r="A131">
        <v>4</v>
      </c>
      <c r="B131" t="s">
        <v>13</v>
      </c>
      <c r="C131">
        <v>0.88290561319143501</v>
      </c>
    </row>
    <row r="132" spans="1:3" x14ac:dyDescent="0.2">
      <c r="A132">
        <v>5</v>
      </c>
      <c r="B132" t="s">
        <v>14</v>
      </c>
      <c r="C132">
        <v>0.90860606861677196</v>
      </c>
    </row>
    <row r="133" spans="1:3" x14ac:dyDescent="0.2">
      <c r="A133">
        <v>6</v>
      </c>
      <c r="B133" t="s">
        <v>15</v>
      </c>
      <c r="C133">
        <v>0.96013136505238295</v>
      </c>
    </row>
    <row r="134" spans="1:3" x14ac:dyDescent="0.2">
      <c r="A134">
        <v>1</v>
      </c>
      <c r="B134" t="s">
        <v>10</v>
      </c>
      <c r="C134">
        <v>0.87967688893853102</v>
      </c>
    </row>
    <row r="135" spans="1:3" x14ac:dyDescent="0.2">
      <c r="A135">
        <v>2</v>
      </c>
      <c r="B135" t="s">
        <v>11</v>
      </c>
      <c r="C135">
        <v>0.83085665113728802</v>
      </c>
    </row>
    <row r="136" spans="1:3" x14ac:dyDescent="0.2">
      <c r="A136">
        <v>3</v>
      </c>
      <c r="B136" t="s">
        <v>12</v>
      </c>
      <c r="C136">
        <v>0.86491462009375597</v>
      </c>
    </row>
    <row r="137" spans="1:3" x14ac:dyDescent="0.2">
      <c r="A137">
        <v>4</v>
      </c>
      <c r="B137" t="s">
        <v>13</v>
      </c>
      <c r="C137">
        <v>0.929179423498663</v>
      </c>
    </row>
    <row r="138" spans="1:3" x14ac:dyDescent="0.2">
      <c r="A138">
        <v>5</v>
      </c>
      <c r="B138" t="s">
        <v>14</v>
      </c>
      <c r="C138">
        <v>0.93389718924763299</v>
      </c>
    </row>
    <row r="139" spans="1:3" x14ac:dyDescent="0.2">
      <c r="A139">
        <v>6</v>
      </c>
      <c r="B139" t="s">
        <v>15</v>
      </c>
      <c r="C139">
        <v>0.92030425985081099</v>
      </c>
    </row>
    <row r="140" spans="1:3" x14ac:dyDescent="0.2">
      <c r="A140">
        <v>1</v>
      </c>
      <c r="B140" t="s">
        <v>10</v>
      </c>
      <c r="C140">
        <v>0.96503686529440003</v>
      </c>
    </row>
    <row r="141" spans="1:3" x14ac:dyDescent="0.2">
      <c r="A141">
        <v>2</v>
      </c>
      <c r="B141" t="s">
        <v>11</v>
      </c>
      <c r="C141">
        <v>0.89068184650615001</v>
      </c>
    </row>
    <row r="142" spans="1:3" x14ac:dyDescent="0.2">
      <c r="A142">
        <v>3</v>
      </c>
      <c r="B142" t="s">
        <v>12</v>
      </c>
      <c r="C142">
        <v>1</v>
      </c>
    </row>
    <row r="143" spans="1:3" x14ac:dyDescent="0.2">
      <c r="A143">
        <v>4</v>
      </c>
      <c r="B143" t="s">
        <v>13</v>
      </c>
      <c r="C143">
        <v>0.94090935680529497</v>
      </c>
    </row>
    <row r="144" spans="1:3" x14ac:dyDescent="0.2">
      <c r="A144">
        <v>5</v>
      </c>
      <c r="B144" t="s">
        <v>14</v>
      </c>
      <c r="C144">
        <v>0.8</v>
      </c>
    </row>
    <row r="145" spans="1:3" x14ac:dyDescent="0.2">
      <c r="A145">
        <v>6</v>
      </c>
      <c r="B145" t="s">
        <v>15</v>
      </c>
      <c r="C145">
        <v>0.99003293149817795</v>
      </c>
    </row>
    <row r="146" spans="1:3" x14ac:dyDescent="0.2">
      <c r="A146">
        <v>1</v>
      </c>
      <c r="B146" t="s">
        <v>10</v>
      </c>
      <c r="C146">
        <v>0.86165066949321301</v>
      </c>
    </row>
    <row r="147" spans="1:3" x14ac:dyDescent="0.2">
      <c r="A147">
        <v>2</v>
      </c>
      <c r="B147" t="s">
        <v>11</v>
      </c>
      <c r="C147">
        <v>0.84829494052715304</v>
      </c>
    </row>
    <row r="148" spans="1:3" x14ac:dyDescent="0.2">
      <c r="A148">
        <v>3</v>
      </c>
      <c r="B148" t="s">
        <v>12</v>
      </c>
      <c r="C148">
        <v>0.92618855549164403</v>
      </c>
    </row>
    <row r="149" spans="1:3" x14ac:dyDescent="0.2">
      <c r="A149">
        <v>4</v>
      </c>
      <c r="B149" t="s">
        <v>13</v>
      </c>
      <c r="C149">
        <v>0.81309097638317196</v>
      </c>
    </row>
    <row r="150" spans="1:3" x14ac:dyDescent="0.2">
      <c r="A150">
        <v>5</v>
      </c>
      <c r="B150" t="s">
        <v>14</v>
      </c>
      <c r="C150">
        <v>0.86522653843391895</v>
      </c>
    </row>
    <row r="151" spans="1:3" x14ac:dyDescent="0.2">
      <c r="A151">
        <v>6</v>
      </c>
      <c r="B151" t="s">
        <v>15</v>
      </c>
      <c r="C151">
        <v>0.97785492703121002</v>
      </c>
    </row>
    <row r="152" spans="1:3" x14ac:dyDescent="0.2">
      <c r="A152">
        <v>1</v>
      </c>
      <c r="B152" t="s">
        <v>10</v>
      </c>
      <c r="C152">
        <v>0.92781087894987502</v>
      </c>
    </row>
    <row r="153" spans="1:3" x14ac:dyDescent="0.2">
      <c r="A153">
        <v>2</v>
      </c>
      <c r="B153" t="s">
        <v>11</v>
      </c>
      <c r="C153">
        <v>0.94061198904696097</v>
      </c>
    </row>
    <row r="154" spans="1:3" x14ac:dyDescent="0.2">
      <c r="A154">
        <v>3</v>
      </c>
      <c r="B154" t="s">
        <v>12</v>
      </c>
      <c r="C154">
        <v>0.86715446997512602</v>
      </c>
    </row>
    <row r="155" spans="1:3" x14ac:dyDescent="0.2">
      <c r="A155">
        <v>4</v>
      </c>
      <c r="B155" t="s">
        <v>13</v>
      </c>
      <c r="C155">
        <v>0.82308150005159397</v>
      </c>
    </row>
    <row r="156" spans="1:3" x14ac:dyDescent="0.2">
      <c r="A156">
        <v>5</v>
      </c>
      <c r="B156" t="s">
        <v>14</v>
      </c>
      <c r="C156">
        <v>0.93534087146568601</v>
      </c>
    </row>
    <row r="157" spans="1:3" x14ac:dyDescent="0.2">
      <c r="A157">
        <v>6</v>
      </c>
      <c r="B157" t="s">
        <v>15</v>
      </c>
      <c r="C157">
        <v>0.94651280781209701</v>
      </c>
    </row>
    <row r="158" spans="1:3" x14ac:dyDescent="0.2">
      <c r="A158">
        <v>1</v>
      </c>
      <c r="B158" t="s">
        <v>10</v>
      </c>
      <c r="C158">
        <v>0.94424966930405496</v>
      </c>
    </row>
    <row r="159" spans="1:3" x14ac:dyDescent="0.2">
      <c r="A159">
        <v>2</v>
      </c>
      <c r="B159" t="s">
        <v>11</v>
      </c>
      <c r="C159">
        <v>0.91045346150589301</v>
      </c>
    </row>
    <row r="160" spans="1:3" x14ac:dyDescent="0.2">
      <c r="A160">
        <v>3</v>
      </c>
      <c r="B160" t="s">
        <v>12</v>
      </c>
      <c r="C160">
        <v>0.85164658782639602</v>
      </c>
    </row>
    <row r="161" spans="1:3" x14ac:dyDescent="0.2">
      <c r="A161">
        <v>4</v>
      </c>
      <c r="B161" t="s">
        <v>13</v>
      </c>
      <c r="C161">
        <v>1</v>
      </c>
    </row>
    <row r="162" spans="1:3" x14ac:dyDescent="0.2">
      <c r="A162">
        <v>5</v>
      </c>
      <c r="B162" t="s">
        <v>14</v>
      </c>
      <c r="C162">
        <v>0.92398937214920795</v>
      </c>
    </row>
    <row r="163" spans="1:3" x14ac:dyDescent="0.2">
      <c r="A163">
        <v>6</v>
      </c>
      <c r="B163" t="s">
        <v>15</v>
      </c>
      <c r="C163">
        <v>0.891305667920541</v>
      </c>
    </row>
    <row r="164" spans="1:3" x14ac:dyDescent="0.2">
      <c r="A164">
        <v>1</v>
      </c>
      <c r="B164" t="s">
        <v>10</v>
      </c>
      <c r="C164">
        <v>0.89152753812583097</v>
      </c>
    </row>
    <row r="165" spans="1:3" x14ac:dyDescent="0.2">
      <c r="A165">
        <v>2</v>
      </c>
      <c r="B165" t="s">
        <v>11</v>
      </c>
      <c r="C165">
        <v>0.90747987390367701</v>
      </c>
    </row>
    <row r="166" spans="1:3" x14ac:dyDescent="0.2">
      <c r="A166">
        <v>3</v>
      </c>
      <c r="B166" t="s">
        <v>12</v>
      </c>
      <c r="C166">
        <v>0.95348041310789899</v>
      </c>
    </row>
    <row r="167" spans="1:3" x14ac:dyDescent="0.2">
      <c r="A167">
        <v>4</v>
      </c>
      <c r="B167" t="s">
        <v>13</v>
      </c>
      <c r="C167">
        <v>0.90948140616527196</v>
      </c>
    </row>
    <row r="168" spans="1:3" x14ac:dyDescent="0.2">
      <c r="A168">
        <v>5</v>
      </c>
      <c r="B168" t="s">
        <v>14</v>
      </c>
      <c r="C168">
        <v>0.94292565767237402</v>
      </c>
    </row>
    <row r="169" spans="1:3" x14ac:dyDescent="0.2">
      <c r="A169">
        <v>6</v>
      </c>
      <c r="B169" t="s">
        <v>15</v>
      </c>
      <c r="C169">
        <v>0.90756988439466002</v>
      </c>
    </row>
    <row r="170" spans="1:3" x14ac:dyDescent="0.2">
      <c r="A170">
        <v>1</v>
      </c>
      <c r="B170" t="s">
        <v>10</v>
      </c>
      <c r="C170">
        <v>0.89438230542648101</v>
      </c>
    </row>
    <row r="171" spans="1:3" x14ac:dyDescent="0.2">
      <c r="A171">
        <v>2</v>
      </c>
      <c r="B171" t="s">
        <v>11</v>
      </c>
      <c r="C171">
        <v>0.93206251966641895</v>
      </c>
    </row>
    <row r="172" spans="1:3" x14ac:dyDescent="0.2">
      <c r="A172">
        <v>3</v>
      </c>
      <c r="B172" t="s">
        <v>12</v>
      </c>
      <c r="C172">
        <v>0.93016430168368902</v>
      </c>
    </row>
    <row r="173" spans="1:3" x14ac:dyDescent="0.2">
      <c r="A173">
        <v>4</v>
      </c>
      <c r="B173" t="s">
        <v>13</v>
      </c>
      <c r="C173">
        <v>0.89151829404524197</v>
      </c>
    </row>
    <row r="174" spans="1:3" x14ac:dyDescent="0.2">
      <c r="A174">
        <v>5</v>
      </c>
      <c r="B174" t="s">
        <v>14</v>
      </c>
      <c r="C174">
        <v>0.86253965211428696</v>
      </c>
    </row>
    <row r="175" spans="1:3" x14ac:dyDescent="0.2">
      <c r="A175">
        <v>6</v>
      </c>
      <c r="B175" t="s">
        <v>15</v>
      </c>
      <c r="C175">
        <v>0.91708644573702103</v>
      </c>
    </row>
    <row r="176" spans="1:3" x14ac:dyDescent="0.2">
      <c r="A176">
        <v>1</v>
      </c>
      <c r="B176" t="s">
        <v>10</v>
      </c>
      <c r="C176">
        <v>0.90391743344812903</v>
      </c>
    </row>
    <row r="177" spans="1:3" x14ac:dyDescent="0.2">
      <c r="A177">
        <v>2</v>
      </c>
      <c r="B177" t="s">
        <v>11</v>
      </c>
      <c r="C177">
        <v>0.87225641436146195</v>
      </c>
    </row>
    <row r="178" spans="1:3" x14ac:dyDescent="0.2">
      <c r="A178">
        <v>3</v>
      </c>
      <c r="B178" t="s">
        <v>12</v>
      </c>
      <c r="C178">
        <v>0.85787997587316001</v>
      </c>
    </row>
    <row r="179" spans="1:3" x14ac:dyDescent="0.2">
      <c r="A179">
        <v>4</v>
      </c>
      <c r="B179" t="s">
        <v>13</v>
      </c>
      <c r="C179">
        <v>0.92052379219472202</v>
      </c>
    </row>
    <row r="180" spans="1:3" x14ac:dyDescent="0.2">
      <c r="A180">
        <v>5</v>
      </c>
      <c r="B180" t="s">
        <v>14</v>
      </c>
      <c r="C180">
        <v>0.92750475285138401</v>
      </c>
    </row>
    <row r="181" spans="1:3" x14ac:dyDescent="0.2">
      <c r="A181">
        <v>6</v>
      </c>
      <c r="B181" t="s">
        <v>15</v>
      </c>
      <c r="C181">
        <v>0.88199839426725701</v>
      </c>
    </row>
    <row r="182" spans="1:3" x14ac:dyDescent="0.2">
      <c r="A182">
        <v>1</v>
      </c>
      <c r="B182" t="s">
        <v>10</v>
      </c>
      <c r="C182">
        <v>0.87100314820435298</v>
      </c>
    </row>
    <row r="183" spans="1:3" x14ac:dyDescent="0.2">
      <c r="A183">
        <v>2</v>
      </c>
      <c r="B183" t="s">
        <v>11</v>
      </c>
      <c r="C183">
        <v>0.85848724054813996</v>
      </c>
    </row>
    <row r="184" spans="1:3" x14ac:dyDescent="0.2">
      <c r="A184">
        <v>3</v>
      </c>
      <c r="B184" t="s">
        <v>12</v>
      </c>
      <c r="C184">
        <v>0.91911274695724599</v>
      </c>
    </row>
    <row r="185" spans="1:3" x14ac:dyDescent="0.2">
      <c r="A185">
        <v>4</v>
      </c>
      <c r="B185" t="s">
        <v>13</v>
      </c>
      <c r="C185">
        <v>0.85980114631796301</v>
      </c>
    </row>
    <row r="186" spans="1:3" x14ac:dyDescent="0.2">
      <c r="A186">
        <v>5</v>
      </c>
      <c r="B186" t="s">
        <v>14</v>
      </c>
      <c r="C186">
        <v>1</v>
      </c>
    </row>
    <row r="187" spans="1:3" x14ac:dyDescent="0.2">
      <c r="A187">
        <v>6</v>
      </c>
      <c r="B187" t="s">
        <v>15</v>
      </c>
      <c r="C187">
        <v>0.87948592820145</v>
      </c>
    </row>
    <row r="188" spans="1:3" x14ac:dyDescent="0.2">
      <c r="A188">
        <v>1</v>
      </c>
      <c r="B188" t="s">
        <v>10</v>
      </c>
      <c r="C188">
        <v>0.8</v>
      </c>
    </row>
    <row r="189" spans="1:3" x14ac:dyDescent="0.2">
      <c r="A189">
        <v>2</v>
      </c>
      <c r="B189" t="s">
        <v>11</v>
      </c>
      <c r="C189">
        <v>0.89849141666854304</v>
      </c>
    </row>
    <row r="190" spans="1:3" x14ac:dyDescent="0.2">
      <c r="A190">
        <v>3</v>
      </c>
      <c r="B190" t="s">
        <v>12</v>
      </c>
      <c r="C190">
        <v>0.896348326009059</v>
      </c>
    </row>
    <row r="191" spans="1:3" x14ac:dyDescent="0.2">
      <c r="A191">
        <v>4</v>
      </c>
      <c r="B191" t="s">
        <v>13</v>
      </c>
      <c r="C191">
        <v>0.95558592837620904</v>
      </c>
    </row>
    <row r="192" spans="1:3" x14ac:dyDescent="0.2">
      <c r="A192">
        <v>5</v>
      </c>
      <c r="B192" t="s">
        <v>14</v>
      </c>
      <c r="C192">
        <v>0.91440631183638499</v>
      </c>
    </row>
    <row r="193" spans="1:3" x14ac:dyDescent="0.2">
      <c r="A193">
        <v>6</v>
      </c>
      <c r="B193" t="s">
        <v>15</v>
      </c>
      <c r="C193">
        <v>0.85830824082800905</v>
      </c>
    </row>
    <row r="194" spans="1:3" x14ac:dyDescent="0.2">
      <c r="A194">
        <v>1</v>
      </c>
      <c r="B194" t="s">
        <v>10</v>
      </c>
      <c r="C194">
        <v>0.88568040632516098</v>
      </c>
    </row>
    <row r="195" spans="1:3" x14ac:dyDescent="0.2">
      <c r="A195">
        <v>2</v>
      </c>
      <c r="B195" t="s">
        <v>11</v>
      </c>
      <c r="C195">
        <v>0.91637098858254895</v>
      </c>
    </row>
    <row r="196" spans="1:3" x14ac:dyDescent="0.2">
      <c r="A196">
        <v>3</v>
      </c>
      <c r="B196" t="s">
        <v>12</v>
      </c>
      <c r="C196">
        <v>0.8</v>
      </c>
    </row>
    <row r="197" spans="1:3" x14ac:dyDescent="0.2">
      <c r="A197">
        <v>4</v>
      </c>
      <c r="B197" t="s">
        <v>13</v>
      </c>
      <c r="C197">
        <v>0.96693108671952199</v>
      </c>
    </row>
    <row r="198" spans="1:3" x14ac:dyDescent="0.2">
      <c r="A198">
        <v>5</v>
      </c>
      <c r="B198" t="s">
        <v>14</v>
      </c>
      <c r="C198">
        <v>0.85844150570976596</v>
      </c>
    </row>
    <row r="199" spans="1:3" x14ac:dyDescent="0.2">
      <c r="A199">
        <v>6</v>
      </c>
      <c r="B199" t="s">
        <v>15</v>
      </c>
      <c r="C199">
        <v>0.97085219104737996</v>
      </c>
    </row>
    <row r="200" spans="1:3" x14ac:dyDescent="0.2">
      <c r="A200">
        <v>1</v>
      </c>
      <c r="B200" t="s">
        <v>10</v>
      </c>
      <c r="C200">
        <v>0.91962325705632897</v>
      </c>
    </row>
    <row r="201" spans="1:3" x14ac:dyDescent="0.2">
      <c r="A201">
        <v>2</v>
      </c>
      <c r="B201" t="s">
        <v>11</v>
      </c>
      <c r="C201">
        <v>0.93147970681969805</v>
      </c>
    </row>
    <row r="202" spans="1:3" x14ac:dyDescent="0.2">
      <c r="A202">
        <v>3</v>
      </c>
      <c r="B202" t="s">
        <v>12</v>
      </c>
      <c r="C202">
        <v>0.95747117180006303</v>
      </c>
    </row>
    <row r="203" spans="1:3" x14ac:dyDescent="0.2">
      <c r="A203">
        <v>4</v>
      </c>
      <c r="B203" t="s">
        <v>13</v>
      </c>
      <c r="C203">
        <v>0.92865660263462402</v>
      </c>
    </row>
    <row r="204" spans="1:3" x14ac:dyDescent="0.2">
      <c r="A204">
        <v>5</v>
      </c>
      <c r="B204" t="s">
        <v>14</v>
      </c>
      <c r="C204">
        <v>0.93364431081587196</v>
      </c>
    </row>
    <row r="205" spans="1:3" x14ac:dyDescent="0.2">
      <c r="A205">
        <v>6</v>
      </c>
      <c r="B205" t="s">
        <v>15</v>
      </c>
      <c r="C205">
        <v>0.89177917797693096</v>
      </c>
    </row>
    <row r="206" spans="1:3" x14ac:dyDescent="0.2">
      <c r="A206">
        <v>1</v>
      </c>
      <c r="B206" t="s">
        <v>10</v>
      </c>
      <c r="C206">
        <v>0.91860843407360404</v>
      </c>
    </row>
    <row r="207" spans="1:3" x14ac:dyDescent="0.2">
      <c r="A207">
        <v>2</v>
      </c>
      <c r="B207" t="s">
        <v>11</v>
      </c>
      <c r="C207">
        <v>0.87062510925141201</v>
      </c>
    </row>
    <row r="208" spans="1:3" x14ac:dyDescent="0.2">
      <c r="A208">
        <v>3</v>
      </c>
      <c r="B208" t="s">
        <v>12</v>
      </c>
      <c r="C208">
        <v>0.88282944502060101</v>
      </c>
    </row>
    <row r="209" spans="1:3" x14ac:dyDescent="0.2">
      <c r="A209">
        <v>4</v>
      </c>
      <c r="B209" t="s">
        <v>13</v>
      </c>
      <c r="C209">
        <v>0.99823475239844495</v>
      </c>
    </row>
    <row r="210" spans="1:3" x14ac:dyDescent="0.2">
      <c r="A210">
        <v>5</v>
      </c>
      <c r="B210" t="s">
        <v>14</v>
      </c>
      <c r="C210">
        <v>0.85959032074747799</v>
      </c>
    </row>
    <row r="211" spans="1:3" x14ac:dyDescent="0.2">
      <c r="A211">
        <v>6</v>
      </c>
      <c r="B211" t="s">
        <v>15</v>
      </c>
      <c r="C211">
        <v>0.90771585633181395</v>
      </c>
    </row>
    <row r="212" spans="1:3" x14ac:dyDescent="0.2">
      <c r="A212">
        <v>1</v>
      </c>
      <c r="B212" t="s">
        <v>10</v>
      </c>
      <c r="C212">
        <v>0.90567345183577397</v>
      </c>
    </row>
    <row r="213" spans="1:3" x14ac:dyDescent="0.2">
      <c r="A213">
        <v>2</v>
      </c>
      <c r="B213" t="s">
        <v>11</v>
      </c>
      <c r="C213">
        <v>0.88446227641095998</v>
      </c>
    </row>
    <row r="214" spans="1:3" x14ac:dyDescent="0.2">
      <c r="A214">
        <v>3</v>
      </c>
      <c r="B214" t="s">
        <v>12</v>
      </c>
      <c r="C214">
        <v>0.92572004682852205</v>
      </c>
    </row>
    <row r="215" spans="1:3" x14ac:dyDescent="0.2">
      <c r="A215">
        <v>4</v>
      </c>
      <c r="B215" t="s">
        <v>13</v>
      </c>
      <c r="C215">
        <v>0.92948610463706904</v>
      </c>
    </row>
    <row r="216" spans="1:3" x14ac:dyDescent="0.2">
      <c r="A216">
        <v>5</v>
      </c>
      <c r="B216" t="s">
        <v>14</v>
      </c>
      <c r="C216">
        <v>0.853709040842621</v>
      </c>
    </row>
    <row r="217" spans="1:3" x14ac:dyDescent="0.2">
      <c r="A217">
        <v>6</v>
      </c>
      <c r="B217" t="s">
        <v>15</v>
      </c>
      <c r="C217">
        <v>0.90506783557732695</v>
      </c>
    </row>
  </sheetData>
  <autoFilter ref="A1:C217" xr:uid="{00000000-0001-0000-0000-000000000000}"/>
  <dataValidations count="1">
    <dataValidation type="decimal" allowBlank="1" showInputMessage="1" showErrorMessage="1" sqref="C1:C1048576 E2:J37" xr:uid="{FAA116D3-D1E3-3448-8834-939F6FECD916}">
      <formula1>0.8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B0F2-3BBE-5C47-98E8-F22CBAFF8AF4}">
  <sheetPr>
    <tabColor rgb="FFFFC000"/>
  </sheetPr>
  <dimension ref="A1:P217"/>
  <sheetViews>
    <sheetView zoomScale="130" zoomScaleNormal="130" workbookViewId="0">
      <pane ySplit="1" topLeftCell="A2" activePane="bottomLeft" state="frozen"/>
      <selection activeCell="F5" sqref="F5"/>
      <selection pane="bottomLeft" activeCell="I3" sqref="I3"/>
    </sheetView>
  </sheetViews>
  <sheetFormatPr baseColWidth="10" defaultColWidth="8.83203125" defaultRowHeight="15" x14ac:dyDescent="0.2"/>
  <cols>
    <col min="1" max="1" width="3.6640625" customWidth="1"/>
    <col min="2" max="2" width="7" customWidth="1"/>
    <col min="3" max="3" width="20.33203125" bestFit="1" customWidth="1"/>
    <col min="10" max="10" width="16.33203125" bestFit="1" customWidth="1"/>
    <col min="11" max="16" width="12.1640625" bestFit="1" customWidth="1"/>
  </cols>
  <sheetData>
    <row r="1" spans="1:16" x14ac:dyDescent="0.2">
      <c r="A1" s="6" t="s">
        <v>0</v>
      </c>
      <c r="B1" s="10" t="s">
        <v>33</v>
      </c>
      <c r="C1" s="9" t="s">
        <v>8</v>
      </c>
      <c r="E1" s="3" t="s">
        <v>55</v>
      </c>
      <c r="F1" s="3" t="s">
        <v>52</v>
      </c>
      <c r="G1" s="3" t="s">
        <v>53</v>
      </c>
      <c r="H1" s="3" t="s">
        <v>54</v>
      </c>
    </row>
    <row r="2" spans="1:16" x14ac:dyDescent="0.2">
      <c r="A2">
        <v>1</v>
      </c>
      <c r="B2" s="13" t="s">
        <v>52</v>
      </c>
      <c r="C2">
        <v>0.8</v>
      </c>
      <c r="E2">
        <v>0.89050987401262804</v>
      </c>
      <c r="F2">
        <v>0.8</v>
      </c>
      <c r="G2">
        <v>0.85809018429952399</v>
      </c>
      <c r="H2">
        <v>0.87833700582562202</v>
      </c>
    </row>
    <row r="3" spans="1:16" x14ac:dyDescent="0.2">
      <c r="A3">
        <v>2</v>
      </c>
      <c r="B3" s="13" t="s">
        <v>52</v>
      </c>
      <c r="C3">
        <v>0.91672496008890603</v>
      </c>
      <c r="E3">
        <v>0.97200367582667202</v>
      </c>
      <c r="F3">
        <v>0.91672496008890603</v>
      </c>
      <c r="G3">
        <v>0.87781908477414705</v>
      </c>
      <c r="H3">
        <v>0.95099622897984804</v>
      </c>
      <c r="J3" s="15" t="s">
        <v>34</v>
      </c>
      <c r="K3" s="15"/>
      <c r="L3" s="15"/>
      <c r="M3" s="15"/>
      <c r="N3" s="15"/>
      <c r="O3" s="15"/>
      <c r="P3" s="15"/>
    </row>
    <row r="4" spans="1:16" x14ac:dyDescent="0.2">
      <c r="A4">
        <v>3</v>
      </c>
      <c r="B4" s="13" t="s">
        <v>52</v>
      </c>
      <c r="C4">
        <v>0.92182125647465396</v>
      </c>
      <c r="E4">
        <v>0.86530658395959903</v>
      </c>
      <c r="F4">
        <v>0.92182125647465396</v>
      </c>
      <c r="G4">
        <v>0.845193848763096</v>
      </c>
      <c r="H4">
        <v>0.92714132796595095</v>
      </c>
      <c r="J4" s="15"/>
      <c r="K4" s="15"/>
      <c r="L4" s="15"/>
      <c r="M4" s="15"/>
      <c r="N4" s="15"/>
      <c r="O4" s="15"/>
      <c r="P4" s="15"/>
    </row>
    <row r="5" spans="1:16" ht="16" thickBot="1" x14ac:dyDescent="0.25">
      <c r="A5">
        <v>4</v>
      </c>
      <c r="B5" s="13" t="s">
        <v>52</v>
      </c>
      <c r="C5">
        <v>0.96631710989936104</v>
      </c>
      <c r="E5">
        <v>0.92274859453004798</v>
      </c>
      <c r="F5">
        <v>0.96631710989936104</v>
      </c>
      <c r="G5">
        <v>0.89820022940113797</v>
      </c>
      <c r="H5">
        <v>0.942438325130321</v>
      </c>
      <c r="J5" s="15" t="s">
        <v>35</v>
      </c>
      <c r="K5" s="15"/>
      <c r="L5" s="15"/>
      <c r="M5" s="15"/>
      <c r="N5" s="15"/>
      <c r="O5" s="15"/>
      <c r="P5" s="15"/>
    </row>
    <row r="6" spans="1:16" x14ac:dyDescent="0.2">
      <c r="A6">
        <v>5</v>
      </c>
      <c r="B6" s="13" t="s">
        <v>52</v>
      </c>
      <c r="C6">
        <v>0.96110616511865199</v>
      </c>
      <c r="E6">
        <v>0.92275305694694798</v>
      </c>
      <c r="F6">
        <v>0.96110616511865199</v>
      </c>
      <c r="G6">
        <v>0.87931454161626899</v>
      </c>
      <c r="H6">
        <v>0.90152477523768004</v>
      </c>
      <c r="J6" s="38" t="s">
        <v>36</v>
      </c>
      <c r="K6" s="38" t="s">
        <v>37</v>
      </c>
      <c r="L6" s="38" t="s">
        <v>38</v>
      </c>
      <c r="M6" s="38" t="s">
        <v>39</v>
      </c>
      <c r="N6" s="38" t="s">
        <v>40</v>
      </c>
      <c r="O6" s="15"/>
      <c r="P6" s="15"/>
    </row>
    <row r="7" spans="1:16" x14ac:dyDescent="0.2">
      <c r="A7">
        <v>6</v>
      </c>
      <c r="B7" s="13" t="s">
        <v>52</v>
      </c>
      <c r="C7">
        <v>0.90555860801447596</v>
      </c>
      <c r="E7">
        <v>0.93803863748353</v>
      </c>
      <c r="F7">
        <v>0.90555860801447596</v>
      </c>
      <c r="G7">
        <v>0.95354476156697998</v>
      </c>
      <c r="H7">
        <v>0.833895034002757</v>
      </c>
      <c r="J7" s="39" t="s">
        <v>55</v>
      </c>
      <c r="K7" s="39">
        <v>54</v>
      </c>
      <c r="L7" s="39">
        <v>48.971620933058489</v>
      </c>
      <c r="M7" s="39">
        <v>0.90688186913071278</v>
      </c>
      <c r="N7" s="39">
        <v>2.1426035422049171E-3</v>
      </c>
      <c r="O7" s="15"/>
      <c r="P7" s="15"/>
    </row>
    <row r="8" spans="1:16" x14ac:dyDescent="0.2">
      <c r="A8">
        <v>1</v>
      </c>
      <c r="B8" s="13" t="s">
        <v>52</v>
      </c>
      <c r="C8">
        <v>0.97573184532901802</v>
      </c>
      <c r="E8">
        <v>0.98322201269741005</v>
      </c>
      <c r="F8">
        <v>0.97573184532901802</v>
      </c>
      <c r="G8">
        <v>0.87626131772581395</v>
      </c>
      <c r="H8">
        <v>0.84426573193700105</v>
      </c>
      <c r="J8" s="39" t="s">
        <v>52</v>
      </c>
      <c r="K8" s="39">
        <v>54</v>
      </c>
      <c r="L8" s="39">
        <v>49.023863407609142</v>
      </c>
      <c r="M8" s="39">
        <v>0.90784932236313221</v>
      </c>
      <c r="N8" s="39">
        <v>3.4762073970583773E-3</v>
      </c>
      <c r="O8" s="15"/>
      <c r="P8" s="15"/>
    </row>
    <row r="9" spans="1:16" x14ac:dyDescent="0.2">
      <c r="A9">
        <v>2</v>
      </c>
      <c r="B9" s="13" t="s">
        <v>52</v>
      </c>
      <c r="C9">
        <v>1</v>
      </c>
      <c r="E9">
        <v>0.978095321238305</v>
      </c>
      <c r="F9">
        <v>1</v>
      </c>
      <c r="G9">
        <v>0.8</v>
      </c>
      <c r="H9">
        <v>0.93731298537332897</v>
      </c>
      <c r="J9" s="39" t="s">
        <v>53</v>
      </c>
      <c r="K9" s="39">
        <v>54</v>
      </c>
      <c r="L9" s="39">
        <v>48.770445598206329</v>
      </c>
      <c r="M9" s="39">
        <v>0.90315639996678387</v>
      </c>
      <c r="N9" s="39">
        <v>2.0182924414638608E-3</v>
      </c>
      <c r="O9" s="15"/>
      <c r="P9" s="15"/>
    </row>
    <row r="10" spans="1:16" ht="16" thickBot="1" x14ac:dyDescent="0.25">
      <c r="A10">
        <v>3</v>
      </c>
      <c r="B10" s="13" t="s">
        <v>52</v>
      </c>
      <c r="C10">
        <v>0.90139757276222299</v>
      </c>
      <c r="E10">
        <v>0.87026970830802397</v>
      </c>
      <c r="F10">
        <v>0.90139757276222299</v>
      </c>
      <c r="G10">
        <v>0.90628755862677102</v>
      </c>
      <c r="H10">
        <v>0.908541594920664</v>
      </c>
      <c r="J10" s="40" t="s">
        <v>54</v>
      </c>
      <c r="K10" s="40">
        <v>54</v>
      </c>
      <c r="L10" s="40">
        <v>48.537145583564723</v>
      </c>
      <c r="M10" s="40">
        <v>0.89883602932527262</v>
      </c>
      <c r="N10" s="40">
        <v>1.9616826976975215E-3</v>
      </c>
      <c r="O10" s="15"/>
      <c r="P10" s="15"/>
    </row>
    <row r="11" spans="1:16" x14ac:dyDescent="0.2">
      <c r="A11">
        <v>4</v>
      </c>
      <c r="B11" s="13" t="s">
        <v>52</v>
      </c>
      <c r="C11">
        <v>0.92090935392338702</v>
      </c>
      <c r="E11">
        <v>0.8</v>
      </c>
      <c r="F11">
        <v>0.92090935392338702</v>
      </c>
      <c r="G11">
        <v>0.899290098779433</v>
      </c>
      <c r="H11">
        <v>0.96301037030394199</v>
      </c>
      <c r="J11" s="15"/>
      <c r="K11" s="15"/>
      <c r="L11" s="15"/>
      <c r="M11" s="15"/>
      <c r="N11" s="15"/>
      <c r="O11" s="15"/>
      <c r="P11" s="15"/>
    </row>
    <row r="12" spans="1:16" x14ac:dyDescent="0.2">
      <c r="A12">
        <v>5</v>
      </c>
      <c r="B12" s="13" t="s">
        <v>52</v>
      </c>
      <c r="C12">
        <v>0.81163513234447104</v>
      </c>
      <c r="E12">
        <v>0.86607353323176195</v>
      </c>
      <c r="F12">
        <v>0.81163513234447104</v>
      </c>
      <c r="G12">
        <v>0.85689750592977498</v>
      </c>
      <c r="H12">
        <v>0.91466310516233895</v>
      </c>
      <c r="J12" s="15"/>
      <c r="K12" s="15"/>
      <c r="L12" s="15"/>
      <c r="M12" s="15"/>
      <c r="N12" s="15"/>
      <c r="O12" s="15"/>
      <c r="P12" s="15"/>
    </row>
    <row r="13" spans="1:16" ht="16" thickBot="1" x14ac:dyDescent="0.25">
      <c r="A13">
        <v>6</v>
      </c>
      <c r="B13" s="13" t="s">
        <v>52</v>
      </c>
      <c r="C13">
        <v>0.82745133687794503</v>
      </c>
      <c r="E13">
        <v>0.90378361470236102</v>
      </c>
      <c r="F13">
        <v>0.82745133687794503</v>
      </c>
      <c r="G13">
        <v>0.90474999417485202</v>
      </c>
      <c r="H13">
        <v>0.84084925033339297</v>
      </c>
      <c r="J13" s="15" t="s">
        <v>41</v>
      </c>
      <c r="K13" s="15"/>
      <c r="L13" s="15"/>
      <c r="M13" s="15"/>
      <c r="N13" s="15"/>
      <c r="O13" s="15"/>
      <c r="P13" s="15"/>
    </row>
    <row r="14" spans="1:16" x14ac:dyDescent="0.2">
      <c r="A14">
        <v>1</v>
      </c>
      <c r="B14" s="13" t="s">
        <v>53</v>
      </c>
      <c r="C14">
        <v>0.85809018429952399</v>
      </c>
      <c r="E14">
        <v>0.881917736115717</v>
      </c>
      <c r="F14">
        <v>0.80375941610186596</v>
      </c>
      <c r="G14">
        <v>0.84623677058868296</v>
      </c>
      <c r="H14">
        <v>0.87390490929084197</v>
      </c>
      <c r="J14" s="38" t="s">
        <v>42</v>
      </c>
      <c r="K14" s="38" t="s">
        <v>43</v>
      </c>
      <c r="L14" s="38" t="s">
        <v>44</v>
      </c>
      <c r="M14" s="38" t="s">
        <v>45</v>
      </c>
      <c r="N14" s="38" t="s">
        <v>46</v>
      </c>
      <c r="O14" s="38" t="s">
        <v>47</v>
      </c>
      <c r="P14" s="38" t="s">
        <v>48</v>
      </c>
    </row>
    <row r="15" spans="1:16" x14ac:dyDescent="0.2">
      <c r="A15">
        <v>2</v>
      </c>
      <c r="B15" s="13" t="s">
        <v>53</v>
      </c>
      <c r="C15">
        <v>0.87781908477414705</v>
      </c>
      <c r="E15">
        <v>0.99839494714640598</v>
      </c>
      <c r="F15">
        <v>0.896069118072925</v>
      </c>
      <c r="G15">
        <v>0.91649199768116696</v>
      </c>
      <c r="H15">
        <v>0.928240707484146</v>
      </c>
      <c r="J15" s="39" t="s">
        <v>49</v>
      </c>
      <c r="K15" s="39">
        <v>2.7199691852524133E-3</v>
      </c>
      <c r="L15" s="39">
        <v>3</v>
      </c>
      <c r="M15" s="39">
        <v>9.0665639508413776E-4</v>
      </c>
      <c r="N15" s="39">
        <v>0.37782127351375888</v>
      </c>
      <c r="O15" s="39">
        <v>0.76908918620807654</v>
      </c>
      <c r="P15" s="39">
        <v>2.6471884957686997</v>
      </c>
    </row>
    <row r="16" spans="1:16" x14ac:dyDescent="0.2">
      <c r="A16">
        <v>3</v>
      </c>
      <c r="B16" s="13" t="s">
        <v>53</v>
      </c>
      <c r="C16">
        <v>0.845193848763096</v>
      </c>
      <c r="E16">
        <v>0.90093901521582198</v>
      </c>
      <c r="F16">
        <v>1</v>
      </c>
      <c r="G16">
        <v>1</v>
      </c>
      <c r="H16">
        <v>0.93551662481193099</v>
      </c>
      <c r="J16" s="39" t="s">
        <v>50</v>
      </c>
      <c r="K16" s="39">
        <v>0.5087356621565079</v>
      </c>
      <c r="L16" s="39">
        <v>212</v>
      </c>
      <c r="M16" s="39">
        <v>2.3996965196061695E-3</v>
      </c>
      <c r="N16" s="39"/>
      <c r="O16" s="39"/>
      <c r="P16" s="39"/>
    </row>
    <row r="17" spans="1:16" x14ac:dyDescent="0.2">
      <c r="A17">
        <v>4</v>
      </c>
      <c r="B17" s="13" t="s">
        <v>53</v>
      </c>
      <c r="C17">
        <v>0.89820022940113797</v>
      </c>
      <c r="E17">
        <v>0.93268559401280904</v>
      </c>
      <c r="F17">
        <v>0.83777708000810802</v>
      </c>
      <c r="G17">
        <v>0.80971972635466105</v>
      </c>
      <c r="H17">
        <v>0.94275543160773401</v>
      </c>
      <c r="J17" s="39"/>
      <c r="K17" s="39"/>
      <c r="L17" s="39"/>
      <c r="M17" s="39"/>
      <c r="N17" s="39"/>
      <c r="O17" s="39"/>
      <c r="P17" s="39"/>
    </row>
    <row r="18" spans="1:16" ht="16" thickBot="1" x14ac:dyDescent="0.25">
      <c r="A18">
        <v>5</v>
      </c>
      <c r="B18" s="13" t="s">
        <v>53</v>
      </c>
      <c r="C18">
        <v>0.87931454161626899</v>
      </c>
      <c r="E18">
        <v>0.91086071548236702</v>
      </c>
      <c r="F18">
        <v>0.80925634778128797</v>
      </c>
      <c r="G18">
        <v>0.87418789564954202</v>
      </c>
      <c r="H18">
        <v>0.84757379433974001</v>
      </c>
      <c r="J18" s="40" t="s">
        <v>51</v>
      </c>
      <c r="K18" s="40">
        <v>0.51145563134176031</v>
      </c>
      <c r="L18" s="40">
        <v>215</v>
      </c>
      <c r="M18" s="40"/>
      <c r="N18" s="40"/>
      <c r="O18" s="40"/>
      <c r="P18" s="40"/>
    </row>
    <row r="19" spans="1:16" x14ac:dyDescent="0.2">
      <c r="A19">
        <v>6</v>
      </c>
      <c r="B19" s="13" t="s">
        <v>53</v>
      </c>
      <c r="C19">
        <v>0.95354476156697998</v>
      </c>
      <c r="E19">
        <v>0.88266834082545798</v>
      </c>
      <c r="F19">
        <v>0.99681946512844499</v>
      </c>
      <c r="G19">
        <v>0.86617474392754301</v>
      </c>
      <c r="H19">
        <v>0.83994849169615304</v>
      </c>
    </row>
    <row r="20" spans="1:16" x14ac:dyDescent="0.2">
      <c r="A20">
        <v>1</v>
      </c>
      <c r="B20" s="13" t="s">
        <v>53</v>
      </c>
      <c r="C20">
        <v>0.87626131772581395</v>
      </c>
      <c r="E20">
        <v>0.94906570639993904</v>
      </c>
      <c r="F20">
        <v>0.93710414849346602</v>
      </c>
      <c r="G20">
        <v>0.83076766896526899</v>
      </c>
      <c r="H20">
        <v>0.923336273379605</v>
      </c>
    </row>
    <row r="21" spans="1:16" x14ac:dyDescent="0.2">
      <c r="A21">
        <v>2</v>
      </c>
      <c r="B21" s="13" t="s">
        <v>53</v>
      </c>
      <c r="C21">
        <v>0.8</v>
      </c>
      <c r="E21">
        <v>0.96178558696494199</v>
      </c>
      <c r="F21">
        <v>0.90937099402617105</v>
      </c>
      <c r="G21">
        <v>0.94815444991065101</v>
      </c>
      <c r="H21">
        <v>0.92429811414636298</v>
      </c>
    </row>
    <row r="22" spans="1:16" x14ac:dyDescent="0.2">
      <c r="A22">
        <v>3</v>
      </c>
      <c r="B22" s="13" t="s">
        <v>53</v>
      </c>
      <c r="C22">
        <v>0.90628755862677102</v>
      </c>
      <c r="E22">
        <v>0.92132479094598396</v>
      </c>
      <c r="F22">
        <v>0.96813369311835296</v>
      </c>
      <c r="G22">
        <v>0.860886548983683</v>
      </c>
      <c r="H22">
        <v>0.917458627015592</v>
      </c>
    </row>
    <row r="23" spans="1:16" x14ac:dyDescent="0.2">
      <c r="A23">
        <v>4</v>
      </c>
      <c r="B23" s="13" t="s">
        <v>53</v>
      </c>
      <c r="C23">
        <v>0.899290098779433</v>
      </c>
      <c r="E23">
        <v>0.88304773483951304</v>
      </c>
      <c r="F23">
        <v>0.85842490285219497</v>
      </c>
      <c r="G23">
        <v>0.84601546487488199</v>
      </c>
      <c r="H23">
        <v>0.93355185063399004</v>
      </c>
    </row>
    <row r="24" spans="1:16" x14ac:dyDescent="0.2">
      <c r="A24">
        <v>5</v>
      </c>
      <c r="B24" s="13" t="s">
        <v>53</v>
      </c>
      <c r="C24">
        <v>0.85689750592977498</v>
      </c>
      <c r="E24">
        <v>0.82036994578281897</v>
      </c>
      <c r="F24">
        <v>0.89467026195426702</v>
      </c>
      <c r="G24">
        <v>0.94427294794501604</v>
      </c>
      <c r="H24">
        <v>0.88887290820428</v>
      </c>
    </row>
    <row r="25" spans="1:16" x14ac:dyDescent="0.2">
      <c r="A25">
        <v>6</v>
      </c>
      <c r="B25" s="13" t="s">
        <v>53</v>
      </c>
      <c r="C25">
        <v>0.90474999417485202</v>
      </c>
      <c r="E25">
        <v>0.862122514438035</v>
      </c>
      <c r="F25">
        <v>0.94775770584504104</v>
      </c>
      <c r="G25">
        <v>0.93945670125733405</v>
      </c>
      <c r="H25">
        <v>0.85637423422040604</v>
      </c>
    </row>
    <row r="26" spans="1:16" x14ac:dyDescent="0.2">
      <c r="A26">
        <v>1</v>
      </c>
      <c r="B26" s="13" t="s">
        <v>53</v>
      </c>
      <c r="C26">
        <v>0.84623677058868296</v>
      </c>
      <c r="E26">
        <v>0.87653632976226104</v>
      </c>
      <c r="F26">
        <v>1</v>
      </c>
      <c r="G26">
        <v>0.90395000418055305</v>
      </c>
      <c r="H26">
        <v>0.85200860015431701</v>
      </c>
    </row>
    <row r="27" spans="1:16" x14ac:dyDescent="0.2">
      <c r="A27">
        <v>2</v>
      </c>
      <c r="B27" s="13" t="s">
        <v>53</v>
      </c>
      <c r="C27">
        <v>0.91649199768116696</v>
      </c>
      <c r="E27">
        <v>0.86511331083491905</v>
      </c>
      <c r="F27">
        <v>0.84157278426716897</v>
      </c>
      <c r="G27">
        <v>0.95397718104058205</v>
      </c>
      <c r="H27">
        <v>0.94875255476517295</v>
      </c>
    </row>
    <row r="28" spans="1:16" x14ac:dyDescent="0.2">
      <c r="A28">
        <v>3</v>
      </c>
      <c r="B28" s="13" t="s">
        <v>53</v>
      </c>
      <c r="C28">
        <v>1</v>
      </c>
      <c r="E28">
        <v>0.90297764841567996</v>
      </c>
      <c r="F28">
        <v>0.96403672292801901</v>
      </c>
      <c r="G28">
        <v>0.97129682907395498</v>
      </c>
      <c r="H28">
        <v>0.92351611552641399</v>
      </c>
    </row>
    <row r="29" spans="1:16" x14ac:dyDescent="0.2">
      <c r="A29">
        <v>4</v>
      </c>
      <c r="B29" s="13" t="s">
        <v>53</v>
      </c>
      <c r="C29">
        <v>0.80971972635466105</v>
      </c>
      <c r="E29">
        <v>0.88290561319143501</v>
      </c>
      <c r="F29">
        <v>0.91909195304204905</v>
      </c>
      <c r="G29">
        <v>0.96541120389127699</v>
      </c>
      <c r="H29">
        <v>0.80720811145248295</v>
      </c>
    </row>
    <row r="30" spans="1:16" x14ac:dyDescent="0.2">
      <c r="A30">
        <v>5</v>
      </c>
      <c r="B30" s="13" t="s">
        <v>53</v>
      </c>
      <c r="C30">
        <v>0.87418789564954202</v>
      </c>
      <c r="E30">
        <v>0.90860606861677196</v>
      </c>
      <c r="F30">
        <v>0.90815305337147001</v>
      </c>
      <c r="G30">
        <v>0.87358605132990097</v>
      </c>
      <c r="H30">
        <v>0.95483767133999697</v>
      </c>
    </row>
    <row r="31" spans="1:16" x14ac:dyDescent="0.2">
      <c r="A31">
        <v>6</v>
      </c>
      <c r="B31" s="13" t="s">
        <v>53</v>
      </c>
      <c r="C31">
        <v>0.86617474392754301</v>
      </c>
      <c r="E31">
        <v>0.96013136505238295</v>
      </c>
      <c r="F31">
        <v>0.89961353888726303</v>
      </c>
      <c r="G31">
        <v>0.95070524656398503</v>
      </c>
      <c r="H31">
        <v>0.99402175732013198</v>
      </c>
    </row>
    <row r="32" spans="1:16" x14ac:dyDescent="0.2">
      <c r="A32">
        <v>1</v>
      </c>
      <c r="B32" s="13" t="s">
        <v>54</v>
      </c>
      <c r="C32">
        <v>0.87833700582562202</v>
      </c>
      <c r="E32">
        <v>0.87967688893853102</v>
      </c>
      <c r="F32">
        <v>0.96503686529440003</v>
      </c>
      <c r="G32">
        <v>0.91058204887543204</v>
      </c>
      <c r="H32">
        <v>0.86420415746207302</v>
      </c>
    </row>
    <row r="33" spans="1:8" x14ac:dyDescent="0.2">
      <c r="A33">
        <v>2</v>
      </c>
      <c r="B33" s="13" t="s">
        <v>54</v>
      </c>
      <c r="C33">
        <v>0.95099622897984804</v>
      </c>
      <c r="E33">
        <v>0.83085665113728802</v>
      </c>
      <c r="F33">
        <v>0.89068184650615001</v>
      </c>
      <c r="G33">
        <v>0.986295388517618</v>
      </c>
      <c r="H33">
        <v>0.916808002313802</v>
      </c>
    </row>
    <row r="34" spans="1:8" x14ac:dyDescent="0.2">
      <c r="A34">
        <v>3</v>
      </c>
      <c r="B34" s="13" t="s">
        <v>54</v>
      </c>
      <c r="C34">
        <v>0.92714132796595095</v>
      </c>
      <c r="E34">
        <v>0.86491462009375597</v>
      </c>
      <c r="F34">
        <v>1</v>
      </c>
      <c r="G34">
        <v>0.89381358318664095</v>
      </c>
      <c r="H34">
        <v>0.87632709531838204</v>
      </c>
    </row>
    <row r="35" spans="1:8" x14ac:dyDescent="0.2">
      <c r="A35">
        <v>4</v>
      </c>
      <c r="B35" s="13" t="s">
        <v>54</v>
      </c>
      <c r="C35">
        <v>0.942438325130321</v>
      </c>
      <c r="E35">
        <v>0.929179423498663</v>
      </c>
      <c r="F35">
        <v>0.94090935680529497</v>
      </c>
      <c r="G35">
        <v>0.88217641813158298</v>
      </c>
      <c r="H35">
        <v>0.93141534627355804</v>
      </c>
    </row>
    <row r="36" spans="1:8" x14ac:dyDescent="0.2">
      <c r="A36">
        <v>5</v>
      </c>
      <c r="B36" s="13" t="s">
        <v>54</v>
      </c>
      <c r="C36">
        <v>0.90152477523768004</v>
      </c>
      <c r="E36">
        <v>0.93389718924763299</v>
      </c>
      <c r="F36">
        <v>0.8</v>
      </c>
      <c r="G36">
        <v>0.86931015615785601</v>
      </c>
      <c r="H36">
        <v>0.84169955554623799</v>
      </c>
    </row>
    <row r="37" spans="1:8" x14ac:dyDescent="0.2">
      <c r="A37">
        <v>6</v>
      </c>
      <c r="B37" s="13" t="s">
        <v>54</v>
      </c>
      <c r="C37">
        <v>0.833895034002757</v>
      </c>
      <c r="E37">
        <v>0.92030425985081099</v>
      </c>
      <c r="F37">
        <v>0.99003293149817795</v>
      </c>
      <c r="G37">
        <v>0.90946439471177698</v>
      </c>
      <c r="H37">
        <v>0.89642771714506098</v>
      </c>
    </row>
    <row r="38" spans="1:8" x14ac:dyDescent="0.2">
      <c r="A38">
        <v>1</v>
      </c>
      <c r="B38" s="13" t="s">
        <v>54</v>
      </c>
      <c r="C38">
        <v>0.84426573193700105</v>
      </c>
      <c r="E38">
        <v>0.88568040632516098</v>
      </c>
      <c r="F38">
        <v>0.86165066949321301</v>
      </c>
      <c r="G38">
        <v>0.94424966930405496</v>
      </c>
      <c r="H38">
        <v>0.90391743344812903</v>
      </c>
    </row>
    <row r="39" spans="1:8" x14ac:dyDescent="0.2">
      <c r="A39">
        <v>2</v>
      </c>
      <c r="B39" s="13" t="s">
        <v>54</v>
      </c>
      <c r="C39">
        <v>0.93731298537332897</v>
      </c>
      <c r="E39">
        <v>0.91637098858254895</v>
      </c>
      <c r="F39">
        <v>0.84829494052715304</v>
      </c>
      <c r="G39">
        <v>0.91045346150589301</v>
      </c>
      <c r="H39">
        <v>0.87225641436146195</v>
      </c>
    </row>
    <row r="40" spans="1:8" x14ac:dyDescent="0.2">
      <c r="A40">
        <v>3</v>
      </c>
      <c r="B40" s="13" t="s">
        <v>54</v>
      </c>
      <c r="C40">
        <v>0.908541594920664</v>
      </c>
      <c r="E40">
        <v>0.8</v>
      </c>
      <c r="F40">
        <v>0.92618855549164403</v>
      </c>
      <c r="G40">
        <v>0.85164658782639602</v>
      </c>
      <c r="H40">
        <v>0.85787997587316001</v>
      </c>
    </row>
    <row r="41" spans="1:8" x14ac:dyDescent="0.2">
      <c r="A41">
        <v>4</v>
      </c>
      <c r="B41" s="13" t="s">
        <v>54</v>
      </c>
      <c r="C41">
        <v>0.96301037030394199</v>
      </c>
      <c r="E41">
        <v>0.96693108671952199</v>
      </c>
      <c r="F41">
        <v>0.81309097638317196</v>
      </c>
      <c r="G41">
        <v>1</v>
      </c>
      <c r="H41">
        <v>0.92052379219472202</v>
      </c>
    </row>
    <row r="42" spans="1:8" x14ac:dyDescent="0.2">
      <c r="A42">
        <v>5</v>
      </c>
      <c r="B42" s="13" t="s">
        <v>54</v>
      </c>
      <c r="C42">
        <v>0.91466310516233895</v>
      </c>
      <c r="E42">
        <v>0.85844150570976596</v>
      </c>
      <c r="F42">
        <v>0.86522653843391895</v>
      </c>
      <c r="G42">
        <v>0.92398937214920795</v>
      </c>
      <c r="H42">
        <v>0.92750475285138401</v>
      </c>
    </row>
    <row r="43" spans="1:8" x14ac:dyDescent="0.2">
      <c r="A43">
        <v>6</v>
      </c>
      <c r="B43" s="13" t="s">
        <v>54</v>
      </c>
      <c r="C43">
        <v>0.84084925033339297</v>
      </c>
      <c r="E43">
        <v>0.97085219104737996</v>
      </c>
      <c r="F43">
        <v>0.97785492703121002</v>
      </c>
      <c r="G43">
        <v>0.891305667920541</v>
      </c>
      <c r="H43">
        <v>0.88199839426725701</v>
      </c>
    </row>
    <row r="44" spans="1:8" x14ac:dyDescent="0.2">
      <c r="A44">
        <v>1</v>
      </c>
      <c r="B44" s="13" t="s">
        <v>54</v>
      </c>
      <c r="C44">
        <v>0.87390490929084197</v>
      </c>
      <c r="E44">
        <v>0.91962325705632897</v>
      </c>
      <c r="F44">
        <v>0.92781087894987502</v>
      </c>
      <c r="G44">
        <v>0.89152753812583097</v>
      </c>
      <c r="H44">
        <v>0.87100314820435298</v>
      </c>
    </row>
    <row r="45" spans="1:8" x14ac:dyDescent="0.2">
      <c r="A45">
        <v>2</v>
      </c>
      <c r="B45" s="13" t="s">
        <v>54</v>
      </c>
      <c r="C45">
        <v>0.928240707484146</v>
      </c>
      <c r="E45">
        <v>0.93147970681969805</v>
      </c>
      <c r="F45">
        <v>0.94061198904696097</v>
      </c>
      <c r="G45">
        <v>0.90747987390367701</v>
      </c>
      <c r="H45">
        <v>0.85848724054813996</v>
      </c>
    </row>
    <row r="46" spans="1:8" x14ac:dyDescent="0.2">
      <c r="A46">
        <v>3</v>
      </c>
      <c r="B46" s="13" t="s">
        <v>54</v>
      </c>
      <c r="C46">
        <v>0.93551662481193099</v>
      </c>
      <c r="E46">
        <v>0.95747117180006303</v>
      </c>
      <c r="F46">
        <v>0.86715446997512602</v>
      </c>
      <c r="G46">
        <v>0.95348041310789899</v>
      </c>
      <c r="H46">
        <v>0.91911274695724599</v>
      </c>
    </row>
    <row r="47" spans="1:8" x14ac:dyDescent="0.2">
      <c r="A47">
        <v>4</v>
      </c>
      <c r="B47" s="13" t="s">
        <v>54</v>
      </c>
      <c r="C47">
        <v>0.94275543160773401</v>
      </c>
      <c r="E47">
        <v>0.92865660263462402</v>
      </c>
      <c r="F47">
        <v>0.82308150005159397</v>
      </c>
      <c r="G47">
        <v>0.90948140616527196</v>
      </c>
      <c r="H47">
        <v>0.85980114631796301</v>
      </c>
    </row>
    <row r="48" spans="1:8" x14ac:dyDescent="0.2">
      <c r="A48">
        <v>5</v>
      </c>
      <c r="B48" s="13" t="s">
        <v>54</v>
      </c>
      <c r="C48">
        <v>0.84757379433974001</v>
      </c>
      <c r="E48">
        <v>0.93364431081587196</v>
      </c>
      <c r="F48">
        <v>0.93534087146568601</v>
      </c>
      <c r="G48">
        <v>0.94292565767237402</v>
      </c>
      <c r="H48">
        <v>1</v>
      </c>
    </row>
    <row r="49" spans="1:8" x14ac:dyDescent="0.2">
      <c r="A49">
        <v>6</v>
      </c>
      <c r="B49" s="13" t="s">
        <v>54</v>
      </c>
      <c r="C49">
        <v>0.83994849169615304</v>
      </c>
      <c r="E49">
        <v>0.89177917797693096</v>
      </c>
      <c r="F49">
        <v>0.94651280781209701</v>
      </c>
      <c r="G49">
        <v>0.90756988439466002</v>
      </c>
      <c r="H49">
        <v>0.87948592820145</v>
      </c>
    </row>
    <row r="50" spans="1:8" x14ac:dyDescent="0.2">
      <c r="A50">
        <v>1</v>
      </c>
      <c r="B50" s="13" t="s">
        <v>55</v>
      </c>
      <c r="C50">
        <v>0.89050987401262804</v>
      </c>
      <c r="E50">
        <v>0.91860843407360404</v>
      </c>
      <c r="F50">
        <v>0.90567345183577397</v>
      </c>
      <c r="G50">
        <v>0.89438230542648101</v>
      </c>
      <c r="H50">
        <v>0.8</v>
      </c>
    </row>
    <row r="51" spans="1:8" x14ac:dyDescent="0.2">
      <c r="A51">
        <v>2</v>
      </c>
      <c r="B51" s="13" t="s">
        <v>55</v>
      </c>
      <c r="C51">
        <v>0.97200367582667202</v>
      </c>
      <c r="E51">
        <v>0.87062510925141201</v>
      </c>
      <c r="F51">
        <v>0.88446227641095998</v>
      </c>
      <c r="G51">
        <v>0.93206251966641895</v>
      </c>
      <c r="H51">
        <v>0.89849141666854304</v>
      </c>
    </row>
    <row r="52" spans="1:8" x14ac:dyDescent="0.2">
      <c r="A52">
        <v>3</v>
      </c>
      <c r="B52" s="13" t="s">
        <v>55</v>
      </c>
      <c r="C52">
        <v>0.86530658395959903</v>
      </c>
      <c r="E52">
        <v>0.88282944502060101</v>
      </c>
      <c r="F52">
        <v>0.92572004682852205</v>
      </c>
      <c r="G52">
        <v>0.93016430168368902</v>
      </c>
      <c r="H52">
        <v>0.896348326009059</v>
      </c>
    </row>
    <row r="53" spans="1:8" x14ac:dyDescent="0.2">
      <c r="A53">
        <v>4</v>
      </c>
      <c r="B53" s="13" t="s">
        <v>55</v>
      </c>
      <c r="C53">
        <v>0.92274859453004798</v>
      </c>
      <c r="E53">
        <v>0.99823475239844495</v>
      </c>
      <c r="F53">
        <v>0.92948610463706904</v>
      </c>
      <c r="G53">
        <v>0.89151829404524197</v>
      </c>
      <c r="H53">
        <v>0.95558592837620904</v>
      </c>
    </row>
    <row r="54" spans="1:8" x14ac:dyDescent="0.2">
      <c r="A54">
        <v>5</v>
      </c>
      <c r="B54" s="13" t="s">
        <v>55</v>
      </c>
      <c r="C54">
        <v>0.92275305694694798</v>
      </c>
      <c r="E54">
        <v>0.85959032074747799</v>
      </c>
      <c r="F54">
        <v>0.853709040842621</v>
      </c>
      <c r="G54">
        <v>0.86253965211428696</v>
      </c>
      <c r="H54">
        <v>0.91440631183638499</v>
      </c>
    </row>
    <row r="55" spans="1:8" x14ac:dyDescent="0.2">
      <c r="A55">
        <v>6</v>
      </c>
      <c r="B55" s="13" t="s">
        <v>55</v>
      </c>
      <c r="C55">
        <v>0.93803863748353</v>
      </c>
      <c r="E55">
        <v>0.90771585633181395</v>
      </c>
      <c r="F55">
        <v>0.90506783557732695</v>
      </c>
      <c r="G55">
        <v>0.91708644573702103</v>
      </c>
      <c r="H55">
        <v>0.85830824082800905</v>
      </c>
    </row>
    <row r="56" spans="1:8" x14ac:dyDescent="0.2">
      <c r="A56">
        <v>1</v>
      </c>
      <c r="B56" s="13" t="s">
        <v>55</v>
      </c>
      <c r="C56">
        <v>0.98322201269741005</v>
      </c>
    </row>
    <row r="57" spans="1:8" x14ac:dyDescent="0.2">
      <c r="A57">
        <v>2</v>
      </c>
      <c r="B57" s="13" t="s">
        <v>55</v>
      </c>
      <c r="C57">
        <v>0.978095321238305</v>
      </c>
    </row>
    <row r="58" spans="1:8" x14ac:dyDescent="0.2">
      <c r="A58">
        <v>3</v>
      </c>
      <c r="B58" s="13" t="s">
        <v>55</v>
      </c>
      <c r="C58">
        <v>0.87026970830802397</v>
      </c>
    </row>
    <row r="59" spans="1:8" x14ac:dyDescent="0.2">
      <c r="A59">
        <v>4</v>
      </c>
      <c r="B59" s="13" t="s">
        <v>55</v>
      </c>
      <c r="C59">
        <v>0.8</v>
      </c>
    </row>
    <row r="60" spans="1:8" x14ac:dyDescent="0.2">
      <c r="A60">
        <v>5</v>
      </c>
      <c r="B60" s="13" t="s">
        <v>55</v>
      </c>
      <c r="C60">
        <v>0.86607353323176195</v>
      </c>
    </row>
    <row r="61" spans="1:8" x14ac:dyDescent="0.2">
      <c r="A61">
        <v>6</v>
      </c>
      <c r="B61" s="13" t="s">
        <v>55</v>
      </c>
      <c r="C61">
        <v>0.90378361470236102</v>
      </c>
    </row>
    <row r="62" spans="1:8" x14ac:dyDescent="0.2">
      <c r="A62">
        <v>1</v>
      </c>
      <c r="B62" s="13" t="s">
        <v>55</v>
      </c>
      <c r="C62">
        <v>0.881917736115717</v>
      </c>
    </row>
    <row r="63" spans="1:8" x14ac:dyDescent="0.2">
      <c r="A63">
        <v>2</v>
      </c>
      <c r="B63" s="13" t="s">
        <v>55</v>
      </c>
      <c r="C63">
        <v>0.99839494714640598</v>
      </c>
    </row>
    <row r="64" spans="1:8" x14ac:dyDescent="0.2">
      <c r="A64">
        <v>3</v>
      </c>
      <c r="B64" s="13" t="s">
        <v>55</v>
      </c>
      <c r="C64">
        <v>0.90093901521582198</v>
      </c>
    </row>
    <row r="65" spans="1:3" x14ac:dyDescent="0.2">
      <c r="A65">
        <v>4</v>
      </c>
      <c r="B65" s="13" t="s">
        <v>55</v>
      </c>
      <c r="C65">
        <v>0.93268559401280904</v>
      </c>
    </row>
    <row r="66" spans="1:3" x14ac:dyDescent="0.2">
      <c r="A66">
        <v>5</v>
      </c>
      <c r="B66" s="13" t="s">
        <v>55</v>
      </c>
      <c r="C66">
        <v>0.91086071548236702</v>
      </c>
    </row>
    <row r="67" spans="1:3" x14ac:dyDescent="0.2">
      <c r="A67">
        <v>6</v>
      </c>
      <c r="B67" s="13" t="s">
        <v>55</v>
      </c>
      <c r="C67">
        <v>0.88266834082545798</v>
      </c>
    </row>
    <row r="68" spans="1:3" x14ac:dyDescent="0.2">
      <c r="A68">
        <v>1</v>
      </c>
      <c r="B68" s="13" t="s">
        <v>52</v>
      </c>
      <c r="C68">
        <v>0.80375941610186596</v>
      </c>
    </row>
    <row r="69" spans="1:3" x14ac:dyDescent="0.2">
      <c r="A69">
        <v>2</v>
      </c>
      <c r="B69" s="13" t="s">
        <v>52</v>
      </c>
      <c r="C69">
        <v>0.896069118072925</v>
      </c>
    </row>
    <row r="70" spans="1:3" x14ac:dyDescent="0.2">
      <c r="A70">
        <v>3</v>
      </c>
      <c r="B70" s="13" t="s">
        <v>52</v>
      </c>
      <c r="C70">
        <v>1</v>
      </c>
    </row>
    <row r="71" spans="1:3" x14ac:dyDescent="0.2">
      <c r="A71">
        <v>4</v>
      </c>
      <c r="B71" s="13" t="s">
        <v>52</v>
      </c>
      <c r="C71">
        <v>0.83777708000810802</v>
      </c>
    </row>
    <row r="72" spans="1:3" x14ac:dyDescent="0.2">
      <c r="A72">
        <v>5</v>
      </c>
      <c r="B72" s="13" t="s">
        <v>52</v>
      </c>
      <c r="C72">
        <v>0.80925634778128797</v>
      </c>
    </row>
    <row r="73" spans="1:3" x14ac:dyDescent="0.2">
      <c r="A73">
        <v>6</v>
      </c>
      <c r="B73" s="13" t="s">
        <v>52</v>
      </c>
      <c r="C73">
        <v>0.99681946512844499</v>
      </c>
    </row>
    <row r="74" spans="1:3" x14ac:dyDescent="0.2">
      <c r="A74">
        <v>1</v>
      </c>
      <c r="B74" s="13" t="s">
        <v>52</v>
      </c>
      <c r="C74">
        <v>0.93710414849346602</v>
      </c>
    </row>
    <row r="75" spans="1:3" x14ac:dyDescent="0.2">
      <c r="A75">
        <v>2</v>
      </c>
      <c r="B75" s="13" t="s">
        <v>52</v>
      </c>
      <c r="C75">
        <v>0.90937099402617105</v>
      </c>
    </row>
    <row r="76" spans="1:3" x14ac:dyDescent="0.2">
      <c r="A76">
        <v>3</v>
      </c>
      <c r="B76" s="13" t="s">
        <v>52</v>
      </c>
      <c r="C76">
        <v>0.96813369311835296</v>
      </c>
    </row>
    <row r="77" spans="1:3" x14ac:dyDescent="0.2">
      <c r="A77">
        <v>4</v>
      </c>
      <c r="B77" s="13" t="s">
        <v>52</v>
      </c>
      <c r="C77">
        <v>0.85842490285219497</v>
      </c>
    </row>
    <row r="78" spans="1:3" x14ac:dyDescent="0.2">
      <c r="A78">
        <v>5</v>
      </c>
      <c r="B78" s="13" t="s">
        <v>52</v>
      </c>
      <c r="C78">
        <v>0.89467026195426702</v>
      </c>
    </row>
    <row r="79" spans="1:3" x14ac:dyDescent="0.2">
      <c r="A79">
        <v>6</v>
      </c>
      <c r="B79" s="13" t="s">
        <v>52</v>
      </c>
      <c r="C79">
        <v>0.94775770584504104</v>
      </c>
    </row>
    <row r="80" spans="1:3" x14ac:dyDescent="0.2">
      <c r="A80">
        <v>1</v>
      </c>
      <c r="B80" s="13" t="s">
        <v>52</v>
      </c>
      <c r="C80">
        <v>1</v>
      </c>
    </row>
    <row r="81" spans="1:3" x14ac:dyDescent="0.2">
      <c r="A81">
        <v>2</v>
      </c>
      <c r="B81" s="13" t="s">
        <v>52</v>
      </c>
      <c r="C81">
        <v>0.84157278426716897</v>
      </c>
    </row>
    <row r="82" spans="1:3" x14ac:dyDescent="0.2">
      <c r="A82">
        <v>3</v>
      </c>
      <c r="B82" s="13" t="s">
        <v>52</v>
      </c>
      <c r="C82">
        <v>0.96403672292801901</v>
      </c>
    </row>
    <row r="83" spans="1:3" x14ac:dyDescent="0.2">
      <c r="A83">
        <v>4</v>
      </c>
      <c r="B83" s="13" t="s">
        <v>52</v>
      </c>
      <c r="C83">
        <v>0.91909195304204905</v>
      </c>
    </row>
    <row r="84" spans="1:3" x14ac:dyDescent="0.2">
      <c r="A84">
        <v>5</v>
      </c>
      <c r="B84" s="13" t="s">
        <v>52</v>
      </c>
      <c r="C84">
        <v>0.90815305337147001</v>
      </c>
    </row>
    <row r="85" spans="1:3" x14ac:dyDescent="0.2">
      <c r="A85">
        <v>6</v>
      </c>
      <c r="B85" s="13" t="s">
        <v>52</v>
      </c>
      <c r="C85">
        <v>0.89961353888726303</v>
      </c>
    </row>
    <row r="86" spans="1:3" x14ac:dyDescent="0.2">
      <c r="A86">
        <v>1</v>
      </c>
      <c r="B86" s="13" t="s">
        <v>53</v>
      </c>
      <c r="C86">
        <v>0.83076766896526899</v>
      </c>
    </row>
    <row r="87" spans="1:3" x14ac:dyDescent="0.2">
      <c r="A87">
        <v>2</v>
      </c>
      <c r="B87" s="13" t="s">
        <v>53</v>
      </c>
      <c r="C87">
        <v>0.94815444991065101</v>
      </c>
    </row>
    <row r="88" spans="1:3" x14ac:dyDescent="0.2">
      <c r="A88">
        <v>3</v>
      </c>
      <c r="B88" s="13" t="s">
        <v>53</v>
      </c>
      <c r="C88">
        <v>0.860886548983683</v>
      </c>
    </row>
    <row r="89" spans="1:3" x14ac:dyDescent="0.2">
      <c r="A89">
        <v>4</v>
      </c>
      <c r="B89" s="13" t="s">
        <v>53</v>
      </c>
      <c r="C89">
        <v>0.84601546487488199</v>
      </c>
    </row>
    <row r="90" spans="1:3" x14ac:dyDescent="0.2">
      <c r="A90">
        <v>5</v>
      </c>
      <c r="B90" s="13" t="s">
        <v>53</v>
      </c>
      <c r="C90">
        <v>0.94427294794501604</v>
      </c>
    </row>
    <row r="91" spans="1:3" x14ac:dyDescent="0.2">
      <c r="A91">
        <v>6</v>
      </c>
      <c r="B91" s="13" t="s">
        <v>53</v>
      </c>
      <c r="C91">
        <v>0.93945670125733405</v>
      </c>
    </row>
    <row r="92" spans="1:3" x14ac:dyDescent="0.2">
      <c r="A92">
        <v>1</v>
      </c>
      <c r="B92" s="13" t="s">
        <v>53</v>
      </c>
      <c r="C92">
        <v>0.90395000418055305</v>
      </c>
    </row>
    <row r="93" spans="1:3" x14ac:dyDescent="0.2">
      <c r="A93">
        <v>2</v>
      </c>
      <c r="B93" s="13" t="s">
        <v>53</v>
      </c>
      <c r="C93">
        <v>0.95397718104058205</v>
      </c>
    </row>
    <row r="94" spans="1:3" x14ac:dyDescent="0.2">
      <c r="A94">
        <v>3</v>
      </c>
      <c r="B94" s="13" t="s">
        <v>53</v>
      </c>
      <c r="C94">
        <v>0.97129682907395498</v>
      </c>
    </row>
    <row r="95" spans="1:3" x14ac:dyDescent="0.2">
      <c r="A95">
        <v>4</v>
      </c>
      <c r="B95" s="13" t="s">
        <v>53</v>
      </c>
      <c r="C95">
        <v>0.96541120389127699</v>
      </c>
    </row>
    <row r="96" spans="1:3" x14ac:dyDescent="0.2">
      <c r="A96">
        <v>5</v>
      </c>
      <c r="B96" s="13" t="s">
        <v>53</v>
      </c>
      <c r="C96">
        <v>0.87358605132990097</v>
      </c>
    </row>
    <row r="97" spans="1:3" x14ac:dyDescent="0.2">
      <c r="A97">
        <v>6</v>
      </c>
      <c r="B97" s="13" t="s">
        <v>53</v>
      </c>
      <c r="C97">
        <v>0.95070524656398503</v>
      </c>
    </row>
    <row r="98" spans="1:3" x14ac:dyDescent="0.2">
      <c r="A98">
        <v>1</v>
      </c>
      <c r="B98" s="13" t="s">
        <v>53</v>
      </c>
      <c r="C98">
        <v>0.91058204887543204</v>
      </c>
    </row>
    <row r="99" spans="1:3" x14ac:dyDescent="0.2">
      <c r="A99">
        <v>2</v>
      </c>
      <c r="B99" s="13" t="s">
        <v>53</v>
      </c>
      <c r="C99">
        <v>0.986295388517618</v>
      </c>
    </row>
    <row r="100" spans="1:3" x14ac:dyDescent="0.2">
      <c r="A100">
        <v>3</v>
      </c>
      <c r="B100" s="13" t="s">
        <v>53</v>
      </c>
      <c r="C100">
        <v>0.89381358318664095</v>
      </c>
    </row>
    <row r="101" spans="1:3" x14ac:dyDescent="0.2">
      <c r="A101">
        <v>4</v>
      </c>
      <c r="B101" s="13" t="s">
        <v>53</v>
      </c>
      <c r="C101">
        <v>0.88217641813158298</v>
      </c>
    </row>
    <row r="102" spans="1:3" x14ac:dyDescent="0.2">
      <c r="A102">
        <v>5</v>
      </c>
      <c r="B102" s="13" t="s">
        <v>53</v>
      </c>
      <c r="C102">
        <v>0.86931015615785601</v>
      </c>
    </row>
    <row r="103" spans="1:3" x14ac:dyDescent="0.2">
      <c r="A103">
        <v>6</v>
      </c>
      <c r="B103" s="13" t="s">
        <v>53</v>
      </c>
      <c r="C103">
        <v>0.90946439471177698</v>
      </c>
    </row>
    <row r="104" spans="1:3" x14ac:dyDescent="0.2">
      <c r="A104">
        <v>1</v>
      </c>
      <c r="B104" s="13" t="s">
        <v>54</v>
      </c>
      <c r="C104">
        <v>0.923336273379605</v>
      </c>
    </row>
    <row r="105" spans="1:3" x14ac:dyDescent="0.2">
      <c r="A105">
        <v>2</v>
      </c>
      <c r="B105" s="13" t="s">
        <v>54</v>
      </c>
      <c r="C105">
        <v>0.92429811414636298</v>
      </c>
    </row>
    <row r="106" spans="1:3" x14ac:dyDescent="0.2">
      <c r="A106">
        <v>3</v>
      </c>
      <c r="B106" s="13" t="s">
        <v>54</v>
      </c>
      <c r="C106">
        <v>0.917458627015592</v>
      </c>
    </row>
    <row r="107" spans="1:3" x14ac:dyDescent="0.2">
      <c r="A107">
        <v>4</v>
      </c>
      <c r="B107" s="13" t="s">
        <v>54</v>
      </c>
      <c r="C107">
        <v>0.93355185063399004</v>
      </c>
    </row>
    <row r="108" spans="1:3" x14ac:dyDescent="0.2">
      <c r="A108">
        <v>5</v>
      </c>
      <c r="B108" s="13" t="s">
        <v>54</v>
      </c>
      <c r="C108">
        <v>0.88887290820428</v>
      </c>
    </row>
    <row r="109" spans="1:3" x14ac:dyDescent="0.2">
      <c r="A109">
        <v>6</v>
      </c>
      <c r="B109" s="13" t="s">
        <v>54</v>
      </c>
      <c r="C109">
        <v>0.85637423422040604</v>
      </c>
    </row>
    <row r="110" spans="1:3" x14ac:dyDescent="0.2">
      <c r="A110">
        <v>1</v>
      </c>
      <c r="B110" s="13" t="s">
        <v>54</v>
      </c>
      <c r="C110">
        <v>0.85200860015431701</v>
      </c>
    </row>
    <row r="111" spans="1:3" x14ac:dyDescent="0.2">
      <c r="A111">
        <v>2</v>
      </c>
      <c r="B111" s="13" t="s">
        <v>54</v>
      </c>
      <c r="C111">
        <v>0.94875255476517295</v>
      </c>
    </row>
    <row r="112" spans="1:3" x14ac:dyDescent="0.2">
      <c r="A112">
        <v>3</v>
      </c>
      <c r="B112" s="13" t="s">
        <v>54</v>
      </c>
      <c r="C112">
        <v>0.92351611552641399</v>
      </c>
    </row>
    <row r="113" spans="1:3" x14ac:dyDescent="0.2">
      <c r="A113">
        <v>4</v>
      </c>
      <c r="B113" s="13" t="s">
        <v>54</v>
      </c>
      <c r="C113">
        <v>0.80720811145248295</v>
      </c>
    </row>
    <row r="114" spans="1:3" x14ac:dyDescent="0.2">
      <c r="A114">
        <v>5</v>
      </c>
      <c r="B114" s="13" t="s">
        <v>54</v>
      </c>
      <c r="C114">
        <v>0.95483767133999697</v>
      </c>
    </row>
    <row r="115" spans="1:3" x14ac:dyDescent="0.2">
      <c r="A115">
        <v>6</v>
      </c>
      <c r="B115" s="13" t="s">
        <v>54</v>
      </c>
      <c r="C115">
        <v>0.99402175732013198</v>
      </c>
    </row>
    <row r="116" spans="1:3" x14ac:dyDescent="0.2">
      <c r="A116">
        <v>1</v>
      </c>
      <c r="B116" s="13" t="s">
        <v>54</v>
      </c>
      <c r="C116">
        <v>0.86420415746207302</v>
      </c>
    </row>
    <row r="117" spans="1:3" x14ac:dyDescent="0.2">
      <c r="A117">
        <v>2</v>
      </c>
      <c r="B117" s="13" t="s">
        <v>54</v>
      </c>
      <c r="C117">
        <v>0.916808002313802</v>
      </c>
    </row>
    <row r="118" spans="1:3" x14ac:dyDescent="0.2">
      <c r="A118">
        <v>3</v>
      </c>
      <c r="B118" s="13" t="s">
        <v>54</v>
      </c>
      <c r="C118">
        <v>0.87632709531838204</v>
      </c>
    </row>
    <row r="119" spans="1:3" x14ac:dyDescent="0.2">
      <c r="A119">
        <v>4</v>
      </c>
      <c r="B119" s="13" t="s">
        <v>54</v>
      </c>
      <c r="C119">
        <v>0.93141534627355804</v>
      </c>
    </row>
    <row r="120" spans="1:3" x14ac:dyDescent="0.2">
      <c r="A120">
        <v>5</v>
      </c>
      <c r="B120" s="13" t="s">
        <v>54</v>
      </c>
      <c r="C120">
        <v>0.84169955554623799</v>
      </c>
    </row>
    <row r="121" spans="1:3" x14ac:dyDescent="0.2">
      <c r="A121">
        <v>6</v>
      </c>
      <c r="B121" s="13" t="s">
        <v>54</v>
      </c>
      <c r="C121">
        <v>0.89642771714506098</v>
      </c>
    </row>
    <row r="122" spans="1:3" x14ac:dyDescent="0.2">
      <c r="A122">
        <v>1</v>
      </c>
      <c r="B122" s="13" t="s">
        <v>55</v>
      </c>
      <c r="C122">
        <v>0.94906570639993904</v>
      </c>
    </row>
    <row r="123" spans="1:3" x14ac:dyDescent="0.2">
      <c r="A123">
        <v>2</v>
      </c>
      <c r="B123" s="13" t="s">
        <v>55</v>
      </c>
      <c r="C123">
        <v>0.96178558696494199</v>
      </c>
    </row>
    <row r="124" spans="1:3" x14ac:dyDescent="0.2">
      <c r="A124">
        <v>3</v>
      </c>
      <c r="B124" s="13" t="s">
        <v>55</v>
      </c>
      <c r="C124">
        <v>0.92132479094598396</v>
      </c>
    </row>
    <row r="125" spans="1:3" x14ac:dyDescent="0.2">
      <c r="A125">
        <v>4</v>
      </c>
      <c r="B125" s="13" t="s">
        <v>55</v>
      </c>
      <c r="C125">
        <v>0.88304773483951304</v>
      </c>
    </row>
    <row r="126" spans="1:3" x14ac:dyDescent="0.2">
      <c r="A126">
        <v>5</v>
      </c>
      <c r="B126" s="13" t="s">
        <v>55</v>
      </c>
      <c r="C126">
        <v>0.82036994578281897</v>
      </c>
    </row>
    <row r="127" spans="1:3" x14ac:dyDescent="0.2">
      <c r="A127">
        <v>6</v>
      </c>
      <c r="B127" s="13" t="s">
        <v>55</v>
      </c>
      <c r="C127">
        <v>0.862122514438035</v>
      </c>
    </row>
    <row r="128" spans="1:3" x14ac:dyDescent="0.2">
      <c r="A128">
        <v>1</v>
      </c>
      <c r="B128" s="13" t="s">
        <v>55</v>
      </c>
      <c r="C128">
        <v>0.87653632976226104</v>
      </c>
    </row>
    <row r="129" spans="1:3" x14ac:dyDescent="0.2">
      <c r="A129">
        <v>2</v>
      </c>
      <c r="B129" s="13" t="s">
        <v>55</v>
      </c>
      <c r="C129">
        <v>0.86511331083491905</v>
      </c>
    </row>
    <row r="130" spans="1:3" x14ac:dyDescent="0.2">
      <c r="A130">
        <v>3</v>
      </c>
      <c r="B130" s="13" t="s">
        <v>55</v>
      </c>
      <c r="C130">
        <v>0.90297764841567996</v>
      </c>
    </row>
    <row r="131" spans="1:3" x14ac:dyDescent="0.2">
      <c r="A131">
        <v>4</v>
      </c>
      <c r="B131" s="13" t="s">
        <v>55</v>
      </c>
      <c r="C131">
        <v>0.88290561319143501</v>
      </c>
    </row>
    <row r="132" spans="1:3" x14ac:dyDescent="0.2">
      <c r="A132">
        <v>5</v>
      </c>
      <c r="B132" s="13" t="s">
        <v>55</v>
      </c>
      <c r="C132">
        <v>0.90860606861677196</v>
      </c>
    </row>
    <row r="133" spans="1:3" x14ac:dyDescent="0.2">
      <c r="A133">
        <v>6</v>
      </c>
      <c r="B133" s="13" t="s">
        <v>55</v>
      </c>
      <c r="C133">
        <v>0.96013136505238295</v>
      </c>
    </row>
    <row r="134" spans="1:3" x14ac:dyDescent="0.2">
      <c r="A134">
        <v>1</v>
      </c>
      <c r="B134" s="13" t="s">
        <v>55</v>
      </c>
      <c r="C134">
        <v>0.87967688893853102</v>
      </c>
    </row>
    <row r="135" spans="1:3" x14ac:dyDescent="0.2">
      <c r="A135">
        <v>2</v>
      </c>
      <c r="B135" s="13" t="s">
        <v>55</v>
      </c>
      <c r="C135">
        <v>0.83085665113728802</v>
      </c>
    </row>
    <row r="136" spans="1:3" x14ac:dyDescent="0.2">
      <c r="A136">
        <v>3</v>
      </c>
      <c r="B136" s="13" t="s">
        <v>55</v>
      </c>
      <c r="C136">
        <v>0.86491462009375597</v>
      </c>
    </row>
    <row r="137" spans="1:3" x14ac:dyDescent="0.2">
      <c r="A137">
        <v>4</v>
      </c>
      <c r="B137" s="13" t="s">
        <v>55</v>
      </c>
      <c r="C137">
        <v>0.929179423498663</v>
      </c>
    </row>
    <row r="138" spans="1:3" x14ac:dyDescent="0.2">
      <c r="A138">
        <v>5</v>
      </c>
      <c r="B138" s="13" t="s">
        <v>55</v>
      </c>
      <c r="C138">
        <v>0.93389718924763299</v>
      </c>
    </row>
    <row r="139" spans="1:3" x14ac:dyDescent="0.2">
      <c r="A139">
        <v>6</v>
      </c>
      <c r="B139" s="13" t="s">
        <v>55</v>
      </c>
      <c r="C139">
        <v>0.92030425985081099</v>
      </c>
    </row>
    <row r="140" spans="1:3" x14ac:dyDescent="0.2">
      <c r="A140">
        <v>1</v>
      </c>
      <c r="B140" s="13" t="s">
        <v>52</v>
      </c>
      <c r="C140">
        <v>0.96503686529440003</v>
      </c>
    </row>
    <row r="141" spans="1:3" x14ac:dyDescent="0.2">
      <c r="A141">
        <v>2</v>
      </c>
      <c r="B141" s="13" t="s">
        <v>52</v>
      </c>
      <c r="C141">
        <v>0.89068184650615001</v>
      </c>
    </row>
    <row r="142" spans="1:3" x14ac:dyDescent="0.2">
      <c r="A142">
        <v>3</v>
      </c>
      <c r="B142" s="13" t="s">
        <v>52</v>
      </c>
      <c r="C142">
        <v>1</v>
      </c>
    </row>
    <row r="143" spans="1:3" x14ac:dyDescent="0.2">
      <c r="A143">
        <v>4</v>
      </c>
      <c r="B143" s="13" t="s">
        <v>52</v>
      </c>
      <c r="C143">
        <v>0.94090935680529497</v>
      </c>
    </row>
    <row r="144" spans="1:3" x14ac:dyDescent="0.2">
      <c r="A144">
        <v>5</v>
      </c>
      <c r="B144" s="13" t="s">
        <v>52</v>
      </c>
      <c r="C144">
        <v>0.8</v>
      </c>
    </row>
    <row r="145" spans="1:3" x14ac:dyDescent="0.2">
      <c r="A145">
        <v>6</v>
      </c>
      <c r="B145" s="13" t="s">
        <v>52</v>
      </c>
      <c r="C145">
        <v>0.99003293149817795</v>
      </c>
    </row>
    <row r="146" spans="1:3" x14ac:dyDescent="0.2">
      <c r="A146">
        <v>1</v>
      </c>
      <c r="B146" s="13" t="s">
        <v>52</v>
      </c>
      <c r="C146">
        <v>0.86165066949321301</v>
      </c>
    </row>
    <row r="147" spans="1:3" x14ac:dyDescent="0.2">
      <c r="A147">
        <v>2</v>
      </c>
      <c r="B147" s="13" t="s">
        <v>52</v>
      </c>
      <c r="C147">
        <v>0.84829494052715304</v>
      </c>
    </row>
    <row r="148" spans="1:3" x14ac:dyDescent="0.2">
      <c r="A148">
        <v>3</v>
      </c>
      <c r="B148" s="13" t="s">
        <v>52</v>
      </c>
      <c r="C148">
        <v>0.92618855549164403</v>
      </c>
    </row>
    <row r="149" spans="1:3" x14ac:dyDescent="0.2">
      <c r="A149">
        <v>4</v>
      </c>
      <c r="B149" s="13" t="s">
        <v>52</v>
      </c>
      <c r="C149">
        <v>0.81309097638317196</v>
      </c>
    </row>
    <row r="150" spans="1:3" x14ac:dyDescent="0.2">
      <c r="A150">
        <v>5</v>
      </c>
      <c r="B150" s="13" t="s">
        <v>52</v>
      </c>
      <c r="C150">
        <v>0.86522653843391895</v>
      </c>
    </row>
    <row r="151" spans="1:3" x14ac:dyDescent="0.2">
      <c r="A151">
        <v>6</v>
      </c>
      <c r="B151" s="13" t="s">
        <v>52</v>
      </c>
      <c r="C151">
        <v>0.97785492703121002</v>
      </c>
    </row>
    <row r="152" spans="1:3" x14ac:dyDescent="0.2">
      <c r="A152">
        <v>1</v>
      </c>
      <c r="B152" s="13" t="s">
        <v>52</v>
      </c>
      <c r="C152">
        <v>0.92781087894987502</v>
      </c>
    </row>
    <row r="153" spans="1:3" x14ac:dyDescent="0.2">
      <c r="A153">
        <v>2</v>
      </c>
      <c r="B153" s="13" t="s">
        <v>52</v>
      </c>
      <c r="C153">
        <v>0.94061198904696097</v>
      </c>
    </row>
    <row r="154" spans="1:3" x14ac:dyDescent="0.2">
      <c r="A154">
        <v>3</v>
      </c>
      <c r="B154" s="13" t="s">
        <v>52</v>
      </c>
      <c r="C154">
        <v>0.86715446997512602</v>
      </c>
    </row>
    <row r="155" spans="1:3" x14ac:dyDescent="0.2">
      <c r="A155">
        <v>4</v>
      </c>
      <c r="B155" s="13" t="s">
        <v>52</v>
      </c>
      <c r="C155">
        <v>0.82308150005159397</v>
      </c>
    </row>
    <row r="156" spans="1:3" x14ac:dyDescent="0.2">
      <c r="A156">
        <v>5</v>
      </c>
      <c r="B156" s="13" t="s">
        <v>52</v>
      </c>
      <c r="C156">
        <v>0.93534087146568601</v>
      </c>
    </row>
    <row r="157" spans="1:3" x14ac:dyDescent="0.2">
      <c r="A157">
        <v>6</v>
      </c>
      <c r="B157" s="13" t="s">
        <v>52</v>
      </c>
      <c r="C157">
        <v>0.94651280781209701</v>
      </c>
    </row>
    <row r="158" spans="1:3" x14ac:dyDescent="0.2">
      <c r="A158">
        <v>1</v>
      </c>
      <c r="B158" s="13" t="s">
        <v>53</v>
      </c>
      <c r="C158">
        <v>0.94424966930405496</v>
      </c>
    </row>
    <row r="159" spans="1:3" x14ac:dyDescent="0.2">
      <c r="A159">
        <v>2</v>
      </c>
      <c r="B159" s="13" t="s">
        <v>53</v>
      </c>
      <c r="C159">
        <v>0.91045346150589301</v>
      </c>
    </row>
    <row r="160" spans="1:3" x14ac:dyDescent="0.2">
      <c r="A160">
        <v>3</v>
      </c>
      <c r="B160" s="13" t="s">
        <v>53</v>
      </c>
      <c r="C160">
        <v>0.85164658782639602</v>
      </c>
    </row>
    <row r="161" spans="1:3" x14ac:dyDescent="0.2">
      <c r="A161">
        <v>4</v>
      </c>
      <c r="B161" s="13" t="s">
        <v>53</v>
      </c>
      <c r="C161">
        <v>1</v>
      </c>
    </row>
    <row r="162" spans="1:3" x14ac:dyDescent="0.2">
      <c r="A162">
        <v>5</v>
      </c>
      <c r="B162" s="13" t="s">
        <v>53</v>
      </c>
      <c r="C162">
        <v>0.92398937214920795</v>
      </c>
    </row>
    <row r="163" spans="1:3" x14ac:dyDescent="0.2">
      <c r="A163">
        <v>6</v>
      </c>
      <c r="B163" s="13" t="s">
        <v>53</v>
      </c>
      <c r="C163">
        <v>0.891305667920541</v>
      </c>
    </row>
    <row r="164" spans="1:3" x14ac:dyDescent="0.2">
      <c r="A164">
        <v>1</v>
      </c>
      <c r="B164" s="13" t="s">
        <v>53</v>
      </c>
      <c r="C164">
        <v>0.89152753812583097</v>
      </c>
    </row>
    <row r="165" spans="1:3" x14ac:dyDescent="0.2">
      <c r="A165">
        <v>2</v>
      </c>
      <c r="B165" s="13" t="s">
        <v>53</v>
      </c>
      <c r="C165">
        <v>0.90747987390367701</v>
      </c>
    </row>
    <row r="166" spans="1:3" x14ac:dyDescent="0.2">
      <c r="A166">
        <v>3</v>
      </c>
      <c r="B166" s="13" t="s">
        <v>53</v>
      </c>
      <c r="C166">
        <v>0.95348041310789899</v>
      </c>
    </row>
    <row r="167" spans="1:3" x14ac:dyDescent="0.2">
      <c r="A167">
        <v>4</v>
      </c>
      <c r="B167" s="13" t="s">
        <v>53</v>
      </c>
      <c r="C167">
        <v>0.90948140616527196</v>
      </c>
    </row>
    <row r="168" spans="1:3" x14ac:dyDescent="0.2">
      <c r="A168">
        <v>5</v>
      </c>
      <c r="B168" s="13" t="s">
        <v>53</v>
      </c>
      <c r="C168">
        <v>0.94292565767237402</v>
      </c>
    </row>
    <row r="169" spans="1:3" x14ac:dyDescent="0.2">
      <c r="A169">
        <v>6</v>
      </c>
      <c r="B169" s="13" t="s">
        <v>53</v>
      </c>
      <c r="C169">
        <v>0.90756988439466002</v>
      </c>
    </row>
    <row r="170" spans="1:3" x14ac:dyDescent="0.2">
      <c r="A170">
        <v>1</v>
      </c>
      <c r="B170" s="13" t="s">
        <v>53</v>
      </c>
      <c r="C170">
        <v>0.89438230542648101</v>
      </c>
    </row>
    <row r="171" spans="1:3" x14ac:dyDescent="0.2">
      <c r="A171">
        <v>2</v>
      </c>
      <c r="B171" s="13" t="s">
        <v>53</v>
      </c>
      <c r="C171">
        <v>0.93206251966641895</v>
      </c>
    </row>
    <row r="172" spans="1:3" x14ac:dyDescent="0.2">
      <c r="A172">
        <v>3</v>
      </c>
      <c r="B172" s="13" t="s">
        <v>53</v>
      </c>
      <c r="C172">
        <v>0.93016430168368902</v>
      </c>
    </row>
    <row r="173" spans="1:3" x14ac:dyDescent="0.2">
      <c r="A173">
        <v>4</v>
      </c>
      <c r="B173" s="13" t="s">
        <v>53</v>
      </c>
      <c r="C173">
        <v>0.89151829404524197</v>
      </c>
    </row>
    <row r="174" spans="1:3" x14ac:dyDescent="0.2">
      <c r="A174">
        <v>5</v>
      </c>
      <c r="B174" s="13" t="s">
        <v>53</v>
      </c>
      <c r="C174">
        <v>0.86253965211428696</v>
      </c>
    </row>
    <row r="175" spans="1:3" x14ac:dyDescent="0.2">
      <c r="A175">
        <v>6</v>
      </c>
      <c r="B175" s="13" t="s">
        <v>53</v>
      </c>
      <c r="C175">
        <v>0.91708644573702103</v>
      </c>
    </row>
    <row r="176" spans="1:3" x14ac:dyDescent="0.2">
      <c r="A176">
        <v>1</v>
      </c>
      <c r="B176" s="13" t="s">
        <v>54</v>
      </c>
      <c r="C176">
        <v>0.90391743344812903</v>
      </c>
    </row>
    <row r="177" spans="1:3" x14ac:dyDescent="0.2">
      <c r="A177">
        <v>2</v>
      </c>
      <c r="B177" s="13" t="s">
        <v>54</v>
      </c>
      <c r="C177">
        <v>0.87225641436146195</v>
      </c>
    </row>
    <row r="178" spans="1:3" x14ac:dyDescent="0.2">
      <c r="A178">
        <v>3</v>
      </c>
      <c r="B178" s="13" t="s">
        <v>54</v>
      </c>
      <c r="C178">
        <v>0.85787997587316001</v>
      </c>
    </row>
    <row r="179" spans="1:3" x14ac:dyDescent="0.2">
      <c r="A179">
        <v>4</v>
      </c>
      <c r="B179" s="13" t="s">
        <v>54</v>
      </c>
      <c r="C179">
        <v>0.92052379219472202</v>
      </c>
    </row>
    <row r="180" spans="1:3" x14ac:dyDescent="0.2">
      <c r="A180">
        <v>5</v>
      </c>
      <c r="B180" s="13" t="s">
        <v>54</v>
      </c>
      <c r="C180">
        <v>0.92750475285138401</v>
      </c>
    </row>
    <row r="181" spans="1:3" x14ac:dyDescent="0.2">
      <c r="A181">
        <v>6</v>
      </c>
      <c r="B181" s="13" t="s">
        <v>54</v>
      </c>
      <c r="C181">
        <v>0.88199839426725701</v>
      </c>
    </row>
    <row r="182" spans="1:3" x14ac:dyDescent="0.2">
      <c r="A182">
        <v>1</v>
      </c>
      <c r="B182" s="13" t="s">
        <v>54</v>
      </c>
      <c r="C182">
        <v>0.87100314820435298</v>
      </c>
    </row>
    <row r="183" spans="1:3" x14ac:dyDescent="0.2">
      <c r="A183">
        <v>2</v>
      </c>
      <c r="B183" s="13" t="s">
        <v>54</v>
      </c>
      <c r="C183">
        <v>0.85848724054813996</v>
      </c>
    </row>
    <row r="184" spans="1:3" x14ac:dyDescent="0.2">
      <c r="A184">
        <v>3</v>
      </c>
      <c r="B184" s="13" t="s">
        <v>54</v>
      </c>
      <c r="C184">
        <v>0.91911274695724599</v>
      </c>
    </row>
    <row r="185" spans="1:3" x14ac:dyDescent="0.2">
      <c r="A185">
        <v>4</v>
      </c>
      <c r="B185" s="13" t="s">
        <v>54</v>
      </c>
      <c r="C185">
        <v>0.85980114631796301</v>
      </c>
    </row>
    <row r="186" spans="1:3" x14ac:dyDescent="0.2">
      <c r="A186">
        <v>5</v>
      </c>
      <c r="B186" s="13" t="s">
        <v>54</v>
      </c>
      <c r="C186">
        <v>1</v>
      </c>
    </row>
    <row r="187" spans="1:3" x14ac:dyDescent="0.2">
      <c r="A187">
        <v>6</v>
      </c>
      <c r="B187" s="13" t="s">
        <v>54</v>
      </c>
      <c r="C187">
        <v>0.87948592820145</v>
      </c>
    </row>
    <row r="188" spans="1:3" x14ac:dyDescent="0.2">
      <c r="A188">
        <v>1</v>
      </c>
      <c r="B188" s="13" t="s">
        <v>54</v>
      </c>
      <c r="C188">
        <v>0.8</v>
      </c>
    </row>
    <row r="189" spans="1:3" x14ac:dyDescent="0.2">
      <c r="A189">
        <v>2</v>
      </c>
      <c r="B189" s="13" t="s">
        <v>54</v>
      </c>
      <c r="C189">
        <v>0.89849141666854304</v>
      </c>
    </row>
    <row r="190" spans="1:3" x14ac:dyDescent="0.2">
      <c r="A190">
        <v>3</v>
      </c>
      <c r="B190" s="13" t="s">
        <v>54</v>
      </c>
      <c r="C190">
        <v>0.896348326009059</v>
      </c>
    </row>
    <row r="191" spans="1:3" x14ac:dyDescent="0.2">
      <c r="A191">
        <v>4</v>
      </c>
      <c r="B191" s="13" t="s">
        <v>54</v>
      </c>
      <c r="C191">
        <v>0.95558592837620904</v>
      </c>
    </row>
    <row r="192" spans="1:3" x14ac:dyDescent="0.2">
      <c r="A192">
        <v>5</v>
      </c>
      <c r="B192" s="13" t="s">
        <v>54</v>
      </c>
      <c r="C192">
        <v>0.91440631183638499</v>
      </c>
    </row>
    <row r="193" spans="1:3" x14ac:dyDescent="0.2">
      <c r="A193">
        <v>6</v>
      </c>
      <c r="B193" s="13" t="s">
        <v>54</v>
      </c>
      <c r="C193">
        <v>0.85830824082800905</v>
      </c>
    </row>
    <row r="194" spans="1:3" x14ac:dyDescent="0.2">
      <c r="A194">
        <v>1</v>
      </c>
      <c r="B194" s="13" t="s">
        <v>55</v>
      </c>
      <c r="C194">
        <v>0.88568040632516098</v>
      </c>
    </row>
    <row r="195" spans="1:3" x14ac:dyDescent="0.2">
      <c r="A195">
        <v>2</v>
      </c>
      <c r="B195" s="13" t="s">
        <v>55</v>
      </c>
      <c r="C195">
        <v>0.91637098858254895</v>
      </c>
    </row>
    <row r="196" spans="1:3" x14ac:dyDescent="0.2">
      <c r="A196">
        <v>3</v>
      </c>
      <c r="B196" s="13" t="s">
        <v>55</v>
      </c>
      <c r="C196">
        <v>0.8</v>
      </c>
    </row>
    <row r="197" spans="1:3" x14ac:dyDescent="0.2">
      <c r="A197">
        <v>4</v>
      </c>
      <c r="B197" s="13" t="s">
        <v>55</v>
      </c>
      <c r="C197">
        <v>0.96693108671952199</v>
      </c>
    </row>
    <row r="198" spans="1:3" x14ac:dyDescent="0.2">
      <c r="A198">
        <v>5</v>
      </c>
      <c r="B198" s="13" t="s">
        <v>55</v>
      </c>
      <c r="C198">
        <v>0.85844150570976596</v>
      </c>
    </row>
    <row r="199" spans="1:3" x14ac:dyDescent="0.2">
      <c r="A199">
        <v>6</v>
      </c>
      <c r="B199" s="13" t="s">
        <v>55</v>
      </c>
      <c r="C199">
        <v>0.97085219104737996</v>
      </c>
    </row>
    <row r="200" spans="1:3" x14ac:dyDescent="0.2">
      <c r="A200">
        <v>1</v>
      </c>
      <c r="B200" s="13" t="s">
        <v>55</v>
      </c>
      <c r="C200">
        <v>0.91962325705632897</v>
      </c>
    </row>
    <row r="201" spans="1:3" x14ac:dyDescent="0.2">
      <c r="A201">
        <v>2</v>
      </c>
      <c r="B201" s="13" t="s">
        <v>55</v>
      </c>
      <c r="C201">
        <v>0.93147970681969805</v>
      </c>
    </row>
    <row r="202" spans="1:3" x14ac:dyDescent="0.2">
      <c r="A202">
        <v>3</v>
      </c>
      <c r="B202" s="13" t="s">
        <v>55</v>
      </c>
      <c r="C202">
        <v>0.95747117180006303</v>
      </c>
    </row>
    <row r="203" spans="1:3" x14ac:dyDescent="0.2">
      <c r="A203">
        <v>4</v>
      </c>
      <c r="B203" s="13" t="s">
        <v>55</v>
      </c>
      <c r="C203">
        <v>0.92865660263462402</v>
      </c>
    </row>
    <row r="204" spans="1:3" x14ac:dyDescent="0.2">
      <c r="A204">
        <v>5</v>
      </c>
      <c r="B204" s="13" t="s">
        <v>55</v>
      </c>
      <c r="C204">
        <v>0.93364431081587196</v>
      </c>
    </row>
    <row r="205" spans="1:3" x14ac:dyDescent="0.2">
      <c r="A205">
        <v>6</v>
      </c>
      <c r="B205" s="13" t="s">
        <v>55</v>
      </c>
      <c r="C205">
        <v>0.89177917797693096</v>
      </c>
    </row>
    <row r="206" spans="1:3" x14ac:dyDescent="0.2">
      <c r="A206">
        <v>1</v>
      </c>
      <c r="B206" s="13" t="s">
        <v>55</v>
      </c>
      <c r="C206">
        <v>0.91860843407360404</v>
      </c>
    </row>
    <row r="207" spans="1:3" x14ac:dyDescent="0.2">
      <c r="A207">
        <v>2</v>
      </c>
      <c r="B207" s="13" t="s">
        <v>55</v>
      </c>
      <c r="C207">
        <v>0.87062510925141201</v>
      </c>
    </row>
    <row r="208" spans="1:3" x14ac:dyDescent="0.2">
      <c r="A208">
        <v>3</v>
      </c>
      <c r="B208" s="13" t="s">
        <v>55</v>
      </c>
      <c r="C208">
        <v>0.88282944502060101</v>
      </c>
    </row>
    <row r="209" spans="1:3" x14ac:dyDescent="0.2">
      <c r="A209">
        <v>4</v>
      </c>
      <c r="B209" s="13" t="s">
        <v>55</v>
      </c>
      <c r="C209">
        <v>0.99823475239844495</v>
      </c>
    </row>
    <row r="210" spans="1:3" x14ac:dyDescent="0.2">
      <c r="A210">
        <v>5</v>
      </c>
      <c r="B210" s="13" t="s">
        <v>55</v>
      </c>
      <c r="C210">
        <v>0.85959032074747799</v>
      </c>
    </row>
    <row r="211" spans="1:3" x14ac:dyDescent="0.2">
      <c r="A211">
        <v>6</v>
      </c>
      <c r="B211" s="13" t="s">
        <v>55</v>
      </c>
      <c r="C211">
        <v>0.90771585633181395</v>
      </c>
    </row>
    <row r="212" spans="1:3" x14ac:dyDescent="0.2">
      <c r="A212">
        <v>1</v>
      </c>
      <c r="B212" s="13" t="s">
        <v>52</v>
      </c>
      <c r="C212">
        <v>0.90567345183577397</v>
      </c>
    </row>
    <row r="213" spans="1:3" x14ac:dyDescent="0.2">
      <c r="A213">
        <v>2</v>
      </c>
      <c r="B213" s="13" t="s">
        <v>52</v>
      </c>
      <c r="C213">
        <v>0.88446227641095998</v>
      </c>
    </row>
    <row r="214" spans="1:3" x14ac:dyDescent="0.2">
      <c r="A214">
        <v>3</v>
      </c>
      <c r="B214" s="13" t="s">
        <v>52</v>
      </c>
      <c r="C214">
        <v>0.92572004682852205</v>
      </c>
    </row>
    <row r="215" spans="1:3" x14ac:dyDescent="0.2">
      <c r="A215">
        <v>4</v>
      </c>
      <c r="B215" s="13" t="s">
        <v>52</v>
      </c>
      <c r="C215">
        <v>0.92948610463706904</v>
      </c>
    </row>
    <row r="216" spans="1:3" x14ac:dyDescent="0.2">
      <c r="A216">
        <v>5</v>
      </c>
      <c r="B216" s="13" t="s">
        <v>52</v>
      </c>
      <c r="C216">
        <v>0.853709040842621</v>
      </c>
    </row>
    <row r="217" spans="1:3" x14ac:dyDescent="0.2">
      <c r="A217">
        <v>6</v>
      </c>
      <c r="B217" s="13" t="s">
        <v>52</v>
      </c>
      <c r="C217">
        <v>0.90506783557732695</v>
      </c>
    </row>
  </sheetData>
  <autoFilter ref="A1:C217" xr:uid="{00000000-0001-0000-0000-000000000000}"/>
  <dataValidations count="1">
    <dataValidation type="decimal" allowBlank="1" showInputMessage="1" showErrorMessage="1" sqref="C1:C1048576 E2:E103 F2:H55" xr:uid="{8F90EB64-0018-5248-AB8F-A0639A3760FC}">
      <formula1>0.8</formula1>
      <formula2>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2362-31D6-3C41-9378-4B51DC6F57CA}">
  <sheetPr>
    <tabColor rgb="FFFFC000"/>
  </sheetPr>
  <dimension ref="A1:AA217"/>
  <sheetViews>
    <sheetView topLeftCell="D1" zoomScale="140" zoomScaleNormal="140" workbookViewId="0">
      <pane ySplit="1" topLeftCell="A2" activePane="bottomLeft" state="frozen"/>
      <selection pane="bottomLeft" activeCell="O2" sqref="O2"/>
    </sheetView>
  </sheetViews>
  <sheetFormatPr baseColWidth="10" defaultColWidth="8.83203125" defaultRowHeight="15" x14ac:dyDescent="0.2"/>
  <cols>
    <col min="1" max="1" width="14.33203125" hidden="1" customWidth="1"/>
    <col min="2" max="2" width="9.33203125" hidden="1" customWidth="1"/>
    <col min="3" max="3" width="15" bestFit="1" customWidth="1"/>
    <col min="4" max="4" width="17" customWidth="1"/>
    <col min="5" max="5" width="19.1640625" customWidth="1"/>
    <col min="6" max="7" width="2.5" customWidth="1"/>
    <col min="8" max="8" width="11.83203125" bestFit="1" customWidth="1"/>
    <col min="9" max="9" width="12.6640625" bestFit="1" customWidth="1"/>
    <col min="10" max="10" width="2.5" customWidth="1"/>
    <col min="11" max="11" width="11.5" bestFit="1" customWidth="1"/>
    <col min="12" max="12" width="11" bestFit="1" customWidth="1"/>
    <col min="13" max="13" width="11.33203125" bestFit="1" customWidth="1"/>
    <col min="14" max="14" width="11.83203125" bestFit="1" customWidth="1"/>
    <col min="16" max="16" width="16.83203125" customWidth="1"/>
  </cols>
  <sheetData>
    <row r="1" spans="1:22" x14ac:dyDescent="0.2">
      <c r="A1" s="6" t="s">
        <v>1</v>
      </c>
      <c r="B1" s="10" t="s">
        <v>33</v>
      </c>
      <c r="C1" s="6" t="s">
        <v>4</v>
      </c>
      <c r="D1" s="10" t="s">
        <v>78</v>
      </c>
      <c r="E1" s="9" t="s">
        <v>8</v>
      </c>
      <c r="K1" s="15" t="s">
        <v>69</v>
      </c>
      <c r="L1" s="15" t="s">
        <v>70</v>
      </c>
      <c r="M1" s="15" t="s">
        <v>71</v>
      </c>
      <c r="N1" s="15" t="s">
        <v>72</v>
      </c>
    </row>
    <row r="2" spans="1:22" x14ac:dyDescent="0.2">
      <c r="A2" t="s">
        <v>15</v>
      </c>
      <c r="B2" s="13" t="s">
        <v>52</v>
      </c>
      <c r="C2">
        <v>303</v>
      </c>
      <c r="D2" s="36" t="str">
        <f>IF(C2&lt;=165, "Lowest range",
   IF(AND(C2&gt;165, C2&lt;=268), "Lower range",
      IF(AND(C2&gt;268, C2&lt;=369), "Higher range",
         IF(C2&gt;369, "Highest range", "Not categorised"))))</f>
        <v>Higher range</v>
      </c>
      <c r="E2" s="14">
        <v>0.90555860801447596</v>
      </c>
      <c r="H2" s="15" t="s">
        <v>67</v>
      </c>
      <c r="I2" s="16">
        <f>_xlfn.QUARTILE.INC($C$2:$C$217,1)</f>
        <v>164.75</v>
      </c>
      <c r="K2" s="37">
        <v>0.82745133687794503</v>
      </c>
      <c r="L2" s="37">
        <v>0.95354476156697998</v>
      </c>
      <c r="M2" s="37">
        <v>0.90555860801447596</v>
      </c>
      <c r="N2" s="37">
        <v>0.90946439471177698</v>
      </c>
      <c r="O2" s="15"/>
      <c r="P2" s="15" t="s">
        <v>34</v>
      </c>
      <c r="Q2" s="15"/>
      <c r="R2" s="15"/>
      <c r="S2" s="15"/>
      <c r="T2" s="15"/>
      <c r="U2" s="15"/>
      <c r="V2" s="15"/>
    </row>
    <row r="3" spans="1:22" x14ac:dyDescent="0.2">
      <c r="A3" t="s">
        <v>15</v>
      </c>
      <c r="B3" s="13" t="s">
        <v>52</v>
      </c>
      <c r="C3">
        <v>134</v>
      </c>
      <c r="D3" s="36" t="str">
        <f>IF(C3&lt;=165, "Lowest range",
   IF(AND(C3&gt;165, C3&lt;=268), "Lower range",
      IF(AND(C3&gt;268, C3&lt;=369), "Higher range",
         IF(C3&gt;369, "Highest range", "Not categorised"))))</f>
        <v>Lowest range</v>
      </c>
      <c r="E3" s="14">
        <v>0.82745133687794503</v>
      </c>
      <c r="H3" s="15" t="s">
        <v>77</v>
      </c>
      <c r="I3" s="16">
        <f>_xlfn.QUARTILE.INC($C$2:$C$217,2)</f>
        <v>268</v>
      </c>
      <c r="K3" s="37">
        <v>0.90474999417485202</v>
      </c>
      <c r="L3" s="37">
        <v>0.86617474392754301</v>
      </c>
      <c r="M3" s="37">
        <v>0.90378361470236102</v>
      </c>
      <c r="N3" s="37">
        <v>0.96013136505238295</v>
      </c>
      <c r="O3" s="15"/>
      <c r="P3" s="15"/>
      <c r="Q3" s="15"/>
      <c r="R3" s="15"/>
      <c r="S3" s="15"/>
      <c r="T3" s="15"/>
      <c r="U3" s="15"/>
      <c r="V3" s="15"/>
    </row>
    <row r="4" spans="1:22" ht="16" thickBot="1" x14ac:dyDescent="0.25">
      <c r="A4" t="s">
        <v>15</v>
      </c>
      <c r="B4" s="13" t="s">
        <v>53</v>
      </c>
      <c r="C4">
        <v>216</v>
      </c>
      <c r="D4" s="36" t="str">
        <f>IF(C4&lt;=165, "Lowest range",
   IF(AND(C4&gt;165, C4&lt;=268), "Lower range",
      IF(AND(C4&gt;268, C4&lt;=369), "Higher range",
         IF(C4&gt;369, "Highest range", "Not categorised"))))</f>
        <v>Lower range</v>
      </c>
      <c r="E4" s="14">
        <v>0.95354476156697998</v>
      </c>
      <c r="H4" s="15" t="s">
        <v>68</v>
      </c>
      <c r="I4" s="16">
        <f>_xlfn.QUARTILE.INC($C$2:$C$217,3)</f>
        <v>369.25</v>
      </c>
      <c r="K4" s="37">
        <v>0.84084925033339297</v>
      </c>
      <c r="L4" s="37">
        <v>0.833895034002757</v>
      </c>
      <c r="M4" s="37">
        <v>0.99681946512844499</v>
      </c>
      <c r="N4" s="37">
        <v>0.99003293149817795</v>
      </c>
      <c r="O4" s="15"/>
      <c r="P4" s="15" t="s">
        <v>35</v>
      </c>
      <c r="Q4" s="15"/>
      <c r="R4" s="15"/>
      <c r="S4" s="15"/>
      <c r="T4" s="15"/>
      <c r="U4" s="15"/>
      <c r="V4" s="15"/>
    </row>
    <row r="5" spans="1:22" x14ac:dyDescent="0.2">
      <c r="A5" t="s">
        <v>15</v>
      </c>
      <c r="B5" s="13" t="s">
        <v>53</v>
      </c>
      <c r="C5">
        <v>68</v>
      </c>
      <c r="D5" s="36" t="str">
        <f>IF(C5&lt;=165, "Lowest range",
   IF(AND(C5&gt;165, C5&lt;=268), "Lower range",
      IF(AND(C5&gt;268, C5&lt;=369), "Higher range",
         IF(C5&gt;369, "Highest range", "Not categorised"))))</f>
        <v>Lowest range</v>
      </c>
      <c r="E5" s="14">
        <v>0.90474999417485202</v>
      </c>
      <c r="H5" s="15"/>
      <c r="I5" s="15"/>
      <c r="K5" s="37">
        <v>0.93945670125733405</v>
      </c>
      <c r="L5" s="37">
        <v>0.83994849169615304</v>
      </c>
      <c r="M5" s="37">
        <v>0.94775770584504104</v>
      </c>
      <c r="N5" s="37">
        <v>0.94651280781209701</v>
      </c>
      <c r="O5" s="15"/>
      <c r="P5" s="38" t="s">
        <v>36</v>
      </c>
      <c r="Q5" s="38" t="s">
        <v>37</v>
      </c>
      <c r="R5" s="38" t="s">
        <v>38</v>
      </c>
      <c r="S5" s="38" t="s">
        <v>39</v>
      </c>
      <c r="T5" s="38" t="s">
        <v>40</v>
      </c>
      <c r="U5" s="15"/>
      <c r="V5" s="15"/>
    </row>
    <row r="6" spans="1:22" x14ac:dyDescent="0.2">
      <c r="A6" t="s">
        <v>15</v>
      </c>
      <c r="B6" s="13" t="s">
        <v>53</v>
      </c>
      <c r="C6">
        <v>216</v>
      </c>
      <c r="D6" s="36" t="str">
        <f>IF(C6&lt;=165, "Lowest range",
   IF(AND(C6&gt;165, C6&lt;=268), "Lower range",
      IF(AND(C6&gt;268, C6&lt;=369), "Higher range",
         IF(C6&gt;369, "Highest range", "Not categorised"))))</f>
        <v>Lower range</v>
      </c>
      <c r="E6" s="14">
        <v>0.86617474392754301</v>
      </c>
      <c r="H6" s="15" t="s">
        <v>69</v>
      </c>
      <c r="I6" s="35" t="s">
        <v>73</v>
      </c>
      <c r="K6" s="37">
        <v>0.99402175732013198</v>
      </c>
      <c r="L6" s="37">
        <v>0.93803863748353</v>
      </c>
      <c r="M6" s="37">
        <v>0.89961353888726303</v>
      </c>
      <c r="N6" s="37">
        <v>0.90756988439466002</v>
      </c>
      <c r="O6" s="15"/>
      <c r="P6" s="39" t="s">
        <v>69</v>
      </c>
      <c r="Q6" s="39">
        <v>55</v>
      </c>
      <c r="R6" s="39">
        <v>49.965066612494567</v>
      </c>
      <c r="S6" s="39">
        <v>0.90845575659081035</v>
      </c>
      <c r="T6" s="39">
        <v>2.8216202104600907E-3</v>
      </c>
      <c r="U6" s="15"/>
      <c r="V6" s="15"/>
    </row>
    <row r="7" spans="1:22" x14ac:dyDescent="0.2">
      <c r="A7" t="s">
        <v>15</v>
      </c>
      <c r="B7" s="13" t="s">
        <v>54</v>
      </c>
      <c r="C7">
        <v>213</v>
      </c>
      <c r="D7" s="36" t="str">
        <f>IF(C7&lt;=165, "Lowest range",
   IF(AND(C7&gt;165, C7&lt;=268), "Lower range",
      IF(AND(C7&gt;268, C7&lt;=369), "Higher range",
         IF(C7&gt;369, "Highest range", "Not categorised"))))</f>
        <v>Lower range</v>
      </c>
      <c r="E7" s="14">
        <v>0.833895034002757</v>
      </c>
      <c r="H7" s="15" t="s">
        <v>70</v>
      </c>
      <c r="I7" s="35" t="s">
        <v>74</v>
      </c>
      <c r="K7" s="37">
        <v>0.89642771714506098</v>
      </c>
      <c r="L7" s="37">
        <v>0.88266834082545798</v>
      </c>
      <c r="M7" s="37">
        <v>0.85637423422040604</v>
      </c>
      <c r="N7" s="37">
        <v>0.91708644573702103</v>
      </c>
      <c r="O7" s="15"/>
      <c r="P7" s="39" t="s">
        <v>70</v>
      </c>
      <c r="Q7" s="39">
        <v>55</v>
      </c>
      <c r="R7" s="39">
        <v>49.731932648328019</v>
      </c>
      <c r="S7" s="39">
        <v>0.90421695724232765</v>
      </c>
      <c r="T7" s="39">
        <v>2.1765418092321884E-3</v>
      </c>
      <c r="U7" s="15"/>
      <c r="V7" s="15"/>
    </row>
    <row r="8" spans="1:22" x14ac:dyDescent="0.2">
      <c r="A8" t="s">
        <v>15</v>
      </c>
      <c r="B8" s="13" t="s">
        <v>54</v>
      </c>
      <c r="C8">
        <v>119</v>
      </c>
      <c r="D8" s="36" t="str">
        <f>IF(C8&lt;=165, "Lowest range",
   IF(AND(C8&gt;165, C8&lt;=268), "Lower range",
      IF(AND(C8&gt;268, C8&lt;=369), "Higher range",
         IF(C8&gt;369, "Highest range", "Not categorised"))))</f>
        <v>Lowest range</v>
      </c>
      <c r="E8" s="14">
        <v>0.84084925033339297</v>
      </c>
      <c r="H8" s="15" t="s">
        <v>71</v>
      </c>
      <c r="I8" s="35" t="s">
        <v>75</v>
      </c>
      <c r="K8" s="37">
        <v>0.97785492703121002</v>
      </c>
      <c r="L8" s="37">
        <v>0.95070524656398503</v>
      </c>
      <c r="M8" s="37">
        <v>0.862122514438035</v>
      </c>
      <c r="N8" s="37">
        <v>0.88199839426725701</v>
      </c>
      <c r="O8" s="15"/>
      <c r="P8" s="39" t="s">
        <v>71</v>
      </c>
      <c r="Q8" s="39">
        <v>52</v>
      </c>
      <c r="R8" s="39">
        <v>46.739376742549041</v>
      </c>
      <c r="S8" s="39">
        <v>0.89883416812594308</v>
      </c>
      <c r="T8" s="39">
        <v>2.5613356432113393E-3</v>
      </c>
      <c r="U8" s="15"/>
      <c r="V8" s="15"/>
    </row>
    <row r="9" spans="1:22" ht="16" thickBot="1" x14ac:dyDescent="0.25">
      <c r="A9" t="s">
        <v>15</v>
      </c>
      <c r="B9" s="13" t="s">
        <v>54</v>
      </c>
      <c r="C9">
        <v>179</v>
      </c>
      <c r="D9" s="36" t="str">
        <f>IF(C9&lt;=165, "Lowest range",
   IF(AND(C9&gt;165, C9&lt;=268), "Lower range",
      IF(AND(C9&gt;268, C9&lt;=369), "Higher range",
         IF(C9&gt;369, "Highest range", "Not categorised"))))</f>
        <v>Lower range</v>
      </c>
      <c r="E9" s="14">
        <v>0.83994849169615304</v>
      </c>
      <c r="H9" s="15" t="s">
        <v>72</v>
      </c>
      <c r="I9" s="35" t="s">
        <v>76</v>
      </c>
      <c r="K9" s="37">
        <v>0.891305667920541</v>
      </c>
      <c r="L9" s="37">
        <v>0.92030425985081099</v>
      </c>
      <c r="M9" s="37">
        <v>0.85830824082800905</v>
      </c>
      <c r="N9" s="37">
        <v>0.96110616511865199</v>
      </c>
      <c r="O9" s="15"/>
      <c r="P9" s="40" t="s">
        <v>72</v>
      </c>
      <c r="Q9" s="40">
        <v>54</v>
      </c>
      <c r="R9" s="40">
        <v>48.866699519067048</v>
      </c>
      <c r="S9" s="40">
        <v>0.90493887998272315</v>
      </c>
      <c r="T9" s="40">
        <v>2.0453589441950821E-3</v>
      </c>
      <c r="U9" s="15"/>
      <c r="V9" s="15"/>
    </row>
    <row r="10" spans="1:22" x14ac:dyDescent="0.2">
      <c r="A10" t="s">
        <v>15</v>
      </c>
      <c r="B10" s="13" t="s">
        <v>55</v>
      </c>
      <c r="C10">
        <v>198</v>
      </c>
      <c r="D10" s="36" t="str">
        <f>IF(C10&lt;=165, "Lowest range",
   IF(AND(C10&gt;165, C10&lt;=268), "Lower range",
      IF(AND(C10&gt;268, C10&lt;=369), "Higher range",
         IF(C10&gt;369, "Highest range", "Not categorised"))))</f>
        <v>Lower range</v>
      </c>
      <c r="E10" s="14">
        <v>0.93803863748353</v>
      </c>
      <c r="K10" s="37">
        <v>0.87948592820145</v>
      </c>
      <c r="L10" s="37">
        <v>0.90771585633181395</v>
      </c>
      <c r="M10" s="37">
        <v>0.81163513234447104</v>
      </c>
      <c r="N10" s="37">
        <v>0.90152477523768004</v>
      </c>
      <c r="O10" s="15"/>
      <c r="P10" s="15"/>
      <c r="Q10" s="15"/>
      <c r="R10" s="15"/>
      <c r="S10" s="15"/>
      <c r="T10" s="15"/>
      <c r="U10" s="15"/>
      <c r="V10" s="15"/>
    </row>
    <row r="11" spans="1:22" x14ac:dyDescent="0.2">
      <c r="A11" t="s">
        <v>15</v>
      </c>
      <c r="B11" s="13" t="s">
        <v>55</v>
      </c>
      <c r="C11">
        <v>349</v>
      </c>
      <c r="D11" s="36" t="str">
        <f>IF(C11&lt;=165, "Lowest range",
   IF(AND(C11&gt;165, C11&lt;=268), "Lower range",
      IF(AND(C11&gt;268, C11&lt;=369), "Higher range",
         IF(C11&gt;369, "Highest range", "Not categorised"))))</f>
        <v>Higher range</v>
      </c>
      <c r="E11" s="14">
        <v>0.90378361470236102</v>
      </c>
      <c r="K11" s="37">
        <v>0.97085219104737996</v>
      </c>
      <c r="L11" s="37">
        <v>0.87931454161626899</v>
      </c>
      <c r="M11" s="37">
        <v>0.85689750592977498</v>
      </c>
      <c r="N11" s="37">
        <v>0.91466310516233895</v>
      </c>
      <c r="O11" s="15"/>
      <c r="P11" s="15"/>
      <c r="Q11" s="15"/>
      <c r="R11" s="15"/>
      <c r="S11" s="15"/>
      <c r="T11" s="15"/>
      <c r="U11" s="15"/>
      <c r="V11" s="15"/>
    </row>
    <row r="12" spans="1:22" ht="16" thickBot="1" x14ac:dyDescent="0.25">
      <c r="A12" t="s">
        <v>15</v>
      </c>
      <c r="B12" s="13" t="s">
        <v>55</v>
      </c>
      <c r="C12">
        <v>179</v>
      </c>
      <c r="D12" s="36" t="str">
        <f>IF(C12&lt;=165, "Lowest range",
   IF(AND(C12&gt;165, C12&lt;=268), "Lower range",
      IF(AND(C12&gt;268, C12&lt;=369), "Higher range",
         IF(C12&gt;369, "Highest range", "Not categorised"))))</f>
        <v>Lower range</v>
      </c>
      <c r="E12" s="14">
        <v>0.88266834082545798</v>
      </c>
      <c r="K12" s="37">
        <v>0.89177917797693096</v>
      </c>
      <c r="L12" s="37">
        <v>0.92275305694694798</v>
      </c>
      <c r="M12" s="37">
        <v>0.87418789564954202</v>
      </c>
      <c r="N12" s="37">
        <v>0.91086071548236702</v>
      </c>
      <c r="O12" s="15"/>
      <c r="P12" s="15" t="s">
        <v>41</v>
      </c>
      <c r="Q12" s="15"/>
      <c r="R12" s="15"/>
      <c r="S12" s="15"/>
      <c r="T12" s="15"/>
      <c r="U12" s="15"/>
      <c r="V12" s="15"/>
    </row>
    <row r="13" spans="1:22" x14ac:dyDescent="0.2">
      <c r="A13" t="s">
        <v>15</v>
      </c>
      <c r="B13" s="13" t="s">
        <v>52</v>
      </c>
      <c r="C13">
        <v>340</v>
      </c>
      <c r="D13" s="36" t="str">
        <f>IF(C13&lt;=165, "Lowest range",
   IF(AND(C13&gt;165, C13&lt;=268), "Lower range",
      IF(AND(C13&gt;268, C13&lt;=369), "Higher range",
         IF(C13&gt;369, "Highest range", "Not categorised"))))</f>
        <v>Higher range</v>
      </c>
      <c r="E13" s="14">
        <v>0.99681946512844499</v>
      </c>
      <c r="K13" s="37">
        <v>0.90506783557732695</v>
      </c>
      <c r="L13" s="37">
        <v>0.80925634778128797</v>
      </c>
      <c r="M13" s="37">
        <v>0.84757379433974001</v>
      </c>
      <c r="N13" s="37">
        <v>0.87358605132990097</v>
      </c>
      <c r="O13" s="15"/>
      <c r="P13" s="38" t="s">
        <v>42</v>
      </c>
      <c r="Q13" s="38" t="s">
        <v>43</v>
      </c>
      <c r="R13" s="38" t="s">
        <v>44</v>
      </c>
      <c r="S13" s="38" t="s">
        <v>45</v>
      </c>
      <c r="T13" s="38" t="s">
        <v>46</v>
      </c>
      <c r="U13" s="38" t="s">
        <v>47</v>
      </c>
      <c r="V13" s="38" t="s">
        <v>48</v>
      </c>
    </row>
    <row r="14" spans="1:22" x14ac:dyDescent="0.2">
      <c r="A14" t="s">
        <v>15</v>
      </c>
      <c r="B14" s="13" t="s">
        <v>52</v>
      </c>
      <c r="C14">
        <v>349</v>
      </c>
      <c r="D14" s="36" t="str">
        <f>IF(C14&lt;=165, "Lowest range",
   IF(AND(C14&gt;165, C14&lt;=268), "Lower range",
      IF(AND(C14&gt;268, C14&lt;=369), "Higher range",
         IF(C14&gt;369, "Highest range", "Not categorised"))))</f>
        <v>Higher range</v>
      </c>
      <c r="E14" s="14">
        <v>0.94775770584504104</v>
      </c>
      <c r="K14" s="37">
        <v>0.86607353323176195</v>
      </c>
      <c r="L14" s="37">
        <v>0.89467026195426702</v>
      </c>
      <c r="M14" s="37">
        <v>0.90815305337147001</v>
      </c>
      <c r="N14" s="37">
        <v>0.88887290820428</v>
      </c>
      <c r="O14" s="15"/>
      <c r="P14" s="39" t="s">
        <v>49</v>
      </c>
      <c r="Q14" s="39">
        <v>2.5227404322598623E-3</v>
      </c>
      <c r="R14" s="39">
        <v>3</v>
      </c>
      <c r="S14" s="39">
        <v>8.4091347741995415E-4</v>
      </c>
      <c r="T14" s="39">
        <v>0.35028912533918183</v>
      </c>
      <c r="U14" s="39">
        <v>0.78897744150238702</v>
      </c>
      <c r="V14" s="39">
        <v>2.6471884957686997</v>
      </c>
    </row>
    <row r="15" spans="1:22" x14ac:dyDescent="0.2">
      <c r="A15" t="s">
        <v>15</v>
      </c>
      <c r="B15" s="13" t="s">
        <v>52</v>
      </c>
      <c r="C15">
        <v>360</v>
      </c>
      <c r="D15" s="36" t="str">
        <f>IF(C15&lt;=165, "Lowest range",
   IF(AND(C15&gt;165, C15&lt;=268), "Lower range",
      IF(AND(C15&gt;268, C15&lt;=369), "Higher range",
         IF(C15&gt;369, "Highest range", "Not categorised"))))</f>
        <v>Higher range</v>
      </c>
      <c r="E15" s="14">
        <v>0.89961353888726303</v>
      </c>
      <c r="K15" s="37">
        <v>0.82036994578281897</v>
      </c>
      <c r="L15" s="37">
        <v>0.94427294794501604</v>
      </c>
      <c r="M15" s="37">
        <v>0.86931015615785601</v>
      </c>
      <c r="N15" s="37">
        <v>0.93389718924763299</v>
      </c>
      <c r="O15" s="15"/>
      <c r="P15" s="39" t="s">
        <v>50</v>
      </c>
      <c r="Q15" s="39">
        <v>0.50893289090950078</v>
      </c>
      <c r="R15" s="39">
        <v>212</v>
      </c>
      <c r="S15" s="39">
        <v>2.4006268439127395E-3</v>
      </c>
      <c r="T15" s="39"/>
      <c r="U15" s="39"/>
      <c r="V15" s="39"/>
    </row>
    <row r="16" spans="1:22" x14ac:dyDescent="0.2">
      <c r="A16" t="s">
        <v>15</v>
      </c>
      <c r="B16" s="13" t="s">
        <v>53</v>
      </c>
      <c r="C16">
        <v>104</v>
      </c>
      <c r="D16" s="36" t="str">
        <f>IF(C16&lt;=165, "Lowest range",
   IF(AND(C16&gt;165, C16&lt;=268), "Lower range",
      IF(AND(C16&gt;268, C16&lt;=369), "Higher range",
         IF(C16&gt;369, "Highest range", "Not categorised"))))</f>
        <v>Lowest range</v>
      </c>
      <c r="E16" s="14">
        <v>0.93945670125733405</v>
      </c>
      <c r="K16" s="37">
        <v>0.93534087146568601</v>
      </c>
      <c r="L16" s="37">
        <v>0.95483767133999697</v>
      </c>
      <c r="M16" s="37">
        <v>0.84169955554623799</v>
      </c>
      <c r="N16" s="37">
        <v>0.8</v>
      </c>
      <c r="O16" s="15"/>
      <c r="P16" s="39"/>
      <c r="Q16" s="39"/>
      <c r="R16" s="39"/>
      <c r="S16" s="39"/>
      <c r="T16" s="39"/>
      <c r="U16" s="39"/>
      <c r="V16" s="39"/>
    </row>
    <row r="17" spans="1:22" ht="16" thickBot="1" x14ac:dyDescent="0.25">
      <c r="A17" t="s">
        <v>15</v>
      </c>
      <c r="B17" s="13" t="s">
        <v>53</v>
      </c>
      <c r="C17">
        <v>185</v>
      </c>
      <c r="D17" s="36" t="str">
        <f>IF(C17&lt;=165, "Lowest range",
   IF(AND(C17&gt;165, C17&lt;=268), "Lower range",
      IF(AND(C17&gt;268, C17&lt;=369), "Higher range",
         IF(C17&gt;369, "Highest range", "Not categorised"))))</f>
        <v>Lower range</v>
      </c>
      <c r="E17" s="14">
        <v>0.95070524656398503</v>
      </c>
      <c r="K17" s="37">
        <v>0.94292565767237402</v>
      </c>
      <c r="L17" s="37">
        <v>0.90860606861677196</v>
      </c>
      <c r="M17" s="37">
        <v>0.86522653843391895</v>
      </c>
      <c r="N17" s="37">
        <v>0.85844150570976596</v>
      </c>
      <c r="O17" s="15"/>
      <c r="P17" s="40" t="s">
        <v>51</v>
      </c>
      <c r="Q17" s="40">
        <v>0.51145563134176064</v>
      </c>
      <c r="R17" s="40">
        <v>215</v>
      </c>
      <c r="S17" s="40"/>
      <c r="T17" s="40"/>
      <c r="U17" s="40"/>
      <c r="V17" s="40"/>
    </row>
    <row r="18" spans="1:22" x14ac:dyDescent="0.2">
      <c r="A18" t="s">
        <v>15</v>
      </c>
      <c r="B18" s="13" t="s">
        <v>53</v>
      </c>
      <c r="C18">
        <v>397</v>
      </c>
      <c r="D18" s="36" t="str">
        <f>IF(C18&lt;=165, "Lowest range",
   IF(AND(C18&gt;165, C18&lt;=268), "Lower range",
      IF(AND(C18&gt;268, C18&lt;=369), "Higher range",
         IF(C18&gt;369, "Highest range", "Not categorised"))))</f>
        <v>Highest range</v>
      </c>
      <c r="E18" s="14">
        <v>0.90946439471177698</v>
      </c>
      <c r="K18" s="37">
        <v>0.92750475285138401</v>
      </c>
      <c r="L18" s="37">
        <v>0.92398937214920795</v>
      </c>
      <c r="M18" s="37">
        <v>0.91440631183638499</v>
      </c>
      <c r="N18" s="37">
        <v>0.853709040842621</v>
      </c>
      <c r="O18" s="15"/>
      <c r="P18" s="15"/>
      <c r="Q18" s="15"/>
      <c r="R18" s="15"/>
      <c r="S18" s="15"/>
      <c r="T18" s="15"/>
      <c r="U18" s="15"/>
      <c r="V18" s="15"/>
    </row>
    <row r="19" spans="1:22" x14ac:dyDescent="0.2">
      <c r="A19" t="s">
        <v>15</v>
      </c>
      <c r="B19" s="13" t="s">
        <v>54</v>
      </c>
      <c r="C19">
        <v>297</v>
      </c>
      <c r="D19" s="36" t="str">
        <f>IF(C19&lt;=165, "Lowest range",
   IF(AND(C19&gt;165, C19&lt;=268), "Lower range",
      IF(AND(C19&gt;268, C19&lt;=369), "Higher range",
         IF(C19&gt;369, "Highest range", "Not categorised"))))</f>
        <v>Higher range</v>
      </c>
      <c r="E19" s="14">
        <v>0.85637423422040604</v>
      </c>
      <c r="K19" s="37">
        <v>0.93364431081587196</v>
      </c>
      <c r="L19" s="37">
        <v>0.86253965211428696</v>
      </c>
      <c r="M19" s="37">
        <v>0.85959032074747799</v>
      </c>
      <c r="N19" s="37">
        <v>0.87781908477414705</v>
      </c>
      <c r="O19" s="15"/>
      <c r="P19" s="15"/>
      <c r="Q19" s="15"/>
      <c r="R19" s="15"/>
      <c r="S19" s="15"/>
      <c r="T19" s="15"/>
      <c r="U19" s="15"/>
      <c r="V19" s="15"/>
    </row>
    <row r="20" spans="1:22" x14ac:dyDescent="0.2">
      <c r="A20" t="s">
        <v>15</v>
      </c>
      <c r="B20" s="13" t="s">
        <v>54</v>
      </c>
      <c r="C20">
        <v>133</v>
      </c>
      <c r="D20" s="36" t="str">
        <f>IF(C20&lt;=165, "Lowest range",
   IF(AND(C20&gt;165, C20&lt;=268), "Lower range",
      IF(AND(C20&gt;268, C20&lt;=369), "Higher range",
         IF(C20&gt;369, "Highest range", "Not categorised"))))</f>
        <v>Lowest range</v>
      </c>
      <c r="E20" s="14">
        <v>0.99402175732013198</v>
      </c>
      <c r="K20" s="37">
        <v>0.95099622897984804</v>
      </c>
      <c r="L20" s="37">
        <v>1</v>
      </c>
      <c r="M20" s="37">
        <v>1</v>
      </c>
      <c r="N20" s="37">
        <v>0.94875255476517295</v>
      </c>
      <c r="O20" s="15"/>
      <c r="P20" s="15"/>
      <c r="Q20" s="15"/>
      <c r="R20" s="15"/>
      <c r="S20" s="15"/>
      <c r="T20" s="15"/>
      <c r="U20" s="15"/>
      <c r="V20" s="15"/>
    </row>
    <row r="21" spans="1:22" x14ac:dyDescent="0.2">
      <c r="A21" t="s">
        <v>15</v>
      </c>
      <c r="B21" s="13" t="s">
        <v>54</v>
      </c>
      <c r="C21">
        <v>87</v>
      </c>
      <c r="D21" s="36" t="str">
        <f>IF(C21&lt;=165, "Lowest range",
   IF(AND(C21&gt;165, C21&lt;=268), "Lower range",
      IF(AND(C21&gt;268, C21&lt;=369), "Higher range",
         IF(C21&gt;369, "Highest range", "Not categorised"))))</f>
        <v>Lowest range</v>
      </c>
      <c r="E21" s="14">
        <v>0.89642771714506098</v>
      </c>
      <c r="K21" s="37">
        <v>0.93731298537332897</v>
      </c>
      <c r="L21" s="37">
        <v>0.91672496008890603</v>
      </c>
      <c r="M21" s="37">
        <v>0.8</v>
      </c>
      <c r="N21" s="37">
        <v>0.86511331083491905</v>
      </c>
      <c r="O21" s="15"/>
      <c r="P21" s="15"/>
      <c r="Q21" s="15"/>
      <c r="R21" s="15"/>
      <c r="S21" s="15"/>
      <c r="T21" s="15"/>
      <c r="U21" s="15"/>
      <c r="V21" s="15"/>
    </row>
    <row r="22" spans="1:22" x14ac:dyDescent="0.2">
      <c r="A22" t="s">
        <v>15</v>
      </c>
      <c r="B22" s="13" t="s">
        <v>55</v>
      </c>
      <c r="C22">
        <v>286</v>
      </c>
      <c r="D22" s="36" t="str">
        <f>IF(C22&lt;=165, "Lowest range",
   IF(AND(C22&gt;165, C22&lt;=268), "Lower range",
      IF(AND(C22&gt;268, C22&lt;=369), "Higher range",
         IF(C22&gt;369, "Highest range", "Not categorised"))))</f>
        <v>Higher range</v>
      </c>
      <c r="E22" s="14">
        <v>0.862122514438035</v>
      </c>
      <c r="K22" s="37">
        <v>0.97200367582667202</v>
      </c>
      <c r="L22" s="37">
        <v>0.91649199768116696</v>
      </c>
      <c r="M22" s="37">
        <v>0.978095321238305</v>
      </c>
      <c r="N22" s="37">
        <v>0.83085665113728802</v>
      </c>
      <c r="O22" s="15"/>
      <c r="P22" s="15"/>
      <c r="Q22" s="15"/>
      <c r="R22" s="15"/>
      <c r="S22" s="15"/>
      <c r="T22" s="15"/>
      <c r="U22" s="15"/>
      <c r="V22" s="15"/>
    </row>
    <row r="23" spans="1:22" x14ac:dyDescent="0.2">
      <c r="A23" t="s">
        <v>15</v>
      </c>
      <c r="B23" s="13" t="s">
        <v>55</v>
      </c>
      <c r="C23">
        <v>498</v>
      </c>
      <c r="D23" s="36" t="str">
        <f>IF(C23&lt;=165, "Lowest range",
   IF(AND(C23&gt;165, C23&lt;=268), "Lower range",
      IF(AND(C23&gt;268, C23&lt;=369), "Higher range",
         IF(C23&gt;369, "Highest range", "Not categorised"))))</f>
        <v>Highest range</v>
      </c>
      <c r="E23" s="14">
        <v>0.96013136505238295</v>
      </c>
      <c r="K23" s="37">
        <v>0.99839494714640598</v>
      </c>
      <c r="L23" s="37">
        <v>0.928240707484146</v>
      </c>
      <c r="M23" s="37">
        <v>0.90937099402617105</v>
      </c>
      <c r="N23" s="37">
        <v>0.84829494052715304</v>
      </c>
      <c r="O23" s="15"/>
      <c r="P23" s="15"/>
      <c r="Q23" s="15"/>
      <c r="R23" s="15"/>
      <c r="S23" s="15"/>
      <c r="T23" s="15"/>
      <c r="U23" s="15"/>
      <c r="V23" s="15"/>
    </row>
    <row r="24" spans="1:22" x14ac:dyDescent="0.2">
      <c r="A24" t="s">
        <v>15</v>
      </c>
      <c r="B24" s="13" t="s">
        <v>55</v>
      </c>
      <c r="C24">
        <v>203</v>
      </c>
      <c r="D24" s="36" t="str">
        <f>IF(C24&lt;=165, "Lowest range",
   IF(AND(C24&gt;165, C24&lt;=268), "Lower range",
      IF(AND(C24&gt;268, C24&lt;=369), "Higher range",
         IF(C24&gt;369, "Highest range", "Not categorised"))))</f>
        <v>Lower range</v>
      </c>
      <c r="E24" s="14">
        <v>0.92030425985081099</v>
      </c>
      <c r="K24" s="37">
        <v>0.84157278426716897</v>
      </c>
      <c r="L24" s="37">
        <v>0.896069118072925</v>
      </c>
      <c r="M24" s="37">
        <v>0.916808002313802</v>
      </c>
      <c r="N24" s="37">
        <v>0.89849141666854304</v>
      </c>
      <c r="O24" s="15"/>
      <c r="P24" s="15"/>
      <c r="Q24" s="15"/>
      <c r="R24" s="15"/>
      <c r="S24" s="15"/>
      <c r="T24" s="15"/>
      <c r="U24" s="15"/>
      <c r="V24" s="15"/>
    </row>
    <row r="25" spans="1:22" x14ac:dyDescent="0.2">
      <c r="A25" t="s">
        <v>15</v>
      </c>
      <c r="B25" s="13" t="s">
        <v>52</v>
      </c>
      <c r="C25">
        <v>476</v>
      </c>
      <c r="D25" s="36" t="str">
        <f>IF(C25&lt;=165, "Lowest range",
   IF(AND(C25&gt;165, C25&lt;=268), "Lower range",
      IF(AND(C25&gt;268, C25&lt;=369), "Higher range",
         IF(C25&gt;369, "Highest range", "Not categorised"))))</f>
        <v>Highest range</v>
      </c>
      <c r="E25" s="14">
        <v>0.99003293149817795</v>
      </c>
      <c r="K25" s="37">
        <v>0.94815444991065101</v>
      </c>
      <c r="L25" s="37">
        <v>0.986295388517618</v>
      </c>
      <c r="M25" s="37">
        <v>0.89068184650615001</v>
      </c>
      <c r="N25" s="37">
        <v>0.91637098858254895</v>
      </c>
      <c r="O25" s="15"/>
      <c r="P25" s="15"/>
      <c r="Q25" s="15"/>
      <c r="R25" s="15"/>
      <c r="S25" s="15"/>
      <c r="T25" s="15"/>
      <c r="U25" s="15"/>
      <c r="V25" s="15"/>
    </row>
    <row r="26" spans="1:22" x14ac:dyDescent="0.2">
      <c r="A26" t="s">
        <v>15</v>
      </c>
      <c r="B26" s="13" t="s">
        <v>52</v>
      </c>
      <c r="C26">
        <v>61</v>
      </c>
      <c r="D26" s="36" t="str">
        <f>IF(C26&lt;=165, "Lowest range",
   IF(AND(C26&gt;165, C26&lt;=268), "Lower range",
      IF(AND(C26&gt;268, C26&lt;=369), "Higher range",
         IF(C26&gt;369, "Highest range", "Not categorised"))))</f>
        <v>Lowest range</v>
      </c>
      <c r="E26" s="14">
        <v>0.97785492703121002</v>
      </c>
      <c r="K26" s="37">
        <v>0.95397718104058205</v>
      </c>
      <c r="L26" s="37">
        <v>0.96178558696494199</v>
      </c>
      <c r="M26" s="37">
        <v>0.87225641436146195</v>
      </c>
      <c r="N26" s="37">
        <v>0.97573184532901802</v>
      </c>
      <c r="O26" s="15"/>
      <c r="P26" s="15"/>
      <c r="Q26" s="15"/>
      <c r="R26" s="15"/>
      <c r="S26" s="15"/>
      <c r="T26" s="15"/>
      <c r="U26" s="15"/>
      <c r="V26" s="15"/>
    </row>
    <row r="27" spans="1:22" x14ac:dyDescent="0.2">
      <c r="A27" t="s">
        <v>15</v>
      </c>
      <c r="B27" s="13" t="s">
        <v>52</v>
      </c>
      <c r="C27">
        <v>478</v>
      </c>
      <c r="D27" s="36" t="str">
        <f>IF(C27&lt;=165, "Lowest range",
   IF(AND(C27&gt;165, C27&lt;=268), "Lower range",
      IF(AND(C27&gt;268, C27&lt;=369), "Higher range",
         IF(C27&gt;369, "Highest range", "Not categorised"))))</f>
        <v>Highest range</v>
      </c>
      <c r="E27" s="14">
        <v>0.94651280781209701</v>
      </c>
      <c r="K27" s="37">
        <v>0.92429811414636298</v>
      </c>
      <c r="L27" s="37">
        <v>0.91045346150589301</v>
      </c>
      <c r="M27" s="37">
        <v>0.85848724054813996</v>
      </c>
      <c r="N27" s="37">
        <v>0.87626131772581395</v>
      </c>
      <c r="O27" s="15"/>
      <c r="P27" s="15"/>
      <c r="Q27" s="15"/>
      <c r="R27" s="15"/>
      <c r="S27" s="15"/>
      <c r="T27" s="15"/>
      <c r="U27" s="15"/>
      <c r="V27" s="15"/>
    </row>
    <row r="28" spans="1:22" x14ac:dyDescent="0.2">
      <c r="A28" t="s">
        <v>15</v>
      </c>
      <c r="B28" s="13" t="s">
        <v>53</v>
      </c>
      <c r="C28">
        <v>116</v>
      </c>
      <c r="D28" s="36" t="str">
        <f>IF(C28&lt;=165, "Lowest range",
   IF(AND(C28&gt;165, C28&lt;=268), "Lower range",
      IF(AND(C28&gt;268, C28&lt;=369), "Higher range",
         IF(C28&gt;369, "Highest range", "Not categorised"))))</f>
        <v>Lowest range</v>
      </c>
      <c r="E28" s="14">
        <v>0.891305667920541</v>
      </c>
      <c r="K28" s="37">
        <v>0.94061198904696097</v>
      </c>
      <c r="L28" s="37">
        <v>0.93206251966641895</v>
      </c>
      <c r="M28" s="37">
        <v>0.98322201269741005</v>
      </c>
      <c r="N28" s="37">
        <v>0.84426573193700105</v>
      </c>
      <c r="O28" s="15"/>
      <c r="P28" s="15"/>
      <c r="Q28" s="15"/>
      <c r="R28" s="15"/>
      <c r="S28" s="15"/>
      <c r="T28" s="15"/>
      <c r="U28" s="15"/>
      <c r="V28" s="15"/>
    </row>
    <row r="29" spans="1:22" x14ac:dyDescent="0.2">
      <c r="A29" t="s">
        <v>15</v>
      </c>
      <c r="B29" s="13" t="s">
        <v>53</v>
      </c>
      <c r="C29">
        <v>448</v>
      </c>
      <c r="D29" s="36" t="str">
        <f>IF(C29&lt;=165, "Lowest range",
   IF(AND(C29&gt;165, C29&lt;=268), "Lower range",
      IF(AND(C29&gt;268, C29&lt;=369), "Higher range",
         IF(C29&gt;369, "Highest range", "Not categorised"))))</f>
        <v>Highest range</v>
      </c>
      <c r="E29" s="14">
        <v>0.90756988439466002</v>
      </c>
      <c r="K29" s="37">
        <v>0.90747987390367701</v>
      </c>
      <c r="L29" s="37">
        <v>0.93147970681969805</v>
      </c>
      <c r="M29" s="37">
        <v>0.94906570639993904</v>
      </c>
      <c r="N29" s="37">
        <v>0.87390490929084197</v>
      </c>
      <c r="O29" s="15"/>
      <c r="P29" s="15"/>
      <c r="Q29" s="15"/>
      <c r="R29" s="15"/>
      <c r="S29" s="15"/>
      <c r="T29" s="15"/>
      <c r="U29" s="15"/>
      <c r="V29" s="15"/>
    </row>
    <row r="30" spans="1:22" x14ac:dyDescent="0.2">
      <c r="A30" t="s">
        <v>15</v>
      </c>
      <c r="B30" s="13" t="s">
        <v>53</v>
      </c>
      <c r="C30">
        <v>468</v>
      </c>
      <c r="D30" s="36" t="str">
        <f>IF(C30&lt;=165, "Lowest range",
   IF(AND(C30&gt;165, C30&lt;=268), "Lower range",
      IF(AND(C30&gt;268, C30&lt;=369), "Higher range",
         IF(C30&gt;369, "Highest range", "Not categorised"))))</f>
        <v>Highest range</v>
      </c>
      <c r="E30" s="14">
        <v>0.91708644573702103</v>
      </c>
      <c r="K30" s="37">
        <v>0.8</v>
      </c>
      <c r="L30" s="37">
        <v>0.87062510925141201</v>
      </c>
      <c r="M30" s="37">
        <v>0.92781087894987502</v>
      </c>
      <c r="N30" s="37">
        <v>0.89050987401262804</v>
      </c>
      <c r="O30" s="15"/>
      <c r="P30" s="15"/>
      <c r="Q30" s="15"/>
      <c r="R30" s="15"/>
      <c r="S30" s="15"/>
      <c r="T30" s="15"/>
      <c r="U30" s="15"/>
      <c r="V30" s="15"/>
    </row>
    <row r="31" spans="1:22" x14ac:dyDescent="0.2">
      <c r="A31" t="s">
        <v>15</v>
      </c>
      <c r="B31" s="13" t="s">
        <v>54</v>
      </c>
      <c r="C31">
        <v>499</v>
      </c>
      <c r="D31" s="36" t="str">
        <f>IF(C31&lt;=165, "Lowest range",
   IF(AND(C31&gt;165, C31&lt;=268), "Lower range",
      IF(AND(C31&gt;268, C31&lt;=369), "Higher range",
         IF(C31&gt;369, "Highest range", "Not categorised"))))</f>
        <v>Highest range</v>
      </c>
      <c r="E31" s="14">
        <v>0.88199839426725701</v>
      </c>
      <c r="K31" s="37">
        <v>0.84623677058868296</v>
      </c>
      <c r="L31" s="37">
        <v>0.88446227641095998</v>
      </c>
      <c r="M31" s="37">
        <v>0.94424966930405496</v>
      </c>
      <c r="N31" s="37">
        <v>0.881917736115717</v>
      </c>
      <c r="O31" s="15"/>
      <c r="P31" s="15"/>
      <c r="Q31" s="15"/>
      <c r="R31" s="15"/>
      <c r="S31" s="15"/>
      <c r="T31" s="15"/>
      <c r="U31" s="15"/>
      <c r="V31" s="15"/>
    </row>
    <row r="32" spans="1:22" x14ac:dyDescent="0.2">
      <c r="A32" t="s">
        <v>15</v>
      </c>
      <c r="B32" s="13" t="s">
        <v>54</v>
      </c>
      <c r="C32">
        <v>144</v>
      </c>
      <c r="D32" s="36" t="str">
        <f>IF(C32&lt;=165, "Lowest range",
   IF(AND(C32&gt;165, C32&lt;=268), "Lower range",
      IF(AND(C32&gt;268, C32&lt;=369), "Higher range",
         IF(C32&gt;369, "Highest range", "Not categorised"))))</f>
        <v>Lowest range</v>
      </c>
      <c r="E32" s="14">
        <v>0.87948592820145</v>
      </c>
      <c r="K32" s="37">
        <v>0.87833700582562202</v>
      </c>
      <c r="L32" s="37">
        <v>0.85809018429952399</v>
      </c>
      <c r="M32" s="37">
        <v>0.87100314820435298</v>
      </c>
      <c r="N32" s="37">
        <v>0.93710414849346602</v>
      </c>
      <c r="O32" s="15"/>
      <c r="P32" s="15"/>
      <c r="Q32" s="15"/>
      <c r="R32" s="15"/>
      <c r="S32" s="15"/>
      <c r="T32" s="15"/>
      <c r="U32" s="15"/>
      <c r="V32" s="15"/>
    </row>
    <row r="33" spans="1:22" x14ac:dyDescent="0.2">
      <c r="A33" t="s">
        <v>15</v>
      </c>
      <c r="B33" s="13" t="s">
        <v>54</v>
      </c>
      <c r="C33">
        <v>287</v>
      </c>
      <c r="D33" s="36" t="str">
        <f>IF(C33&lt;=165, "Lowest range",
   IF(AND(C33&gt;165, C33&lt;=268), "Lower range",
      IF(AND(C33&gt;268, C33&lt;=369), "Higher range",
         IF(C33&gt;369, "Highest range", "Not categorised"))))</f>
        <v>Higher range</v>
      </c>
      <c r="E33" s="14">
        <v>0.85830824082800905</v>
      </c>
      <c r="K33" s="37">
        <v>0.91058204887543204</v>
      </c>
      <c r="L33" s="37">
        <v>0.80375941610186596</v>
      </c>
      <c r="M33" s="37">
        <v>0.8</v>
      </c>
      <c r="N33" s="37">
        <v>1</v>
      </c>
      <c r="O33" s="15"/>
      <c r="P33" s="15"/>
      <c r="Q33" s="15"/>
      <c r="R33" s="15"/>
      <c r="S33" s="15"/>
      <c r="T33" s="15"/>
      <c r="U33" s="15"/>
      <c r="V33" s="15"/>
    </row>
    <row r="34" spans="1:22" x14ac:dyDescent="0.2">
      <c r="A34" t="s">
        <v>15</v>
      </c>
      <c r="B34" s="13" t="s">
        <v>55</v>
      </c>
      <c r="C34">
        <v>74</v>
      </c>
      <c r="D34" s="36" t="str">
        <f>IF(C34&lt;=165, "Lowest range",
   IF(AND(C34&gt;165, C34&lt;=268), "Lower range",
      IF(AND(C34&gt;268, C34&lt;=369), "Higher range",
         IF(C34&gt;369, "Highest range", "Not categorised"))))</f>
        <v>Lowest range</v>
      </c>
      <c r="E34" s="14">
        <v>0.97085219104737996</v>
      </c>
      <c r="K34" s="37">
        <v>0.923336273379605</v>
      </c>
      <c r="L34" s="37">
        <v>0.83076766896526899</v>
      </c>
      <c r="M34" s="37">
        <v>0.92090935392338702</v>
      </c>
      <c r="N34" s="37">
        <v>0.90395000418055305</v>
      </c>
      <c r="O34" s="15"/>
      <c r="P34" s="15"/>
      <c r="Q34" s="15"/>
      <c r="R34" s="15"/>
      <c r="S34" s="15"/>
      <c r="T34" s="15"/>
      <c r="U34" s="15"/>
      <c r="V34" s="15"/>
    </row>
    <row r="35" spans="1:22" x14ac:dyDescent="0.2">
      <c r="A35" t="s">
        <v>15</v>
      </c>
      <c r="B35" s="13" t="s">
        <v>55</v>
      </c>
      <c r="C35">
        <v>128</v>
      </c>
      <c r="D35" s="36" t="str">
        <f>IF(C35&lt;=165, "Lowest range",
   IF(AND(C35&gt;165, C35&lt;=268), "Lower range",
      IF(AND(C35&gt;268, C35&lt;=369), "Higher range",
         IF(C35&gt;369, "Highest range", "Not categorised"))))</f>
        <v>Lowest range</v>
      </c>
      <c r="E35" s="14">
        <v>0.89177917797693096</v>
      </c>
      <c r="K35" s="37">
        <v>0.87653632976226104</v>
      </c>
      <c r="L35" s="37">
        <v>0.85200860015431701</v>
      </c>
      <c r="M35" s="37">
        <v>0.942438325130321</v>
      </c>
      <c r="N35" s="37">
        <v>0.86420415746207302</v>
      </c>
      <c r="O35" s="15"/>
      <c r="P35" s="15"/>
      <c r="Q35" s="15"/>
      <c r="R35" s="15"/>
      <c r="S35" s="15"/>
      <c r="T35" s="15"/>
      <c r="U35" s="15"/>
      <c r="V35" s="15"/>
    </row>
    <row r="36" spans="1:22" x14ac:dyDescent="0.2">
      <c r="A36" t="s">
        <v>15</v>
      </c>
      <c r="B36" s="13" t="s">
        <v>55</v>
      </c>
      <c r="C36">
        <v>177</v>
      </c>
      <c r="D36" s="36" t="str">
        <f>IF(C36&lt;=165, "Lowest range",
   IF(AND(C36&gt;165, C36&lt;=268), "Lower range",
      IF(AND(C36&gt;268, C36&lt;=369), "Higher range",
         IF(C36&gt;369, "Highest range", "Not categorised"))))</f>
        <v>Lower range</v>
      </c>
      <c r="E36" s="14">
        <v>0.90771585633181395</v>
      </c>
      <c r="K36" s="37">
        <v>0.91860843407360404</v>
      </c>
      <c r="L36" s="37">
        <v>0.96503686529440003</v>
      </c>
      <c r="M36" s="37">
        <v>0.85842490285219497</v>
      </c>
      <c r="N36" s="37">
        <v>0.87967688893853102</v>
      </c>
      <c r="O36" s="15"/>
      <c r="P36" s="15"/>
      <c r="Q36" s="15"/>
      <c r="R36" s="15"/>
      <c r="S36" s="15"/>
      <c r="T36" s="15"/>
      <c r="U36" s="15"/>
      <c r="V36" s="15"/>
    </row>
    <row r="37" spans="1:22" x14ac:dyDescent="0.2">
      <c r="A37" t="s">
        <v>15</v>
      </c>
      <c r="B37" s="13" t="s">
        <v>52</v>
      </c>
      <c r="C37">
        <v>69</v>
      </c>
      <c r="D37" s="36" t="str">
        <f>IF(C37&lt;=165, "Lowest range",
   IF(AND(C37&gt;165, C37&lt;=268), "Lower range",
      IF(AND(C37&gt;268, C37&lt;=369), "Higher range",
         IF(C37&gt;369, "Highest range", "Not categorised"))))</f>
        <v>Lowest range</v>
      </c>
      <c r="E37" s="14">
        <v>0.90506783557732695</v>
      </c>
      <c r="K37" s="37">
        <v>0.90567345183577397</v>
      </c>
      <c r="L37" s="37">
        <v>0.86165066949321301</v>
      </c>
      <c r="M37" s="37">
        <v>0.91909195304204905</v>
      </c>
      <c r="N37" s="37">
        <v>0.89152753812583097</v>
      </c>
      <c r="O37" s="15"/>
      <c r="P37" s="15"/>
      <c r="Q37" s="15"/>
      <c r="R37" s="15"/>
      <c r="S37" s="15"/>
      <c r="T37" s="15"/>
      <c r="U37" s="15"/>
      <c r="V37" s="15"/>
    </row>
    <row r="38" spans="1:22" x14ac:dyDescent="0.2">
      <c r="A38" t="s">
        <v>14</v>
      </c>
      <c r="B38" s="13" t="s">
        <v>52</v>
      </c>
      <c r="C38">
        <v>490</v>
      </c>
      <c r="D38" s="36" t="str">
        <f>IF(C38&lt;=165, "Lowest range",
   IF(AND(C38&gt;165, C38&lt;=268), "Lower range",
      IF(AND(C38&gt;268, C38&lt;=369), "Higher range",
         IF(C38&gt;369, "Highest range", "Not categorised"))))</f>
        <v>Highest range</v>
      </c>
      <c r="E38" s="14">
        <v>0.96110616511865199</v>
      </c>
      <c r="K38" s="37">
        <v>0.96631710989936104</v>
      </c>
      <c r="L38" s="37">
        <v>0.90391743344812903</v>
      </c>
      <c r="M38" s="37">
        <v>0.88217641813158298</v>
      </c>
      <c r="N38" s="37">
        <v>0.89438230542648101</v>
      </c>
      <c r="O38" s="15"/>
      <c r="P38" s="15"/>
      <c r="Q38" s="15"/>
      <c r="R38" s="15"/>
      <c r="S38" s="15"/>
      <c r="T38" s="15"/>
      <c r="U38" s="15"/>
      <c r="V38" s="15"/>
    </row>
    <row r="39" spans="1:22" x14ac:dyDescent="0.2">
      <c r="A39" t="s">
        <v>14</v>
      </c>
      <c r="B39" s="13" t="s">
        <v>52</v>
      </c>
      <c r="C39">
        <v>312</v>
      </c>
      <c r="D39" s="36" t="str">
        <f>IF(C39&lt;=165, "Lowest range",
   IF(AND(C39&gt;165, C39&lt;=268), "Lower range",
      IF(AND(C39&gt;268, C39&lt;=369), "Higher range",
         IF(C39&gt;369, "Highest range", "Not categorised"))))</f>
        <v>Higher range</v>
      </c>
      <c r="E39" s="14">
        <v>0.81163513234447104</v>
      </c>
      <c r="K39" s="37">
        <v>0.80971972635466105</v>
      </c>
      <c r="L39" s="37">
        <v>0.91962325705632897</v>
      </c>
      <c r="M39" s="37">
        <v>0.80720811145248295</v>
      </c>
      <c r="N39" s="37">
        <v>0.88568040632516098</v>
      </c>
      <c r="O39" s="15"/>
      <c r="P39" s="15"/>
      <c r="Q39" s="15"/>
      <c r="R39" s="15"/>
      <c r="S39" s="15"/>
      <c r="T39" s="15"/>
      <c r="U39" s="15"/>
      <c r="V39" s="15"/>
    </row>
    <row r="40" spans="1:22" x14ac:dyDescent="0.2">
      <c r="A40" t="s">
        <v>14</v>
      </c>
      <c r="B40" s="13" t="s">
        <v>53</v>
      </c>
      <c r="C40">
        <v>174</v>
      </c>
      <c r="D40" s="36" t="str">
        <f>IF(C40&lt;=165, "Lowest range",
   IF(AND(C40&gt;165, C40&lt;=268), "Lower range",
      IF(AND(C40&gt;268, C40&lt;=369), "Higher range",
         IF(C40&gt;369, "Highest range", "Not categorised"))))</f>
        <v>Lower range</v>
      </c>
      <c r="E40" s="14">
        <v>0.87931454161626899</v>
      </c>
      <c r="K40" s="37">
        <v>0.94275543160773401</v>
      </c>
      <c r="L40" s="37">
        <v>0.899290098779433</v>
      </c>
      <c r="M40" s="37">
        <v>0.88290561319143501</v>
      </c>
      <c r="N40" s="37">
        <v>0.89820022940113797</v>
      </c>
      <c r="O40" s="15"/>
      <c r="P40" s="15"/>
      <c r="Q40" s="15"/>
      <c r="R40" s="15"/>
      <c r="S40" s="15"/>
      <c r="T40" s="15"/>
      <c r="U40" s="15"/>
      <c r="V40" s="15"/>
    </row>
    <row r="41" spans="1:22" x14ac:dyDescent="0.2">
      <c r="A41" t="s">
        <v>14</v>
      </c>
      <c r="B41" s="13" t="s">
        <v>53</v>
      </c>
      <c r="C41">
        <v>351</v>
      </c>
      <c r="D41" s="36" t="str">
        <f>IF(C41&lt;=165, "Lowest range",
   IF(AND(C41&gt;165, C41&lt;=268), "Lower range",
      IF(AND(C41&gt;268, C41&lt;=369), "Higher range",
         IF(C41&gt;369, "Highest range", "Not categorised"))))</f>
        <v>Higher range</v>
      </c>
      <c r="E41" s="14">
        <v>0.85689750592977498</v>
      </c>
      <c r="K41" s="37">
        <v>0.92274859453004798</v>
      </c>
      <c r="L41" s="37">
        <v>0.84601546487488199</v>
      </c>
      <c r="M41" s="37">
        <v>0.92052379219472202</v>
      </c>
      <c r="N41" s="37">
        <v>0.96301037030394199</v>
      </c>
      <c r="O41" s="15"/>
      <c r="P41" s="15"/>
      <c r="Q41" s="15"/>
      <c r="R41" s="15"/>
      <c r="S41" s="15"/>
      <c r="T41" s="15"/>
      <c r="U41" s="15"/>
      <c r="V41" s="15"/>
    </row>
    <row r="42" spans="1:22" x14ac:dyDescent="0.2">
      <c r="A42" t="s">
        <v>14</v>
      </c>
      <c r="B42" s="13" t="s">
        <v>53</v>
      </c>
      <c r="C42">
        <v>337</v>
      </c>
      <c r="D42" s="36" t="str">
        <f>IF(C42&lt;=165, "Lowest range",
   IF(AND(C42&gt;165, C42&lt;=268), "Lower range",
      IF(AND(C42&gt;268, C42&lt;=369), "Higher range",
         IF(C42&gt;369, "Highest range", "Not categorised"))))</f>
        <v>Higher range</v>
      </c>
      <c r="E42" s="14">
        <v>0.87418789564954202</v>
      </c>
      <c r="K42" s="37">
        <v>0.8</v>
      </c>
      <c r="L42" s="37">
        <v>0.93141534627355804</v>
      </c>
      <c r="M42" s="37">
        <v>0.85980114631796301</v>
      </c>
      <c r="N42" s="37">
        <v>0.93268559401280904</v>
      </c>
      <c r="O42" s="15"/>
      <c r="P42" s="15"/>
      <c r="Q42" s="15"/>
      <c r="R42" s="15"/>
      <c r="S42" s="15"/>
      <c r="T42" s="15"/>
      <c r="U42" s="15"/>
      <c r="V42" s="15"/>
    </row>
    <row r="43" spans="1:22" x14ac:dyDescent="0.2">
      <c r="A43" t="s">
        <v>14</v>
      </c>
      <c r="B43" s="13" t="s">
        <v>54</v>
      </c>
      <c r="C43">
        <v>402</v>
      </c>
      <c r="D43" s="36" t="str">
        <f>IF(C43&lt;=165, "Lowest range",
   IF(AND(C43&gt;165, C43&lt;=268), "Lower range",
      IF(AND(C43&gt;268, C43&lt;=369), "Higher range",
         IF(C43&gt;369, "Highest range", "Not categorised"))))</f>
        <v>Highest range</v>
      </c>
      <c r="E43" s="14">
        <v>0.90152477523768004</v>
      </c>
      <c r="K43" s="37">
        <v>0.83777708000810802</v>
      </c>
      <c r="L43" s="37">
        <v>0.88304773483951304</v>
      </c>
      <c r="M43" s="37">
        <v>0.90139757276222299</v>
      </c>
      <c r="N43" s="37">
        <v>0.96541120389127699</v>
      </c>
      <c r="O43" s="15"/>
      <c r="P43" s="15"/>
      <c r="Q43" s="15"/>
      <c r="R43" s="15"/>
      <c r="S43" s="15"/>
      <c r="T43" s="15"/>
      <c r="U43" s="15"/>
      <c r="V43" s="15"/>
    </row>
    <row r="44" spans="1:22" x14ac:dyDescent="0.2">
      <c r="A44" t="s">
        <v>14</v>
      </c>
      <c r="B44" s="13" t="s">
        <v>54</v>
      </c>
      <c r="C44">
        <v>428</v>
      </c>
      <c r="D44" s="36" t="str">
        <f>IF(C44&lt;=165, "Lowest range",
   IF(AND(C44&gt;165, C44&lt;=268), "Lower range",
      IF(AND(C44&gt;268, C44&lt;=369), "Higher range",
         IF(C44&gt;369, "Highest range", "Not categorised"))))</f>
        <v>Highest range</v>
      </c>
      <c r="E44" s="14">
        <v>0.91466310516233895</v>
      </c>
      <c r="K44" s="37">
        <v>0.93355185063399004</v>
      </c>
      <c r="L44" s="37">
        <v>0.929179423498663</v>
      </c>
      <c r="M44" s="37">
        <v>0.92714132796595095</v>
      </c>
      <c r="N44" s="37">
        <v>0.94090935680529497</v>
      </c>
      <c r="O44" s="15"/>
      <c r="P44" s="15"/>
      <c r="Q44" s="15"/>
      <c r="R44" s="15"/>
      <c r="S44" s="15"/>
      <c r="T44" s="15"/>
      <c r="U44" s="15"/>
      <c r="V44" s="15"/>
    </row>
    <row r="45" spans="1:22" x14ac:dyDescent="0.2">
      <c r="A45" t="s">
        <v>14</v>
      </c>
      <c r="B45" s="13" t="s">
        <v>54</v>
      </c>
      <c r="C45">
        <v>365</v>
      </c>
      <c r="D45" s="36" t="str">
        <f>IF(C45&lt;=165, "Lowest range",
   IF(AND(C45&gt;165, C45&lt;=268), "Lower range",
      IF(AND(C45&gt;268, C45&lt;=369), "Higher range",
         IF(C45&gt;369, "Highest range", "Not categorised"))))</f>
        <v>Higher range</v>
      </c>
      <c r="E45" s="14">
        <v>0.84757379433974001</v>
      </c>
      <c r="K45" s="37">
        <v>0.81309097638317196</v>
      </c>
      <c r="L45" s="37">
        <v>0.82308150005159397</v>
      </c>
      <c r="M45" s="37">
        <v>0.93551662481193099</v>
      </c>
      <c r="N45" s="37">
        <v>0.89151829404524197</v>
      </c>
      <c r="O45" s="15"/>
      <c r="P45" s="15"/>
      <c r="Q45" s="15"/>
      <c r="R45" s="15"/>
      <c r="S45" s="15"/>
      <c r="T45" s="15"/>
      <c r="U45" s="15"/>
      <c r="V45" s="15"/>
    </row>
    <row r="46" spans="1:22" x14ac:dyDescent="0.2">
      <c r="A46" t="s">
        <v>14</v>
      </c>
      <c r="B46" s="13" t="s">
        <v>55</v>
      </c>
      <c r="C46">
        <v>209</v>
      </c>
      <c r="D46" s="36" t="str">
        <f>IF(C46&lt;=165, "Lowest range",
   IF(AND(C46&gt;165, C46&lt;=268), "Lower range",
      IF(AND(C46&gt;268, C46&lt;=369), "Higher range",
         IF(C46&gt;369, "Highest range", "Not categorised"))))</f>
        <v>Lower range</v>
      </c>
      <c r="E46" s="14">
        <v>0.92275305694694798</v>
      </c>
      <c r="K46" s="37">
        <v>0.90948140616527196</v>
      </c>
      <c r="L46" s="37">
        <v>1</v>
      </c>
      <c r="M46" s="37">
        <v>0.90093901521582198</v>
      </c>
      <c r="N46" s="37">
        <v>0.95558592837620904</v>
      </c>
      <c r="O46" s="15"/>
      <c r="P46" s="15"/>
      <c r="Q46" s="15"/>
      <c r="R46" s="15"/>
      <c r="S46" s="15"/>
      <c r="T46" s="15"/>
      <c r="U46" s="15"/>
      <c r="V46" s="15"/>
    </row>
    <row r="47" spans="1:22" x14ac:dyDescent="0.2">
      <c r="A47" t="s">
        <v>14</v>
      </c>
      <c r="B47" s="13" t="s">
        <v>55</v>
      </c>
      <c r="C47">
        <v>116</v>
      </c>
      <c r="D47" s="36" t="str">
        <f>IF(C47&lt;=165, "Lowest range",
   IF(AND(C47&gt;165, C47&lt;=268), "Lower range",
      IF(AND(C47&gt;268, C47&lt;=369), "Higher range",
         IF(C47&gt;369, "Highest range", "Not categorised"))))</f>
        <v>Lowest range</v>
      </c>
      <c r="E47" s="14">
        <v>0.86607353323176195</v>
      </c>
      <c r="K47" s="37">
        <v>0.99823475239844495</v>
      </c>
      <c r="L47" s="37">
        <v>0.90628755862677102</v>
      </c>
      <c r="M47" s="37">
        <v>1</v>
      </c>
      <c r="N47" s="37">
        <v>0.96693108671952199</v>
      </c>
      <c r="O47" s="15"/>
      <c r="P47" s="15"/>
      <c r="Q47" s="15"/>
      <c r="R47" s="15"/>
      <c r="S47" s="15"/>
      <c r="T47" s="15"/>
      <c r="U47" s="15"/>
      <c r="V47" s="15"/>
    </row>
    <row r="48" spans="1:22" x14ac:dyDescent="0.2">
      <c r="A48" t="s">
        <v>14</v>
      </c>
      <c r="B48" s="13" t="s">
        <v>55</v>
      </c>
      <c r="C48">
        <v>375</v>
      </c>
      <c r="D48" s="36" t="str">
        <f>IF(C48&lt;=165, "Lowest range",
   IF(AND(C48&gt;165, C48&lt;=268), "Lower range",
      IF(AND(C48&gt;268, C48&lt;=369), "Higher range",
         IF(C48&gt;369, "Highest range", "Not categorised"))))</f>
        <v>Highest range</v>
      </c>
      <c r="E48" s="14">
        <v>0.91086071548236702</v>
      </c>
      <c r="K48" s="37">
        <v>0.92948610463706904</v>
      </c>
      <c r="L48" s="37">
        <v>0.908541594920664</v>
      </c>
      <c r="M48" s="37">
        <v>0.87632709531838204</v>
      </c>
      <c r="N48" s="37">
        <v>0.92865660263462402</v>
      </c>
      <c r="O48" s="15"/>
      <c r="P48" s="15"/>
      <c r="Q48" s="15"/>
      <c r="R48" s="15"/>
      <c r="S48" s="15"/>
      <c r="T48" s="15"/>
      <c r="U48" s="15"/>
      <c r="V48" s="15"/>
    </row>
    <row r="49" spans="1:22" x14ac:dyDescent="0.2">
      <c r="A49" t="s">
        <v>14</v>
      </c>
      <c r="B49" s="13" t="s">
        <v>52</v>
      </c>
      <c r="C49">
        <v>258</v>
      </c>
      <c r="D49" s="36" t="str">
        <f>IF(C49&lt;=165, "Lowest range",
   IF(AND(C49&gt;165, C49&lt;=268), "Lower range",
      IF(AND(C49&gt;268, C49&lt;=369), "Higher range",
         IF(C49&gt;369, "Highest range", "Not categorised"))))</f>
        <v>Lower range</v>
      </c>
      <c r="E49" s="14">
        <v>0.80925634778128797</v>
      </c>
      <c r="K49" s="37">
        <v>0.92182125647465396</v>
      </c>
      <c r="L49" s="37">
        <v>0.87026970830802397</v>
      </c>
      <c r="M49" s="37">
        <v>0.92132479094598396</v>
      </c>
      <c r="N49" s="37">
        <v>0.86530658395959903</v>
      </c>
      <c r="O49" s="15"/>
      <c r="P49" s="15"/>
      <c r="Q49" s="15"/>
      <c r="R49" s="15"/>
      <c r="S49" s="15"/>
      <c r="T49" s="15"/>
      <c r="U49" s="15"/>
      <c r="V49" s="15"/>
    </row>
    <row r="50" spans="1:22" x14ac:dyDescent="0.2">
      <c r="A50" t="s">
        <v>14</v>
      </c>
      <c r="B50" s="13" t="s">
        <v>52</v>
      </c>
      <c r="C50">
        <v>199</v>
      </c>
      <c r="D50" s="36" t="str">
        <f>IF(C50&lt;=165, "Lowest range",
   IF(AND(C50&gt;165, C50&lt;=268), "Lower range",
      IF(AND(C50&gt;268, C50&lt;=369), "Higher range",
         IF(C50&gt;369, "Highest range", "Not categorised"))))</f>
        <v>Lower range</v>
      </c>
      <c r="E50" s="14">
        <v>0.89467026195426702</v>
      </c>
      <c r="K50" s="37">
        <v>0.845193848763096</v>
      </c>
      <c r="L50" s="37">
        <v>0.97129682907395498</v>
      </c>
      <c r="M50" s="37">
        <v>1</v>
      </c>
      <c r="N50" s="37">
        <v>0.96403672292801901</v>
      </c>
      <c r="O50" s="15"/>
      <c r="P50" s="15"/>
      <c r="Q50" s="15"/>
      <c r="R50" s="15"/>
      <c r="S50" s="15"/>
      <c r="T50" s="15"/>
      <c r="U50" s="15"/>
      <c r="V50" s="15"/>
    </row>
    <row r="51" spans="1:22" x14ac:dyDescent="0.2">
      <c r="A51" t="s">
        <v>14</v>
      </c>
      <c r="B51" s="13" t="s">
        <v>52</v>
      </c>
      <c r="C51">
        <v>352</v>
      </c>
      <c r="D51" s="36" t="str">
        <f>IF(C51&lt;=165, "Lowest range",
   IF(AND(C51&gt;165, C51&lt;=268), "Lower range",
      IF(AND(C51&gt;268, C51&lt;=369), "Higher range",
         IF(C51&gt;369, "Highest range", "Not categorised"))))</f>
        <v>Higher range</v>
      </c>
      <c r="E51" s="14">
        <v>0.90815305337147001</v>
      </c>
      <c r="K51" s="37">
        <v>1</v>
      </c>
      <c r="L51" s="37">
        <v>0.917458627015592</v>
      </c>
      <c r="M51" s="37">
        <v>0.92618855549164403</v>
      </c>
      <c r="N51" s="37">
        <v>0.860886548983683</v>
      </c>
      <c r="O51" s="15"/>
      <c r="P51" s="15"/>
      <c r="Q51" s="15"/>
      <c r="R51" s="15"/>
      <c r="S51" s="15"/>
      <c r="T51" s="15"/>
      <c r="U51" s="15"/>
      <c r="V51" s="15"/>
    </row>
    <row r="52" spans="1:22" x14ac:dyDescent="0.2">
      <c r="A52" t="s">
        <v>14</v>
      </c>
      <c r="B52" s="13" t="s">
        <v>53</v>
      </c>
      <c r="C52">
        <v>170</v>
      </c>
      <c r="D52" s="36" t="str">
        <f>IF(C52&lt;=165, "Lowest range",
   IF(AND(C52&gt;165, C52&lt;=268), "Lower range",
      IF(AND(C52&gt;268, C52&lt;=369), "Higher range",
         IF(C52&gt;369, "Highest range", "Not categorised"))))</f>
        <v>Lower range</v>
      </c>
      <c r="E52" s="14">
        <v>0.94427294794501604</v>
      </c>
      <c r="K52" s="37">
        <v>0.96813369311835296</v>
      </c>
      <c r="L52" s="37">
        <v>0.92351611552641399</v>
      </c>
      <c r="M52" s="37">
        <v>0.85787997587316001</v>
      </c>
      <c r="N52" s="37">
        <v>0.90297764841567996</v>
      </c>
      <c r="O52" s="15"/>
      <c r="P52" s="15"/>
      <c r="Q52" s="15"/>
      <c r="R52" s="15"/>
      <c r="S52" s="15"/>
      <c r="T52" s="15"/>
      <c r="U52" s="15"/>
      <c r="V52" s="15"/>
    </row>
    <row r="53" spans="1:22" x14ac:dyDescent="0.2">
      <c r="A53" t="s">
        <v>14</v>
      </c>
      <c r="B53" s="13" t="s">
        <v>53</v>
      </c>
      <c r="C53">
        <v>445</v>
      </c>
      <c r="D53" s="36" t="str">
        <f>IF(C53&lt;=165, "Lowest range",
   IF(AND(C53&gt;165, C53&lt;=268), "Lower range",
      IF(AND(C53&gt;268, C53&lt;=369), "Higher range",
         IF(C53&gt;369, "Highest range", "Not categorised"))))</f>
        <v>Highest range</v>
      </c>
      <c r="E53" s="14">
        <v>0.87358605132990097</v>
      </c>
      <c r="K53" s="37">
        <v>0.89381358318664095</v>
      </c>
      <c r="L53" s="37">
        <v>0.86491462009375597</v>
      </c>
      <c r="M53" s="37">
        <v>0.91911274695724599</v>
      </c>
      <c r="N53" s="37">
        <v>0.95348041310789899</v>
      </c>
      <c r="O53" s="15"/>
      <c r="P53" s="15"/>
      <c r="Q53" s="15"/>
      <c r="R53" s="15"/>
      <c r="S53" s="15"/>
      <c r="T53" s="15"/>
      <c r="U53" s="15"/>
      <c r="V53" s="15"/>
    </row>
    <row r="54" spans="1:22" x14ac:dyDescent="0.2">
      <c r="A54" t="s">
        <v>14</v>
      </c>
      <c r="B54" s="13" t="s">
        <v>53</v>
      </c>
      <c r="C54">
        <v>328</v>
      </c>
      <c r="D54" s="36" t="str">
        <f>IF(C54&lt;=165, "Lowest range",
   IF(AND(C54&gt;165, C54&lt;=268), "Lower range",
      IF(AND(C54&gt;268, C54&lt;=369), "Higher range",
         IF(C54&gt;369, "Highest range", "Not categorised"))))</f>
        <v>Higher range</v>
      </c>
      <c r="E54" s="14">
        <v>0.86931015615785601</v>
      </c>
      <c r="K54" s="37">
        <v>0.86715446997512602</v>
      </c>
      <c r="L54" s="37">
        <v>0.85164658782639602</v>
      </c>
      <c r="M54" s="15"/>
      <c r="N54" s="37">
        <v>0.8</v>
      </c>
      <c r="O54" s="15"/>
      <c r="P54" s="15"/>
      <c r="Q54" s="15"/>
      <c r="R54" s="15"/>
      <c r="S54" s="15"/>
      <c r="T54" s="15"/>
      <c r="U54" s="15"/>
      <c r="V54" s="15"/>
    </row>
    <row r="55" spans="1:22" x14ac:dyDescent="0.2">
      <c r="A55" t="s">
        <v>14</v>
      </c>
      <c r="B55" s="13" t="s">
        <v>54</v>
      </c>
      <c r="C55">
        <v>409</v>
      </c>
      <c r="D55" s="36" t="str">
        <f>IF(C55&lt;=165, "Lowest range",
   IF(AND(C55&gt;165, C55&lt;=268), "Lower range",
      IF(AND(C55&gt;268, C55&lt;=369), "Higher range",
         IF(C55&gt;369, "Highest range", "Not categorised"))))</f>
        <v>Highest range</v>
      </c>
      <c r="E55" s="14">
        <v>0.88887290820428</v>
      </c>
      <c r="K55" s="37">
        <v>0.93016430168368902</v>
      </c>
      <c r="L55" s="37">
        <v>0.95747117180006303</v>
      </c>
      <c r="M55" s="15"/>
      <c r="N55" s="37">
        <v>0.88282944502060101</v>
      </c>
      <c r="O55" s="15"/>
      <c r="P55" s="15"/>
      <c r="Q55" s="15"/>
      <c r="R55" s="15"/>
      <c r="S55" s="15"/>
      <c r="T55" s="15"/>
      <c r="U55" s="15"/>
      <c r="V55" s="15"/>
    </row>
    <row r="56" spans="1:22" x14ac:dyDescent="0.2">
      <c r="A56" t="s">
        <v>14</v>
      </c>
      <c r="B56" s="13" t="s">
        <v>54</v>
      </c>
      <c r="C56">
        <v>198</v>
      </c>
      <c r="D56" s="36" t="str">
        <f>IF(C56&lt;=165, "Lowest range",
   IF(AND(C56&gt;165, C56&lt;=268), "Lower range",
      IF(AND(C56&gt;268, C56&lt;=369), "Higher range",
         IF(C56&gt;369, "Highest range", "Not categorised"))))</f>
        <v>Lower range</v>
      </c>
      <c r="E56" s="14">
        <v>0.95483767133999697</v>
      </c>
      <c r="K56" s="37">
        <v>0.896348326009059</v>
      </c>
      <c r="L56" s="37">
        <v>0.92572004682852205</v>
      </c>
    </row>
    <row r="57" spans="1:22" x14ac:dyDescent="0.2">
      <c r="A57" t="s">
        <v>14</v>
      </c>
      <c r="B57" s="13" t="s">
        <v>54</v>
      </c>
      <c r="C57">
        <v>321</v>
      </c>
      <c r="D57" s="36" t="str">
        <f>IF(C57&lt;=165, "Lowest range",
   IF(AND(C57&gt;165, C57&lt;=268), "Lower range",
      IF(AND(C57&gt;268, C57&lt;=369), "Higher range",
         IF(C57&gt;369, "Highest range", "Not categorised"))))</f>
        <v>Higher range</v>
      </c>
      <c r="E57" s="14">
        <v>0.84169955554623799</v>
      </c>
    </row>
    <row r="58" spans="1:22" x14ac:dyDescent="0.2">
      <c r="A58" t="s">
        <v>14</v>
      </c>
      <c r="B58" s="13" t="s">
        <v>55</v>
      </c>
      <c r="C58">
        <v>163</v>
      </c>
      <c r="D58" s="36" t="str">
        <f>IF(C58&lt;=165, "Lowest range",
   IF(AND(C58&gt;165, C58&lt;=268), "Lower range",
      IF(AND(C58&gt;268, C58&lt;=369), "Higher range",
         IF(C58&gt;369, "Highest range", "Not categorised"))))</f>
        <v>Lowest range</v>
      </c>
      <c r="E58" s="14">
        <v>0.82036994578281897</v>
      </c>
    </row>
    <row r="59" spans="1:22" x14ac:dyDescent="0.2">
      <c r="A59" t="s">
        <v>14</v>
      </c>
      <c r="B59" s="13" t="s">
        <v>55</v>
      </c>
      <c r="C59">
        <v>268</v>
      </c>
      <c r="D59" s="36" t="str">
        <f>IF(C59&lt;=165, "Lowest range",
   IF(AND(C59&gt;165, C59&lt;=268), "Lower range",
      IF(AND(C59&gt;268, C59&lt;=369), "Higher range",
         IF(C59&gt;369, "Highest range", "Not categorised"))))</f>
        <v>Lower range</v>
      </c>
      <c r="E59" s="14">
        <v>0.90860606861677196</v>
      </c>
    </row>
    <row r="60" spans="1:22" x14ac:dyDescent="0.2">
      <c r="A60" t="s">
        <v>14</v>
      </c>
      <c r="B60" s="13" t="s">
        <v>55</v>
      </c>
      <c r="C60">
        <v>456</v>
      </c>
      <c r="D60" s="36" t="str">
        <f>IF(C60&lt;=165, "Lowest range",
   IF(AND(C60&gt;165, C60&lt;=268), "Lower range",
      IF(AND(C60&gt;268, C60&lt;=369), "Higher range",
         IF(C60&gt;369, "Highest range", "Not categorised"))))</f>
        <v>Highest range</v>
      </c>
      <c r="E60" s="14">
        <v>0.93389718924763299</v>
      </c>
    </row>
    <row r="61" spans="1:22" x14ac:dyDescent="0.2">
      <c r="A61" t="s">
        <v>14</v>
      </c>
      <c r="B61" s="13" t="s">
        <v>52</v>
      </c>
      <c r="C61">
        <v>455</v>
      </c>
      <c r="D61" s="36" t="str">
        <f>IF(C61&lt;=165, "Lowest range",
   IF(AND(C61&gt;165, C61&lt;=268), "Lower range",
      IF(AND(C61&gt;268, C61&lt;=369), "Higher range",
         IF(C61&gt;369, "Highest range", "Not categorised"))))</f>
        <v>Highest range</v>
      </c>
      <c r="E61" s="14">
        <v>0.8</v>
      </c>
    </row>
    <row r="62" spans="1:22" x14ac:dyDescent="0.2">
      <c r="A62" t="s">
        <v>14</v>
      </c>
      <c r="B62" s="13" t="s">
        <v>52</v>
      </c>
      <c r="C62">
        <v>293</v>
      </c>
      <c r="D62" s="36" t="str">
        <f>IF(C62&lt;=165, "Lowest range",
   IF(AND(C62&gt;165, C62&lt;=268), "Lower range",
      IF(AND(C62&gt;268, C62&lt;=369), "Higher range",
         IF(C62&gt;369, "Highest range", "Not categorised"))))</f>
        <v>Higher range</v>
      </c>
      <c r="E62" s="14">
        <v>0.86522653843391895</v>
      </c>
    </row>
    <row r="63" spans="1:22" x14ac:dyDescent="0.2">
      <c r="A63" t="s">
        <v>14</v>
      </c>
      <c r="B63" s="13" t="s">
        <v>52</v>
      </c>
      <c r="C63">
        <v>131</v>
      </c>
      <c r="D63" s="36" t="str">
        <f>IF(C63&lt;=165, "Lowest range",
   IF(AND(C63&gt;165, C63&lt;=268), "Lower range",
      IF(AND(C63&gt;268, C63&lt;=369), "Higher range",
         IF(C63&gt;369, "Highest range", "Not categorised"))))</f>
        <v>Lowest range</v>
      </c>
      <c r="E63" s="14">
        <v>0.93534087146568601</v>
      </c>
    </row>
    <row r="64" spans="1:22" x14ac:dyDescent="0.2">
      <c r="A64" t="s">
        <v>14</v>
      </c>
      <c r="B64" s="13" t="s">
        <v>53</v>
      </c>
      <c r="C64">
        <v>183</v>
      </c>
      <c r="D64" s="36" t="str">
        <f>IF(C64&lt;=165, "Lowest range",
   IF(AND(C64&gt;165, C64&lt;=268), "Lower range",
      IF(AND(C64&gt;268, C64&lt;=369), "Higher range",
         IF(C64&gt;369, "Highest range", "Not categorised"))))</f>
        <v>Lower range</v>
      </c>
      <c r="E64" s="14">
        <v>0.92398937214920795</v>
      </c>
    </row>
    <row r="65" spans="1:5" x14ac:dyDescent="0.2">
      <c r="A65" t="s">
        <v>14</v>
      </c>
      <c r="B65" s="13" t="s">
        <v>53</v>
      </c>
      <c r="C65">
        <v>122</v>
      </c>
      <c r="D65" s="36" t="str">
        <f>IF(C65&lt;=165, "Lowest range",
   IF(AND(C65&gt;165, C65&lt;=268), "Lower range",
      IF(AND(C65&gt;268, C65&lt;=369), "Higher range",
         IF(C65&gt;369, "Highest range", "Not categorised"))))</f>
        <v>Lowest range</v>
      </c>
      <c r="E65" s="14">
        <v>0.94292565767237402</v>
      </c>
    </row>
    <row r="66" spans="1:5" x14ac:dyDescent="0.2">
      <c r="A66" t="s">
        <v>14</v>
      </c>
      <c r="B66" s="13" t="s">
        <v>53</v>
      </c>
      <c r="C66">
        <v>179</v>
      </c>
      <c r="D66" s="36" t="str">
        <f>IF(C66&lt;=165, "Lowest range",
   IF(AND(C66&gt;165, C66&lt;=268), "Lower range",
      IF(AND(C66&gt;268, C66&lt;=369), "Higher range",
         IF(C66&gt;369, "Highest range", "Not categorised"))))</f>
        <v>Lower range</v>
      </c>
      <c r="E66" s="14">
        <v>0.86253965211428696</v>
      </c>
    </row>
    <row r="67" spans="1:5" x14ac:dyDescent="0.2">
      <c r="A67" t="s">
        <v>14</v>
      </c>
      <c r="B67" s="13" t="s">
        <v>54</v>
      </c>
      <c r="C67">
        <v>74</v>
      </c>
      <c r="D67" s="36" t="str">
        <f>IF(C67&lt;=165, "Lowest range",
   IF(AND(C67&gt;165, C67&lt;=268), "Lower range",
      IF(AND(C67&gt;268, C67&lt;=369), "Higher range",
         IF(C67&gt;369, "Highest range", "Not categorised"))))</f>
        <v>Lowest range</v>
      </c>
      <c r="E67" s="14">
        <v>0.92750475285138401</v>
      </c>
    </row>
    <row r="68" spans="1:5" x14ac:dyDescent="0.2">
      <c r="A68" t="s">
        <v>14</v>
      </c>
      <c r="B68" s="13" t="s">
        <v>54</v>
      </c>
      <c r="C68">
        <v>213</v>
      </c>
      <c r="D68" s="36" t="str">
        <f>IF(C68&lt;=165, "Lowest range",
   IF(AND(C68&gt;165, C68&lt;=268), "Lower range",
      IF(AND(C68&gt;268, C68&lt;=369), "Higher range",
         IF(C68&gt;369, "Highest range", "Not categorised"))))</f>
        <v>Lower range</v>
      </c>
      <c r="E68" s="14">
        <v>1</v>
      </c>
    </row>
    <row r="69" spans="1:5" x14ac:dyDescent="0.2">
      <c r="A69" t="s">
        <v>14</v>
      </c>
      <c r="B69" s="13" t="s">
        <v>54</v>
      </c>
      <c r="C69">
        <v>359</v>
      </c>
      <c r="D69" s="36" t="str">
        <f>IF(C69&lt;=165, "Lowest range",
   IF(AND(C69&gt;165, C69&lt;=268), "Lower range",
      IF(AND(C69&gt;268, C69&lt;=369), "Higher range",
         IF(C69&gt;369, "Highest range", "Not categorised"))))</f>
        <v>Higher range</v>
      </c>
      <c r="E69" s="14">
        <v>0.91440631183638499</v>
      </c>
    </row>
    <row r="70" spans="1:5" x14ac:dyDescent="0.2">
      <c r="A70" t="s">
        <v>14</v>
      </c>
      <c r="B70" s="13" t="s">
        <v>55</v>
      </c>
      <c r="C70">
        <v>439</v>
      </c>
      <c r="D70" s="36" t="str">
        <f>IF(C70&lt;=165, "Lowest range",
   IF(AND(C70&gt;165, C70&lt;=268), "Lower range",
      IF(AND(C70&gt;268, C70&lt;=369), "Higher range",
         IF(C70&gt;369, "Highest range", "Not categorised"))))</f>
        <v>Highest range</v>
      </c>
      <c r="E70" s="14">
        <v>0.85844150570976596</v>
      </c>
    </row>
    <row r="71" spans="1:5" x14ac:dyDescent="0.2">
      <c r="A71" t="s">
        <v>14</v>
      </c>
      <c r="B71" s="13" t="s">
        <v>55</v>
      </c>
      <c r="C71">
        <v>74</v>
      </c>
      <c r="D71" s="36" t="str">
        <f>IF(C71&lt;=165, "Lowest range",
   IF(AND(C71&gt;165, C71&lt;=268), "Lower range",
      IF(AND(C71&gt;268, C71&lt;=369), "Higher range",
         IF(C71&gt;369, "Highest range", "Not categorised"))))</f>
        <v>Lowest range</v>
      </c>
      <c r="E71" s="14">
        <v>0.93364431081587196</v>
      </c>
    </row>
    <row r="72" spans="1:5" x14ac:dyDescent="0.2">
      <c r="A72" t="s">
        <v>14</v>
      </c>
      <c r="B72" s="13" t="s">
        <v>55</v>
      </c>
      <c r="C72">
        <v>337</v>
      </c>
      <c r="D72" s="36" t="str">
        <f>IF(C72&lt;=165, "Lowest range",
   IF(AND(C72&gt;165, C72&lt;=268), "Lower range",
      IF(AND(C72&gt;268, C72&lt;=369), "Higher range",
         IF(C72&gt;369, "Highest range", "Not categorised"))))</f>
        <v>Higher range</v>
      </c>
      <c r="E72" s="14">
        <v>0.85959032074747799</v>
      </c>
    </row>
    <row r="73" spans="1:5" x14ac:dyDescent="0.2">
      <c r="A73" t="s">
        <v>14</v>
      </c>
      <c r="B73" s="13" t="s">
        <v>52</v>
      </c>
      <c r="C73">
        <v>383</v>
      </c>
      <c r="D73" s="36" t="str">
        <f>IF(C73&lt;=165, "Lowest range",
   IF(AND(C73&gt;165, C73&lt;=268), "Lower range",
      IF(AND(C73&gt;268, C73&lt;=369), "Higher range",
         IF(C73&gt;369, "Highest range", "Not categorised"))))</f>
        <v>Highest range</v>
      </c>
      <c r="E73" s="14">
        <v>0.853709040842621</v>
      </c>
    </row>
    <row r="74" spans="1:5" x14ac:dyDescent="0.2">
      <c r="A74" t="s">
        <v>11</v>
      </c>
      <c r="B74" s="13" t="s">
        <v>52</v>
      </c>
      <c r="C74">
        <v>187</v>
      </c>
      <c r="D74" s="36" t="str">
        <f>IF(C74&lt;=165, "Lowest range",
   IF(AND(C74&gt;165, C74&lt;=268), "Lower range",
      IF(AND(C74&gt;268, C74&lt;=369), "Higher range",
         IF(C74&gt;369, "Highest range", "Not categorised"))))</f>
        <v>Lower range</v>
      </c>
      <c r="E74" s="14">
        <v>0.91672496008890603</v>
      </c>
    </row>
    <row r="75" spans="1:5" x14ac:dyDescent="0.2">
      <c r="A75" t="s">
        <v>11</v>
      </c>
      <c r="B75" s="13" t="s">
        <v>52</v>
      </c>
      <c r="C75">
        <v>307</v>
      </c>
      <c r="D75" s="36" t="str">
        <f>IF(C75&lt;=165, "Lowest range",
   IF(AND(C75&gt;165, C75&lt;=268), "Lower range",
      IF(AND(C75&gt;268, C75&lt;=369), "Higher range",
         IF(C75&gt;369, "Highest range", "Not categorised"))))</f>
        <v>Higher range</v>
      </c>
      <c r="E75" s="14">
        <v>1</v>
      </c>
    </row>
    <row r="76" spans="1:5" x14ac:dyDescent="0.2">
      <c r="A76" t="s">
        <v>11</v>
      </c>
      <c r="B76" s="13" t="s">
        <v>53</v>
      </c>
      <c r="C76">
        <v>372</v>
      </c>
      <c r="D76" s="36" t="str">
        <f>IF(C76&lt;=165, "Lowest range",
   IF(AND(C76&gt;165, C76&lt;=268), "Lower range",
      IF(AND(C76&gt;268, C76&lt;=369), "Higher range",
         IF(C76&gt;369, "Highest range", "Not categorised"))))</f>
        <v>Highest range</v>
      </c>
      <c r="E76" s="14">
        <v>0.87781908477414705</v>
      </c>
    </row>
    <row r="77" spans="1:5" x14ac:dyDescent="0.2">
      <c r="A77" t="s">
        <v>11</v>
      </c>
      <c r="B77" s="13" t="s">
        <v>53</v>
      </c>
      <c r="C77">
        <v>290</v>
      </c>
      <c r="D77" s="36" t="str">
        <f>IF(C77&lt;=165, "Lowest range",
   IF(AND(C77&gt;165, C77&lt;=268), "Lower range",
      IF(AND(C77&gt;268, C77&lt;=369), "Higher range",
         IF(C77&gt;369, "Highest range", "Not categorised"))))</f>
        <v>Higher range</v>
      </c>
      <c r="E77" s="14">
        <v>0.8</v>
      </c>
    </row>
    <row r="78" spans="1:5" x14ac:dyDescent="0.2">
      <c r="A78" t="s">
        <v>11</v>
      </c>
      <c r="B78" s="13" t="s">
        <v>53</v>
      </c>
      <c r="C78">
        <v>267</v>
      </c>
      <c r="D78" s="36" t="str">
        <f>IF(C78&lt;=165, "Lowest range",
   IF(AND(C78&gt;165, C78&lt;=268), "Lower range",
      IF(AND(C78&gt;268, C78&lt;=369), "Higher range",
         IF(C78&gt;369, "Highest range", "Not categorised"))))</f>
        <v>Lower range</v>
      </c>
      <c r="E78" s="14">
        <v>0.91649199768116696</v>
      </c>
    </row>
    <row r="79" spans="1:5" x14ac:dyDescent="0.2">
      <c r="A79" t="s">
        <v>11</v>
      </c>
      <c r="B79" s="13" t="s">
        <v>54</v>
      </c>
      <c r="C79">
        <v>85</v>
      </c>
      <c r="D79" s="36" t="str">
        <f>IF(C79&lt;=165, "Lowest range",
   IF(AND(C79&gt;165, C79&lt;=268), "Lower range",
      IF(AND(C79&gt;268, C79&lt;=369), "Higher range",
         IF(C79&gt;369, "Highest range", "Not categorised"))))</f>
        <v>Lowest range</v>
      </c>
      <c r="E79" s="14">
        <v>0.95099622897984804</v>
      </c>
    </row>
    <row r="80" spans="1:5" x14ac:dyDescent="0.2">
      <c r="A80" t="s">
        <v>11</v>
      </c>
      <c r="B80" s="13" t="s">
        <v>54</v>
      </c>
      <c r="C80">
        <v>122</v>
      </c>
      <c r="D80" s="36" t="str">
        <f>IF(C80&lt;=165, "Lowest range",
   IF(AND(C80&gt;165, C80&lt;=268), "Lower range",
      IF(AND(C80&gt;268, C80&lt;=369), "Higher range",
         IF(C80&gt;369, "Highest range", "Not categorised"))))</f>
        <v>Lowest range</v>
      </c>
      <c r="E80" s="14">
        <v>0.93731298537332897</v>
      </c>
    </row>
    <row r="81" spans="1:5" x14ac:dyDescent="0.2">
      <c r="A81" t="s">
        <v>11</v>
      </c>
      <c r="B81" s="13" t="s">
        <v>54</v>
      </c>
      <c r="C81">
        <v>245</v>
      </c>
      <c r="D81" s="36" t="str">
        <f>IF(C81&lt;=165, "Lowest range",
   IF(AND(C81&gt;165, C81&lt;=268), "Lower range",
      IF(AND(C81&gt;268, C81&lt;=369), "Higher range",
         IF(C81&gt;369, "Highest range", "Not categorised"))))</f>
        <v>Lower range</v>
      </c>
      <c r="E81" s="14">
        <v>0.928240707484146</v>
      </c>
    </row>
    <row r="82" spans="1:5" x14ac:dyDescent="0.2">
      <c r="A82" t="s">
        <v>11</v>
      </c>
      <c r="B82" s="13" t="s">
        <v>55</v>
      </c>
      <c r="C82">
        <v>54</v>
      </c>
      <c r="D82" s="36" t="str">
        <f>IF(C82&lt;=165, "Lowest range",
   IF(AND(C82&gt;165, C82&lt;=268), "Lower range",
      IF(AND(C82&gt;268, C82&lt;=369), "Higher range",
         IF(C82&gt;369, "Highest range", "Not categorised"))))</f>
        <v>Lowest range</v>
      </c>
      <c r="E82" s="14">
        <v>0.97200367582667202</v>
      </c>
    </row>
    <row r="83" spans="1:5" x14ac:dyDescent="0.2">
      <c r="A83" t="s">
        <v>11</v>
      </c>
      <c r="B83" s="13" t="s">
        <v>55</v>
      </c>
      <c r="C83">
        <v>279</v>
      </c>
      <c r="D83" s="36" t="str">
        <f>IF(C83&lt;=165, "Lowest range",
   IF(AND(C83&gt;165, C83&lt;=268), "Lower range",
      IF(AND(C83&gt;268, C83&lt;=369), "Higher range",
         IF(C83&gt;369, "Highest range", "Not categorised"))))</f>
        <v>Higher range</v>
      </c>
      <c r="E83" s="14">
        <v>0.978095321238305</v>
      </c>
    </row>
    <row r="84" spans="1:5" x14ac:dyDescent="0.2">
      <c r="A84" t="s">
        <v>11</v>
      </c>
      <c r="B84" s="13" t="s">
        <v>55</v>
      </c>
      <c r="C84">
        <v>107</v>
      </c>
      <c r="D84" s="36" t="str">
        <f>IF(C84&lt;=165, "Lowest range",
   IF(AND(C84&gt;165, C84&lt;=268), "Lower range",
      IF(AND(C84&gt;268, C84&lt;=369), "Higher range",
         IF(C84&gt;369, "Highest range", "Not categorised"))))</f>
        <v>Lowest range</v>
      </c>
      <c r="E84" s="14">
        <v>0.99839494714640598</v>
      </c>
    </row>
    <row r="85" spans="1:5" x14ac:dyDescent="0.2">
      <c r="A85" t="s">
        <v>11</v>
      </c>
      <c r="B85" s="13" t="s">
        <v>52</v>
      </c>
      <c r="C85">
        <v>221</v>
      </c>
      <c r="D85" s="36" t="str">
        <f>IF(C85&lt;=165, "Lowest range",
   IF(AND(C85&gt;165, C85&lt;=268), "Lower range",
      IF(AND(C85&gt;268, C85&lt;=369), "Higher range",
         IF(C85&gt;369, "Highest range", "Not categorised"))))</f>
        <v>Lower range</v>
      </c>
      <c r="E85" s="14">
        <v>0.896069118072925</v>
      </c>
    </row>
    <row r="86" spans="1:5" x14ac:dyDescent="0.2">
      <c r="A86" t="s">
        <v>11</v>
      </c>
      <c r="B86" s="13" t="s">
        <v>52</v>
      </c>
      <c r="C86">
        <v>335</v>
      </c>
      <c r="D86" s="36" t="str">
        <f>IF(C86&lt;=165, "Lowest range",
   IF(AND(C86&gt;165, C86&lt;=268), "Lower range",
      IF(AND(C86&gt;268, C86&lt;=369), "Higher range",
         IF(C86&gt;369, "Highest range", "Not categorised"))))</f>
        <v>Higher range</v>
      </c>
      <c r="E86" s="14">
        <v>0.90937099402617105</v>
      </c>
    </row>
    <row r="87" spans="1:5" x14ac:dyDescent="0.2">
      <c r="A87" t="s">
        <v>11</v>
      </c>
      <c r="B87" s="13" t="s">
        <v>52</v>
      </c>
      <c r="C87">
        <v>85</v>
      </c>
      <c r="D87" s="36" t="str">
        <f>IF(C87&lt;=165, "Lowest range",
   IF(AND(C87&gt;165, C87&lt;=268), "Lower range",
      IF(AND(C87&gt;268, C87&lt;=369), "Higher range",
         IF(C87&gt;369, "Highest range", "Not categorised"))))</f>
        <v>Lowest range</v>
      </c>
      <c r="E87" s="14">
        <v>0.84157278426716897</v>
      </c>
    </row>
    <row r="88" spans="1:5" x14ac:dyDescent="0.2">
      <c r="A88" t="s">
        <v>11</v>
      </c>
      <c r="B88" s="13" t="s">
        <v>53</v>
      </c>
      <c r="C88">
        <v>155</v>
      </c>
      <c r="D88" s="36" t="str">
        <f>IF(C88&lt;=165, "Lowest range",
   IF(AND(C88&gt;165, C88&lt;=268), "Lower range",
      IF(AND(C88&gt;268, C88&lt;=369), "Higher range",
         IF(C88&gt;369, "Highest range", "Not categorised"))))</f>
        <v>Lowest range</v>
      </c>
      <c r="E88" s="14">
        <v>0.94815444991065101</v>
      </c>
    </row>
    <row r="89" spans="1:5" x14ac:dyDescent="0.2">
      <c r="A89" t="s">
        <v>11</v>
      </c>
      <c r="B89" s="13" t="s">
        <v>53</v>
      </c>
      <c r="C89">
        <v>61</v>
      </c>
      <c r="D89" s="36" t="str">
        <f>IF(C89&lt;=165, "Lowest range",
   IF(AND(C89&gt;165, C89&lt;=268), "Lower range",
      IF(AND(C89&gt;268, C89&lt;=369), "Higher range",
         IF(C89&gt;369, "Highest range", "Not categorised"))))</f>
        <v>Lowest range</v>
      </c>
      <c r="E89" s="14">
        <v>0.95397718104058205</v>
      </c>
    </row>
    <row r="90" spans="1:5" x14ac:dyDescent="0.2">
      <c r="A90" t="s">
        <v>11</v>
      </c>
      <c r="B90" s="13" t="s">
        <v>53</v>
      </c>
      <c r="C90">
        <v>193</v>
      </c>
      <c r="D90" s="36" t="str">
        <f>IF(C90&lt;=165, "Lowest range",
   IF(AND(C90&gt;165, C90&lt;=268), "Lower range",
      IF(AND(C90&gt;268, C90&lt;=369), "Higher range",
         IF(C90&gt;369, "Highest range", "Not categorised"))))</f>
        <v>Lower range</v>
      </c>
      <c r="E90" s="14">
        <v>0.986295388517618</v>
      </c>
    </row>
    <row r="91" spans="1:5" x14ac:dyDescent="0.2">
      <c r="A91" t="s">
        <v>11</v>
      </c>
      <c r="B91" s="13" t="s">
        <v>54</v>
      </c>
      <c r="C91">
        <v>153</v>
      </c>
      <c r="D91" s="36" t="str">
        <f>IF(C91&lt;=165, "Lowest range",
   IF(AND(C91&gt;165, C91&lt;=268), "Lower range",
      IF(AND(C91&gt;268, C91&lt;=369), "Higher range",
         IF(C91&gt;369, "Highest range", "Not categorised"))))</f>
        <v>Lowest range</v>
      </c>
      <c r="E91" s="14">
        <v>0.92429811414636298</v>
      </c>
    </row>
    <row r="92" spans="1:5" x14ac:dyDescent="0.2">
      <c r="A92" t="s">
        <v>11</v>
      </c>
      <c r="B92" s="13" t="s">
        <v>54</v>
      </c>
      <c r="C92">
        <v>370</v>
      </c>
      <c r="D92" s="36" t="str">
        <f>IF(C92&lt;=165, "Lowest range",
   IF(AND(C92&gt;165, C92&lt;=268), "Lower range",
      IF(AND(C92&gt;268, C92&lt;=369), "Higher range",
         IF(C92&gt;369, "Highest range", "Not categorised"))))</f>
        <v>Highest range</v>
      </c>
      <c r="E92" s="14">
        <v>0.94875255476517295</v>
      </c>
    </row>
    <row r="93" spans="1:5" x14ac:dyDescent="0.2">
      <c r="A93" t="s">
        <v>11</v>
      </c>
      <c r="B93" s="13" t="s">
        <v>54</v>
      </c>
      <c r="C93">
        <v>280</v>
      </c>
      <c r="D93" s="36" t="str">
        <f>IF(C93&lt;=165, "Lowest range",
   IF(AND(C93&gt;165, C93&lt;=268), "Lower range",
      IF(AND(C93&gt;268, C93&lt;=369), "Higher range",
         IF(C93&gt;369, "Highest range", "Not categorised"))))</f>
        <v>Higher range</v>
      </c>
      <c r="E93" s="14">
        <v>0.916808002313802</v>
      </c>
    </row>
    <row r="94" spans="1:5" x14ac:dyDescent="0.2">
      <c r="A94" t="s">
        <v>11</v>
      </c>
      <c r="B94" s="13" t="s">
        <v>55</v>
      </c>
      <c r="C94">
        <v>191</v>
      </c>
      <c r="D94" s="36" t="str">
        <f>IF(C94&lt;=165, "Lowest range",
   IF(AND(C94&gt;165, C94&lt;=268), "Lower range",
      IF(AND(C94&gt;268, C94&lt;=369), "Higher range",
         IF(C94&gt;369, "Highest range", "Not categorised"))))</f>
        <v>Lower range</v>
      </c>
      <c r="E94" s="14">
        <v>0.96178558696494199</v>
      </c>
    </row>
    <row r="95" spans="1:5" x14ac:dyDescent="0.2">
      <c r="A95" t="s">
        <v>11</v>
      </c>
      <c r="B95" s="13" t="s">
        <v>55</v>
      </c>
      <c r="C95">
        <v>410</v>
      </c>
      <c r="D95" s="36" t="str">
        <f>IF(C95&lt;=165, "Lowest range",
   IF(AND(C95&gt;165, C95&lt;=268), "Lower range",
      IF(AND(C95&gt;268, C95&lt;=369), "Higher range",
         IF(C95&gt;369, "Highest range", "Not categorised"))))</f>
        <v>Highest range</v>
      </c>
      <c r="E95" s="14">
        <v>0.86511331083491905</v>
      </c>
    </row>
    <row r="96" spans="1:5" x14ac:dyDescent="0.2">
      <c r="A96" t="s">
        <v>11</v>
      </c>
      <c r="B96" s="13" t="s">
        <v>55</v>
      </c>
      <c r="C96">
        <v>372</v>
      </c>
      <c r="D96" s="36" t="str">
        <f>IF(C96&lt;=165, "Lowest range",
   IF(AND(C96&gt;165, C96&lt;=268), "Lower range",
      IF(AND(C96&gt;268, C96&lt;=369), "Higher range",
         IF(C96&gt;369, "Highest range", "Not categorised"))))</f>
        <v>Highest range</v>
      </c>
      <c r="E96" s="14">
        <v>0.83085665113728802</v>
      </c>
    </row>
    <row r="97" spans="1:5" x14ac:dyDescent="0.2">
      <c r="A97" t="s">
        <v>11</v>
      </c>
      <c r="B97" s="13" t="s">
        <v>52</v>
      </c>
      <c r="C97">
        <v>360</v>
      </c>
      <c r="D97" s="36" t="str">
        <f>IF(C97&lt;=165, "Lowest range",
   IF(AND(C97&gt;165, C97&lt;=268), "Lower range",
      IF(AND(C97&gt;268, C97&lt;=369), "Higher range",
         IF(C97&gt;369, "Highest range", "Not categorised"))))</f>
        <v>Higher range</v>
      </c>
      <c r="E97" s="14">
        <v>0.89068184650615001</v>
      </c>
    </row>
    <row r="98" spans="1:5" x14ac:dyDescent="0.2">
      <c r="A98" t="s">
        <v>11</v>
      </c>
      <c r="B98" s="13" t="s">
        <v>52</v>
      </c>
      <c r="C98">
        <v>391</v>
      </c>
      <c r="D98" s="36" t="str">
        <f>IF(C98&lt;=165, "Lowest range",
   IF(AND(C98&gt;165, C98&lt;=268), "Lower range",
      IF(AND(C98&gt;268, C98&lt;=369), "Higher range",
         IF(C98&gt;369, "Highest range", "Not categorised"))))</f>
        <v>Highest range</v>
      </c>
      <c r="E98" s="14">
        <v>0.84829494052715304</v>
      </c>
    </row>
    <row r="99" spans="1:5" x14ac:dyDescent="0.2">
      <c r="A99" t="s">
        <v>11</v>
      </c>
      <c r="B99" s="13" t="s">
        <v>52</v>
      </c>
      <c r="C99">
        <v>98</v>
      </c>
      <c r="D99" s="36" t="str">
        <f>IF(C99&lt;=165, "Lowest range",
   IF(AND(C99&gt;165, C99&lt;=268), "Lower range",
      IF(AND(C99&gt;268, C99&lt;=369), "Higher range",
         IF(C99&gt;369, "Highest range", "Not categorised"))))</f>
        <v>Lowest range</v>
      </c>
      <c r="E99" s="14">
        <v>0.94061198904696097</v>
      </c>
    </row>
    <row r="100" spans="1:5" x14ac:dyDescent="0.2">
      <c r="A100" t="s">
        <v>11</v>
      </c>
      <c r="B100" s="13" t="s">
        <v>53</v>
      </c>
      <c r="C100">
        <v>207</v>
      </c>
      <c r="D100" s="36" t="str">
        <f>IF(C100&lt;=165, "Lowest range",
   IF(AND(C100&gt;165, C100&lt;=268), "Lower range",
      IF(AND(C100&gt;268, C100&lt;=369), "Higher range",
         IF(C100&gt;369, "Highest range", "Not categorised"))))</f>
        <v>Lower range</v>
      </c>
      <c r="E100" s="14">
        <v>0.91045346150589301</v>
      </c>
    </row>
    <row r="101" spans="1:5" x14ac:dyDescent="0.2">
      <c r="A101" t="s">
        <v>11</v>
      </c>
      <c r="B101" s="13" t="s">
        <v>53</v>
      </c>
      <c r="C101">
        <v>56</v>
      </c>
      <c r="D101" s="36" t="str">
        <f>IF(C101&lt;=165, "Lowest range",
   IF(AND(C101&gt;165, C101&lt;=268), "Lower range",
      IF(AND(C101&gt;268, C101&lt;=369), "Higher range",
         IF(C101&gt;369, "Highest range", "Not categorised"))))</f>
        <v>Lowest range</v>
      </c>
      <c r="E101" s="14">
        <v>0.90747987390367701</v>
      </c>
    </row>
    <row r="102" spans="1:5" x14ac:dyDescent="0.2">
      <c r="A102" t="s">
        <v>11</v>
      </c>
      <c r="B102" s="13" t="s">
        <v>53</v>
      </c>
      <c r="C102">
        <v>212</v>
      </c>
      <c r="D102" s="36" t="str">
        <f>IF(C102&lt;=165, "Lowest range",
   IF(AND(C102&gt;165, C102&lt;=268), "Lower range",
      IF(AND(C102&gt;268, C102&lt;=369), "Higher range",
         IF(C102&gt;369, "Highest range", "Not categorised"))))</f>
        <v>Lower range</v>
      </c>
      <c r="E102" s="14">
        <v>0.93206251966641895</v>
      </c>
    </row>
    <row r="103" spans="1:5" x14ac:dyDescent="0.2">
      <c r="A103" t="s">
        <v>11</v>
      </c>
      <c r="B103" s="13" t="s">
        <v>54</v>
      </c>
      <c r="C103">
        <v>325</v>
      </c>
      <c r="D103" s="36" t="str">
        <f>IF(C103&lt;=165, "Lowest range",
   IF(AND(C103&gt;165, C103&lt;=268), "Lower range",
      IF(AND(C103&gt;268, C103&lt;=369), "Higher range",
         IF(C103&gt;369, "Highest range", "Not categorised"))))</f>
        <v>Higher range</v>
      </c>
      <c r="E103" s="14">
        <v>0.87225641436146195</v>
      </c>
    </row>
    <row r="104" spans="1:5" x14ac:dyDescent="0.2">
      <c r="A104" t="s">
        <v>11</v>
      </c>
      <c r="B104" s="13" t="s">
        <v>54</v>
      </c>
      <c r="C104">
        <v>302</v>
      </c>
      <c r="D104" s="36" t="str">
        <f>IF(C104&lt;=165, "Lowest range",
   IF(AND(C104&gt;165, C104&lt;=268), "Lower range",
      IF(AND(C104&gt;268, C104&lt;=369), "Higher range",
         IF(C104&gt;369, "Highest range", "Not categorised"))))</f>
        <v>Higher range</v>
      </c>
      <c r="E104" s="14">
        <v>0.85848724054813996</v>
      </c>
    </row>
    <row r="105" spans="1:5" x14ac:dyDescent="0.2">
      <c r="A105" t="s">
        <v>11</v>
      </c>
      <c r="B105" s="13" t="s">
        <v>54</v>
      </c>
      <c r="C105">
        <v>370</v>
      </c>
      <c r="D105" s="36" t="str">
        <f>IF(C105&lt;=165, "Lowest range",
   IF(AND(C105&gt;165, C105&lt;=268), "Lower range",
      IF(AND(C105&gt;268, C105&lt;=369), "Higher range",
         IF(C105&gt;369, "Highest range", "Not categorised"))))</f>
        <v>Highest range</v>
      </c>
      <c r="E105" s="14">
        <v>0.89849141666854304</v>
      </c>
    </row>
    <row r="106" spans="1:5" x14ac:dyDescent="0.2">
      <c r="A106" t="s">
        <v>11</v>
      </c>
      <c r="B106" s="13" t="s">
        <v>55</v>
      </c>
      <c r="C106">
        <v>485</v>
      </c>
      <c r="D106" s="36" t="str">
        <f>IF(C106&lt;=165, "Lowest range",
   IF(AND(C106&gt;165, C106&lt;=268), "Lower range",
      IF(AND(C106&gt;268, C106&lt;=369), "Higher range",
         IF(C106&gt;369, "Highest range", "Not categorised"))))</f>
        <v>Highest range</v>
      </c>
      <c r="E106" s="14">
        <v>0.91637098858254895</v>
      </c>
    </row>
    <row r="107" spans="1:5" x14ac:dyDescent="0.2">
      <c r="A107" t="s">
        <v>11</v>
      </c>
      <c r="B107" s="13" t="s">
        <v>55</v>
      </c>
      <c r="C107">
        <v>166</v>
      </c>
      <c r="D107" s="36" t="str">
        <f>IF(C107&lt;=165, "Lowest range",
   IF(AND(C107&gt;165, C107&lt;=268), "Lower range",
      IF(AND(C107&gt;268, C107&lt;=369), "Higher range",
         IF(C107&gt;369, "Highest range", "Not categorised"))))</f>
        <v>Lower range</v>
      </c>
      <c r="E107" s="14">
        <v>0.93147970681969805</v>
      </c>
    </row>
    <row r="108" spans="1:5" x14ac:dyDescent="0.2">
      <c r="A108" t="s">
        <v>11</v>
      </c>
      <c r="B108" s="13" t="s">
        <v>55</v>
      </c>
      <c r="C108">
        <v>222</v>
      </c>
      <c r="D108" s="36" t="str">
        <f>IF(C108&lt;=165, "Lowest range",
   IF(AND(C108&gt;165, C108&lt;=268), "Lower range",
      IF(AND(C108&gt;268, C108&lt;=369), "Higher range",
         IF(C108&gt;369, "Highest range", "Not categorised"))))</f>
        <v>Lower range</v>
      </c>
      <c r="E108" s="14">
        <v>0.87062510925141201</v>
      </c>
    </row>
    <row r="109" spans="1:5" x14ac:dyDescent="0.2">
      <c r="A109" t="s">
        <v>11</v>
      </c>
      <c r="B109" s="13" t="s">
        <v>52</v>
      </c>
      <c r="C109">
        <v>268</v>
      </c>
      <c r="D109" s="36" t="str">
        <f>IF(C109&lt;=165, "Lowest range",
   IF(AND(C109&gt;165, C109&lt;=268), "Lower range",
      IF(AND(C109&gt;268, C109&lt;=369), "Higher range",
         IF(C109&gt;369, "Highest range", "Not categorised"))))</f>
        <v>Lower range</v>
      </c>
      <c r="E109" s="14">
        <v>0.88446227641095998</v>
      </c>
    </row>
    <row r="110" spans="1:5" x14ac:dyDescent="0.2">
      <c r="A110" t="s">
        <v>10</v>
      </c>
      <c r="B110" s="13" t="s">
        <v>52</v>
      </c>
      <c r="C110">
        <v>60</v>
      </c>
      <c r="D110" s="36" t="str">
        <f>IF(C110&lt;=165, "Lowest range",
   IF(AND(C110&gt;165, C110&lt;=268), "Lower range",
      IF(AND(C110&gt;268, C110&lt;=369), "Higher range",
         IF(C110&gt;369, "Highest range", "Not categorised"))))</f>
        <v>Lowest range</v>
      </c>
      <c r="E110" s="14">
        <v>0.8</v>
      </c>
    </row>
    <row r="111" spans="1:5" x14ac:dyDescent="0.2">
      <c r="A111" t="s">
        <v>10</v>
      </c>
      <c r="B111" s="13" t="s">
        <v>52</v>
      </c>
      <c r="C111">
        <v>458</v>
      </c>
      <c r="D111" s="36" t="str">
        <f>IF(C111&lt;=165, "Lowest range",
   IF(AND(C111&gt;165, C111&lt;=268), "Lower range",
      IF(AND(C111&gt;268, C111&lt;=369), "Higher range",
         IF(C111&gt;369, "Highest range", "Not categorised"))))</f>
        <v>Highest range</v>
      </c>
      <c r="E111" s="14">
        <v>0.97573184532901802</v>
      </c>
    </row>
    <row r="112" spans="1:5" x14ac:dyDescent="0.2">
      <c r="A112" t="s">
        <v>10</v>
      </c>
      <c r="B112" s="13" t="s">
        <v>53</v>
      </c>
      <c r="C112">
        <v>195</v>
      </c>
      <c r="D112" s="36" t="str">
        <f>IF(C112&lt;=165, "Lowest range",
   IF(AND(C112&gt;165, C112&lt;=268), "Lower range",
      IF(AND(C112&gt;268, C112&lt;=369), "Higher range",
         IF(C112&gt;369, "Highest range", "Not categorised"))))</f>
        <v>Lower range</v>
      </c>
      <c r="E112" s="14">
        <v>0.85809018429952399</v>
      </c>
    </row>
    <row r="113" spans="1:5" x14ac:dyDescent="0.2">
      <c r="A113" t="s">
        <v>10</v>
      </c>
      <c r="B113" s="13" t="s">
        <v>53</v>
      </c>
      <c r="C113">
        <v>474</v>
      </c>
      <c r="D113" s="36" t="str">
        <f>IF(C113&lt;=165, "Lowest range",
   IF(AND(C113&gt;165, C113&lt;=268), "Lower range",
      IF(AND(C113&gt;268, C113&lt;=369), "Higher range",
         IF(C113&gt;369, "Highest range", "Not categorised"))))</f>
        <v>Highest range</v>
      </c>
      <c r="E113" s="14">
        <v>0.87626131772581395</v>
      </c>
    </row>
    <row r="114" spans="1:5" x14ac:dyDescent="0.2">
      <c r="A114" t="s">
        <v>10</v>
      </c>
      <c r="B114" s="13" t="s">
        <v>53</v>
      </c>
      <c r="C114">
        <v>117</v>
      </c>
      <c r="D114" s="36" t="str">
        <f>IF(C114&lt;=165, "Lowest range",
   IF(AND(C114&gt;165, C114&lt;=268), "Lower range",
      IF(AND(C114&gt;268, C114&lt;=369), "Higher range",
         IF(C114&gt;369, "Highest range", "Not categorised"))))</f>
        <v>Lowest range</v>
      </c>
      <c r="E114" s="14">
        <v>0.84623677058868296</v>
      </c>
    </row>
    <row r="115" spans="1:5" x14ac:dyDescent="0.2">
      <c r="A115" t="s">
        <v>10</v>
      </c>
      <c r="B115" s="13" t="s">
        <v>54</v>
      </c>
      <c r="C115">
        <v>158</v>
      </c>
      <c r="D115" s="36" t="str">
        <f>IF(C115&lt;=165, "Lowest range",
   IF(AND(C115&gt;165, C115&lt;=268), "Lower range",
      IF(AND(C115&gt;268, C115&lt;=369), "Higher range",
         IF(C115&gt;369, "Highest range", "Not categorised"))))</f>
        <v>Lowest range</v>
      </c>
      <c r="E115" s="14">
        <v>0.87833700582562202</v>
      </c>
    </row>
    <row r="116" spans="1:5" x14ac:dyDescent="0.2">
      <c r="A116" t="s">
        <v>10</v>
      </c>
      <c r="B116" s="13" t="s">
        <v>54</v>
      </c>
      <c r="C116">
        <v>436</v>
      </c>
      <c r="D116" s="36" t="str">
        <f>IF(C116&lt;=165, "Lowest range",
   IF(AND(C116&gt;165, C116&lt;=268), "Lower range",
      IF(AND(C116&gt;268, C116&lt;=369), "Higher range",
         IF(C116&gt;369, "Highest range", "Not categorised"))))</f>
        <v>Highest range</v>
      </c>
      <c r="E116" s="14">
        <v>0.84426573193700105</v>
      </c>
    </row>
    <row r="117" spans="1:5" x14ac:dyDescent="0.2">
      <c r="A117" t="s">
        <v>10</v>
      </c>
      <c r="B117" s="13" t="s">
        <v>54</v>
      </c>
      <c r="C117">
        <v>474</v>
      </c>
      <c r="D117" s="36" t="str">
        <f>IF(C117&lt;=165, "Lowest range",
   IF(AND(C117&gt;165, C117&lt;=268), "Lower range",
      IF(AND(C117&gt;268, C117&lt;=369), "Higher range",
         IF(C117&gt;369, "Highest range", "Not categorised"))))</f>
        <v>Highest range</v>
      </c>
      <c r="E117" s="14">
        <v>0.87390490929084197</v>
      </c>
    </row>
    <row r="118" spans="1:5" x14ac:dyDescent="0.2">
      <c r="A118" t="s">
        <v>10</v>
      </c>
      <c r="B118" s="13" t="s">
        <v>55</v>
      </c>
      <c r="C118">
        <v>493</v>
      </c>
      <c r="D118" s="36" t="str">
        <f>IF(C118&lt;=165, "Lowest range",
   IF(AND(C118&gt;165, C118&lt;=268), "Lower range",
      IF(AND(C118&gt;268, C118&lt;=369), "Higher range",
         IF(C118&gt;369, "Highest range", "Not categorised"))))</f>
        <v>Highest range</v>
      </c>
      <c r="E118" s="14">
        <v>0.89050987401262804</v>
      </c>
    </row>
    <row r="119" spans="1:5" x14ac:dyDescent="0.2">
      <c r="A119" t="s">
        <v>10</v>
      </c>
      <c r="B119" s="13" t="s">
        <v>55</v>
      </c>
      <c r="C119">
        <v>313</v>
      </c>
      <c r="D119" s="36" t="str">
        <f>IF(C119&lt;=165, "Lowest range",
   IF(AND(C119&gt;165, C119&lt;=268), "Lower range",
      IF(AND(C119&gt;268, C119&lt;=369), "Higher range",
         IF(C119&gt;369, "Highest range", "Not categorised"))))</f>
        <v>Higher range</v>
      </c>
      <c r="E119" s="14">
        <v>0.98322201269741005</v>
      </c>
    </row>
    <row r="120" spans="1:5" x14ac:dyDescent="0.2">
      <c r="A120" t="s">
        <v>10</v>
      </c>
      <c r="B120" s="13" t="s">
        <v>55</v>
      </c>
      <c r="C120">
        <v>430</v>
      </c>
      <c r="D120" s="36" t="str">
        <f>IF(C120&lt;=165, "Lowest range",
   IF(AND(C120&gt;165, C120&lt;=268), "Lower range",
      IF(AND(C120&gt;268, C120&lt;=369), "Higher range",
         IF(C120&gt;369, "Highest range", "Not categorised"))))</f>
        <v>Highest range</v>
      </c>
      <c r="E120" s="14">
        <v>0.881917736115717</v>
      </c>
    </row>
    <row r="121" spans="1:5" x14ac:dyDescent="0.2">
      <c r="A121" t="s">
        <v>10</v>
      </c>
      <c r="B121" s="13" t="s">
        <v>52</v>
      </c>
      <c r="C121">
        <v>264</v>
      </c>
      <c r="D121" s="36" t="str">
        <f>IF(C121&lt;=165, "Lowest range",
   IF(AND(C121&gt;165, C121&lt;=268), "Lower range",
      IF(AND(C121&gt;268, C121&lt;=369), "Higher range",
         IF(C121&gt;369, "Highest range", "Not categorised"))))</f>
        <v>Lower range</v>
      </c>
      <c r="E121" s="14">
        <v>0.80375941610186596</v>
      </c>
    </row>
    <row r="122" spans="1:5" x14ac:dyDescent="0.2">
      <c r="A122" t="s">
        <v>10</v>
      </c>
      <c r="B122" s="13" t="s">
        <v>52</v>
      </c>
      <c r="C122">
        <v>403</v>
      </c>
      <c r="D122" s="36" t="str">
        <f>IF(C122&lt;=165, "Lowest range",
   IF(AND(C122&gt;165, C122&lt;=268), "Lower range",
      IF(AND(C122&gt;268, C122&lt;=369), "Higher range",
         IF(C122&gt;369, "Highest range", "Not categorised"))))</f>
        <v>Highest range</v>
      </c>
      <c r="E122" s="14">
        <v>0.93710414849346602</v>
      </c>
    </row>
    <row r="123" spans="1:5" x14ac:dyDescent="0.2">
      <c r="A123" t="s">
        <v>10</v>
      </c>
      <c r="B123" s="13" t="s">
        <v>52</v>
      </c>
      <c r="C123">
        <v>491</v>
      </c>
      <c r="D123" s="36" t="str">
        <f>IF(C123&lt;=165, "Lowest range",
   IF(AND(C123&gt;165, C123&lt;=268), "Lower range",
      IF(AND(C123&gt;268, C123&lt;=369), "Higher range",
         IF(C123&gt;369, "Highest range", "Not categorised"))))</f>
        <v>Highest range</v>
      </c>
      <c r="E123" s="14">
        <v>1</v>
      </c>
    </row>
    <row r="124" spans="1:5" x14ac:dyDescent="0.2">
      <c r="A124" t="s">
        <v>10</v>
      </c>
      <c r="B124" s="13" t="s">
        <v>53</v>
      </c>
      <c r="C124">
        <v>257</v>
      </c>
      <c r="D124" s="36" t="str">
        <f>IF(C124&lt;=165, "Lowest range",
   IF(AND(C124&gt;165, C124&lt;=268), "Lower range",
      IF(AND(C124&gt;268, C124&lt;=369), "Higher range",
         IF(C124&gt;369, "Highest range", "Not categorised"))))</f>
        <v>Lower range</v>
      </c>
      <c r="E124" s="14">
        <v>0.83076766896526899</v>
      </c>
    </row>
    <row r="125" spans="1:5" x14ac:dyDescent="0.2">
      <c r="A125" t="s">
        <v>10</v>
      </c>
      <c r="B125" s="13" t="s">
        <v>53</v>
      </c>
      <c r="C125">
        <v>449</v>
      </c>
      <c r="D125" s="36" t="str">
        <f>IF(C125&lt;=165, "Lowest range",
   IF(AND(C125&gt;165, C125&lt;=268), "Lower range",
      IF(AND(C125&gt;268, C125&lt;=369), "Higher range",
         IF(C125&gt;369, "Highest range", "Not categorised"))))</f>
        <v>Highest range</v>
      </c>
      <c r="E125" s="14">
        <v>0.90395000418055305</v>
      </c>
    </row>
    <row r="126" spans="1:5" x14ac:dyDescent="0.2">
      <c r="A126" t="s">
        <v>10</v>
      </c>
      <c r="B126" s="13" t="s">
        <v>53</v>
      </c>
      <c r="C126">
        <v>52</v>
      </c>
      <c r="D126" s="36" t="str">
        <f>IF(C126&lt;=165, "Lowest range",
   IF(AND(C126&gt;165, C126&lt;=268), "Lower range",
      IF(AND(C126&gt;268, C126&lt;=369), "Higher range",
         IF(C126&gt;369, "Highest range", "Not categorised"))))</f>
        <v>Lowest range</v>
      </c>
      <c r="E126" s="14">
        <v>0.91058204887543204</v>
      </c>
    </row>
    <row r="127" spans="1:5" x14ac:dyDescent="0.2">
      <c r="A127" t="s">
        <v>10</v>
      </c>
      <c r="B127" s="13" t="s">
        <v>54</v>
      </c>
      <c r="C127">
        <v>164</v>
      </c>
      <c r="D127" s="36" t="str">
        <f>IF(C127&lt;=165, "Lowest range",
   IF(AND(C127&gt;165, C127&lt;=268), "Lower range",
      IF(AND(C127&gt;268, C127&lt;=369), "Higher range",
         IF(C127&gt;369, "Highest range", "Not categorised"))))</f>
        <v>Lowest range</v>
      </c>
      <c r="E127" s="14">
        <v>0.923336273379605</v>
      </c>
    </row>
    <row r="128" spans="1:5" x14ac:dyDescent="0.2">
      <c r="A128" t="s">
        <v>10</v>
      </c>
      <c r="B128" s="13" t="s">
        <v>54</v>
      </c>
      <c r="C128">
        <v>268</v>
      </c>
      <c r="D128" s="36" t="str">
        <f>IF(C128&lt;=165, "Lowest range",
   IF(AND(C128&gt;165, C128&lt;=268), "Lower range",
      IF(AND(C128&gt;268, C128&lt;=369), "Higher range",
         IF(C128&gt;369, "Highest range", "Not categorised"))))</f>
        <v>Lower range</v>
      </c>
      <c r="E128" s="14">
        <v>0.85200860015431701</v>
      </c>
    </row>
    <row r="129" spans="1:5" x14ac:dyDescent="0.2">
      <c r="A129" t="s">
        <v>10</v>
      </c>
      <c r="B129" s="13" t="s">
        <v>54</v>
      </c>
      <c r="C129">
        <v>455</v>
      </c>
      <c r="D129" s="36" t="str">
        <f>IF(C129&lt;=165, "Lowest range",
   IF(AND(C129&gt;165, C129&lt;=268), "Lower range",
      IF(AND(C129&gt;268, C129&lt;=369), "Higher range",
         IF(C129&gt;369, "Highest range", "Not categorised"))))</f>
        <v>Highest range</v>
      </c>
      <c r="E129" s="14">
        <v>0.86420415746207302</v>
      </c>
    </row>
    <row r="130" spans="1:5" x14ac:dyDescent="0.2">
      <c r="A130" t="s">
        <v>10</v>
      </c>
      <c r="B130" s="13" t="s">
        <v>55</v>
      </c>
      <c r="C130">
        <v>275</v>
      </c>
      <c r="D130" s="36" t="str">
        <f>IF(C130&lt;=165, "Lowest range",
   IF(AND(C130&gt;165, C130&lt;=268), "Lower range",
      IF(AND(C130&gt;268, C130&lt;=369), "Higher range",
         IF(C130&gt;369, "Highest range", "Not categorised"))))</f>
        <v>Higher range</v>
      </c>
      <c r="E130" s="14">
        <v>0.94906570639993904</v>
      </c>
    </row>
    <row r="131" spans="1:5" x14ac:dyDescent="0.2">
      <c r="A131" t="s">
        <v>10</v>
      </c>
      <c r="B131" s="13" t="s">
        <v>55</v>
      </c>
      <c r="C131">
        <v>115</v>
      </c>
      <c r="D131" s="36" t="str">
        <f>IF(C131&lt;=165, "Lowest range",
   IF(AND(C131&gt;165, C131&lt;=268), "Lower range",
      IF(AND(C131&gt;268, C131&lt;=369), "Higher range",
         IF(C131&gt;369, "Highest range", "Not categorised"))))</f>
        <v>Lowest range</v>
      </c>
      <c r="E131" s="14">
        <v>0.87653632976226104</v>
      </c>
    </row>
    <row r="132" spans="1:5" x14ac:dyDescent="0.2">
      <c r="A132" t="s">
        <v>10</v>
      </c>
      <c r="B132" s="13" t="s">
        <v>55</v>
      </c>
      <c r="C132">
        <v>380</v>
      </c>
      <c r="D132" s="36" t="str">
        <f>IF(C132&lt;=165, "Lowest range",
   IF(AND(C132&gt;165, C132&lt;=268), "Lower range",
      IF(AND(C132&gt;268, C132&lt;=369), "Higher range",
         IF(C132&gt;369, "Highest range", "Not categorised"))))</f>
        <v>Highest range</v>
      </c>
      <c r="E132" s="14">
        <v>0.87967688893853102</v>
      </c>
    </row>
    <row r="133" spans="1:5" x14ac:dyDescent="0.2">
      <c r="A133" t="s">
        <v>10</v>
      </c>
      <c r="B133" s="13" t="s">
        <v>52</v>
      </c>
      <c r="C133">
        <v>245</v>
      </c>
      <c r="D133" s="36" t="str">
        <f>IF(C133&lt;=165, "Lowest range",
   IF(AND(C133&gt;165, C133&lt;=268), "Lower range",
      IF(AND(C133&gt;268, C133&lt;=369), "Higher range",
         IF(C133&gt;369, "Highest range", "Not categorised"))))</f>
        <v>Lower range</v>
      </c>
      <c r="E133" s="14">
        <v>0.96503686529440003</v>
      </c>
    </row>
    <row r="134" spans="1:5" x14ac:dyDescent="0.2">
      <c r="A134" t="s">
        <v>10</v>
      </c>
      <c r="B134" s="13" t="s">
        <v>52</v>
      </c>
      <c r="C134">
        <v>192</v>
      </c>
      <c r="D134" s="36" t="str">
        <f>IF(C134&lt;=165, "Lowest range",
   IF(AND(C134&gt;165, C134&lt;=268), "Lower range",
      IF(AND(C134&gt;268, C134&lt;=369), "Higher range",
         IF(C134&gt;369, "Highest range", "Not categorised"))))</f>
        <v>Lower range</v>
      </c>
      <c r="E134" s="14">
        <v>0.86165066949321301</v>
      </c>
    </row>
    <row r="135" spans="1:5" x14ac:dyDescent="0.2">
      <c r="A135" t="s">
        <v>10</v>
      </c>
      <c r="B135" s="13" t="s">
        <v>52</v>
      </c>
      <c r="C135">
        <v>288</v>
      </c>
      <c r="D135" s="36" t="str">
        <f>IF(C135&lt;=165, "Lowest range",
   IF(AND(C135&gt;165, C135&lt;=268), "Lower range",
      IF(AND(C135&gt;268, C135&lt;=369), "Higher range",
         IF(C135&gt;369, "Highest range", "Not categorised"))))</f>
        <v>Higher range</v>
      </c>
      <c r="E135" s="14">
        <v>0.92781087894987502</v>
      </c>
    </row>
    <row r="136" spans="1:5" x14ac:dyDescent="0.2">
      <c r="A136" t="s">
        <v>10</v>
      </c>
      <c r="B136" s="13" t="s">
        <v>53</v>
      </c>
      <c r="C136">
        <v>340</v>
      </c>
      <c r="D136" s="36" t="str">
        <f>IF(C136&lt;=165, "Lowest range",
   IF(AND(C136&gt;165, C136&lt;=268), "Lower range",
      IF(AND(C136&gt;268, C136&lt;=369), "Higher range",
         IF(C136&gt;369, "Highest range", "Not categorised"))))</f>
        <v>Higher range</v>
      </c>
      <c r="E136" s="14">
        <v>0.94424966930405496</v>
      </c>
    </row>
    <row r="137" spans="1:5" x14ac:dyDescent="0.2">
      <c r="A137" t="s">
        <v>10</v>
      </c>
      <c r="B137" s="13" t="s">
        <v>53</v>
      </c>
      <c r="C137">
        <v>385</v>
      </c>
      <c r="D137" s="36" t="str">
        <f>IF(C137&lt;=165, "Lowest range",
   IF(AND(C137&gt;165, C137&lt;=268), "Lower range",
      IF(AND(C137&gt;268, C137&lt;=369), "Higher range",
         IF(C137&gt;369, "Highest range", "Not categorised"))))</f>
        <v>Highest range</v>
      </c>
      <c r="E137" s="14">
        <v>0.89152753812583097</v>
      </c>
    </row>
    <row r="138" spans="1:5" x14ac:dyDescent="0.2">
      <c r="A138" t="s">
        <v>10</v>
      </c>
      <c r="B138" s="13" t="s">
        <v>53</v>
      </c>
      <c r="C138">
        <v>454</v>
      </c>
      <c r="D138" s="36" t="str">
        <f>IF(C138&lt;=165, "Lowest range",
   IF(AND(C138&gt;165, C138&lt;=268), "Lower range",
      IF(AND(C138&gt;268, C138&lt;=369), "Higher range",
         IF(C138&gt;369, "Highest range", "Not categorised"))))</f>
        <v>Highest range</v>
      </c>
      <c r="E138" s="14">
        <v>0.89438230542648101</v>
      </c>
    </row>
    <row r="139" spans="1:5" x14ac:dyDescent="0.2">
      <c r="A139" t="s">
        <v>10</v>
      </c>
      <c r="B139" s="13" t="s">
        <v>54</v>
      </c>
      <c r="C139">
        <v>255</v>
      </c>
      <c r="D139" s="36" t="str">
        <f>IF(C139&lt;=165, "Lowest range",
   IF(AND(C139&gt;165, C139&lt;=268), "Lower range",
      IF(AND(C139&gt;268, C139&lt;=369), "Higher range",
         IF(C139&gt;369, "Highest range", "Not categorised"))))</f>
        <v>Lower range</v>
      </c>
      <c r="E139" s="14">
        <v>0.90391743344812903</v>
      </c>
    </row>
    <row r="140" spans="1:5" x14ac:dyDescent="0.2">
      <c r="A140" t="s">
        <v>10</v>
      </c>
      <c r="B140" s="13" t="s">
        <v>54</v>
      </c>
      <c r="C140">
        <v>330</v>
      </c>
      <c r="D140" s="36" t="str">
        <f>IF(C140&lt;=165, "Lowest range",
   IF(AND(C140&gt;165, C140&lt;=268), "Lower range",
      IF(AND(C140&gt;268, C140&lt;=369), "Higher range",
         IF(C140&gt;369, "Highest range", "Not categorised"))))</f>
        <v>Higher range</v>
      </c>
      <c r="E140" s="14">
        <v>0.87100314820435298</v>
      </c>
    </row>
    <row r="141" spans="1:5" x14ac:dyDescent="0.2">
      <c r="A141" t="s">
        <v>10</v>
      </c>
      <c r="B141" s="13" t="s">
        <v>54</v>
      </c>
      <c r="C141">
        <v>319</v>
      </c>
      <c r="D141" s="36" t="str">
        <f>IF(C141&lt;=165, "Lowest range",
   IF(AND(C141&gt;165, C141&lt;=268), "Lower range",
      IF(AND(C141&gt;268, C141&lt;=369), "Higher range",
         IF(C141&gt;369, "Highest range", "Not categorised"))))</f>
        <v>Higher range</v>
      </c>
      <c r="E141" s="14">
        <v>0.8</v>
      </c>
    </row>
    <row r="142" spans="1:5" x14ac:dyDescent="0.2">
      <c r="A142" t="s">
        <v>10</v>
      </c>
      <c r="B142" s="13" t="s">
        <v>55</v>
      </c>
      <c r="C142">
        <v>430</v>
      </c>
      <c r="D142" s="36" t="str">
        <f>IF(C142&lt;=165, "Lowest range",
   IF(AND(C142&gt;165, C142&lt;=268), "Lower range",
      IF(AND(C142&gt;268, C142&lt;=369), "Higher range",
         IF(C142&gt;369, "Highest range", "Not categorised"))))</f>
        <v>Highest range</v>
      </c>
      <c r="E142" s="14">
        <v>0.88568040632516098</v>
      </c>
    </row>
    <row r="143" spans="1:5" x14ac:dyDescent="0.2">
      <c r="A143" t="s">
        <v>10</v>
      </c>
      <c r="B143" s="13" t="s">
        <v>55</v>
      </c>
      <c r="C143">
        <v>190</v>
      </c>
      <c r="D143" s="36" t="str">
        <f>IF(C143&lt;=165, "Lowest range",
   IF(AND(C143&gt;165, C143&lt;=268), "Lower range",
      IF(AND(C143&gt;268, C143&lt;=369), "Higher range",
         IF(C143&gt;369, "Highest range", "Not categorised"))))</f>
        <v>Lower range</v>
      </c>
      <c r="E143" s="14">
        <v>0.91962325705632897</v>
      </c>
    </row>
    <row r="144" spans="1:5" x14ac:dyDescent="0.2">
      <c r="A144" t="s">
        <v>10</v>
      </c>
      <c r="B144" s="13" t="s">
        <v>55</v>
      </c>
      <c r="C144">
        <v>117</v>
      </c>
      <c r="D144" s="36" t="str">
        <f>IF(C144&lt;=165, "Lowest range",
   IF(AND(C144&gt;165, C144&lt;=268), "Lower range",
      IF(AND(C144&gt;268, C144&lt;=369), "Higher range",
         IF(C144&gt;369, "Highest range", "Not categorised"))))</f>
        <v>Lowest range</v>
      </c>
      <c r="E144" s="14">
        <v>0.91860843407360404</v>
      </c>
    </row>
    <row r="145" spans="1:5" x14ac:dyDescent="0.2">
      <c r="A145" t="s">
        <v>10</v>
      </c>
      <c r="B145" s="13" t="s">
        <v>52</v>
      </c>
      <c r="C145">
        <v>145</v>
      </c>
      <c r="D145" s="36" t="str">
        <f>IF(C145&lt;=165, "Lowest range",
   IF(AND(C145&gt;165, C145&lt;=268), "Lower range",
      IF(AND(C145&gt;268, C145&lt;=369), "Higher range",
         IF(C145&gt;369, "Highest range", "Not categorised"))))</f>
        <v>Lowest range</v>
      </c>
      <c r="E145" s="14">
        <v>0.90567345183577397</v>
      </c>
    </row>
    <row r="146" spans="1:5" x14ac:dyDescent="0.2">
      <c r="A146" t="s">
        <v>13</v>
      </c>
      <c r="B146" s="13" t="s">
        <v>52</v>
      </c>
      <c r="C146">
        <v>126</v>
      </c>
      <c r="D146" s="36" t="str">
        <f>IF(C146&lt;=165, "Lowest range",
   IF(AND(C146&gt;165, C146&lt;=268), "Lower range",
      IF(AND(C146&gt;268, C146&lt;=369), "Higher range",
         IF(C146&gt;369, "Highest range", "Not categorised"))))</f>
        <v>Lowest range</v>
      </c>
      <c r="E146" s="14">
        <v>0.96631710989936104</v>
      </c>
    </row>
    <row r="147" spans="1:5" x14ac:dyDescent="0.2">
      <c r="A147" t="s">
        <v>13</v>
      </c>
      <c r="B147" s="13" t="s">
        <v>52</v>
      </c>
      <c r="C147">
        <v>340</v>
      </c>
      <c r="D147" s="36" t="str">
        <f>IF(C147&lt;=165, "Lowest range",
   IF(AND(C147&gt;165, C147&lt;=268), "Lower range",
      IF(AND(C147&gt;268, C147&lt;=369), "Higher range",
         IF(C147&gt;369, "Highest range", "Not categorised"))))</f>
        <v>Higher range</v>
      </c>
      <c r="E147" s="14">
        <v>0.92090935392338702</v>
      </c>
    </row>
    <row r="148" spans="1:5" x14ac:dyDescent="0.2">
      <c r="A148" t="s">
        <v>13</v>
      </c>
      <c r="B148" s="13" t="s">
        <v>53</v>
      </c>
      <c r="C148">
        <v>423</v>
      </c>
      <c r="D148" s="36" t="str">
        <f>IF(C148&lt;=165, "Lowest range",
   IF(AND(C148&gt;165, C148&lt;=268), "Lower range",
      IF(AND(C148&gt;268, C148&lt;=369), "Higher range",
         IF(C148&gt;369, "Highest range", "Not categorised"))))</f>
        <v>Highest range</v>
      </c>
      <c r="E148" s="14">
        <v>0.89820022940113797</v>
      </c>
    </row>
    <row r="149" spans="1:5" x14ac:dyDescent="0.2">
      <c r="A149" t="s">
        <v>13</v>
      </c>
      <c r="B149" s="13" t="s">
        <v>53</v>
      </c>
      <c r="C149">
        <v>237</v>
      </c>
      <c r="D149" s="36" t="str">
        <f>IF(C149&lt;=165, "Lowest range",
   IF(AND(C149&gt;165, C149&lt;=268), "Lower range",
      IF(AND(C149&gt;268, C149&lt;=369), "Higher range",
         IF(C149&gt;369, "Highest range", "Not categorised"))))</f>
        <v>Lower range</v>
      </c>
      <c r="E149" s="14">
        <v>0.899290098779433</v>
      </c>
    </row>
    <row r="150" spans="1:5" x14ac:dyDescent="0.2">
      <c r="A150" t="s">
        <v>13</v>
      </c>
      <c r="B150" s="13" t="s">
        <v>53</v>
      </c>
      <c r="C150">
        <v>91</v>
      </c>
      <c r="D150" s="36" t="str">
        <f>IF(C150&lt;=165, "Lowest range",
   IF(AND(C150&gt;165, C150&lt;=268), "Lower range",
      IF(AND(C150&gt;268, C150&lt;=369), "Higher range",
         IF(C150&gt;369, "Highest range", "Not categorised"))))</f>
        <v>Lowest range</v>
      </c>
      <c r="E150" s="14">
        <v>0.80971972635466105</v>
      </c>
    </row>
    <row r="151" spans="1:5" x14ac:dyDescent="0.2">
      <c r="A151" t="s">
        <v>13</v>
      </c>
      <c r="B151" s="13" t="s">
        <v>54</v>
      </c>
      <c r="C151">
        <v>278</v>
      </c>
      <c r="D151" s="36" t="str">
        <f>IF(C151&lt;=165, "Lowest range",
   IF(AND(C151&gt;165, C151&lt;=268), "Lower range",
      IF(AND(C151&gt;268, C151&lt;=369), "Higher range",
         IF(C151&gt;369, "Highest range", "Not categorised"))))</f>
        <v>Higher range</v>
      </c>
      <c r="E151" s="14">
        <v>0.942438325130321</v>
      </c>
    </row>
    <row r="152" spans="1:5" x14ac:dyDescent="0.2">
      <c r="A152" t="s">
        <v>13</v>
      </c>
      <c r="B152" s="13" t="s">
        <v>54</v>
      </c>
      <c r="C152">
        <v>402</v>
      </c>
      <c r="D152" s="36" t="str">
        <f>IF(C152&lt;=165, "Lowest range",
   IF(AND(C152&gt;165, C152&lt;=268), "Lower range",
      IF(AND(C152&gt;268, C152&lt;=369), "Higher range",
         IF(C152&gt;369, "Highest range", "Not categorised"))))</f>
        <v>Highest range</v>
      </c>
      <c r="E152" s="14">
        <v>0.96301037030394199</v>
      </c>
    </row>
    <row r="153" spans="1:5" x14ac:dyDescent="0.2">
      <c r="A153" t="s">
        <v>13</v>
      </c>
      <c r="B153" s="13" t="s">
        <v>54</v>
      </c>
      <c r="C153">
        <v>98</v>
      </c>
      <c r="D153" s="36" t="str">
        <f>IF(C153&lt;=165, "Lowest range",
   IF(AND(C153&gt;165, C153&lt;=268), "Lower range",
      IF(AND(C153&gt;268, C153&lt;=369), "Higher range",
         IF(C153&gt;369, "Highest range", "Not categorised"))))</f>
        <v>Lowest range</v>
      </c>
      <c r="E153" s="14">
        <v>0.94275543160773401</v>
      </c>
    </row>
    <row r="154" spans="1:5" x14ac:dyDescent="0.2">
      <c r="A154" t="s">
        <v>13</v>
      </c>
      <c r="B154" s="13" t="s">
        <v>55</v>
      </c>
      <c r="C154">
        <v>76</v>
      </c>
      <c r="D154" s="36" t="str">
        <f>IF(C154&lt;=165, "Lowest range",
   IF(AND(C154&gt;165, C154&lt;=268), "Lower range",
      IF(AND(C154&gt;268, C154&lt;=369), "Higher range",
         IF(C154&gt;369, "Highest range", "Not categorised"))))</f>
        <v>Lowest range</v>
      </c>
      <c r="E154" s="14">
        <v>0.92274859453004798</v>
      </c>
    </row>
    <row r="155" spans="1:5" x14ac:dyDescent="0.2">
      <c r="A155" t="s">
        <v>13</v>
      </c>
      <c r="B155" s="13" t="s">
        <v>55</v>
      </c>
      <c r="C155">
        <v>99</v>
      </c>
      <c r="D155" s="36" t="str">
        <f>IF(C155&lt;=165, "Lowest range",
   IF(AND(C155&gt;165, C155&lt;=268), "Lower range",
      IF(AND(C155&gt;268, C155&lt;=369), "Higher range",
         IF(C155&gt;369, "Highest range", "Not categorised"))))</f>
        <v>Lowest range</v>
      </c>
      <c r="E155" s="14">
        <v>0.8</v>
      </c>
    </row>
    <row r="156" spans="1:5" x14ac:dyDescent="0.2">
      <c r="A156" t="s">
        <v>13</v>
      </c>
      <c r="B156" s="13" t="s">
        <v>55</v>
      </c>
      <c r="C156">
        <v>391</v>
      </c>
      <c r="D156" s="36" t="str">
        <f>IF(C156&lt;=165, "Lowest range",
   IF(AND(C156&gt;165, C156&lt;=268), "Lower range",
      IF(AND(C156&gt;268, C156&lt;=369), "Higher range",
         IF(C156&gt;369, "Highest range", "Not categorised"))))</f>
        <v>Highest range</v>
      </c>
      <c r="E156" s="14">
        <v>0.93268559401280904</v>
      </c>
    </row>
    <row r="157" spans="1:5" x14ac:dyDescent="0.2">
      <c r="A157" t="s">
        <v>13</v>
      </c>
      <c r="B157" s="13" t="s">
        <v>52</v>
      </c>
      <c r="C157">
        <v>151</v>
      </c>
      <c r="D157" s="36" t="str">
        <f>IF(C157&lt;=165, "Lowest range",
   IF(AND(C157&gt;165, C157&lt;=268), "Lower range",
      IF(AND(C157&gt;268, C157&lt;=369), "Higher range",
         IF(C157&gt;369, "Highest range", "Not categorised"))))</f>
        <v>Lowest range</v>
      </c>
      <c r="E157" s="14">
        <v>0.83777708000810802</v>
      </c>
    </row>
    <row r="158" spans="1:5" x14ac:dyDescent="0.2">
      <c r="A158" t="s">
        <v>13</v>
      </c>
      <c r="B158" s="13" t="s">
        <v>52</v>
      </c>
      <c r="C158">
        <v>313</v>
      </c>
      <c r="D158" s="36" t="str">
        <f>IF(C158&lt;=165, "Lowest range",
   IF(AND(C158&gt;165, C158&lt;=268), "Lower range",
      IF(AND(C158&gt;268, C158&lt;=369), "Higher range",
         IF(C158&gt;369, "Highest range", "Not categorised"))))</f>
        <v>Higher range</v>
      </c>
      <c r="E158" s="14">
        <v>0.85842490285219497</v>
      </c>
    </row>
    <row r="159" spans="1:5" x14ac:dyDescent="0.2">
      <c r="A159" t="s">
        <v>13</v>
      </c>
      <c r="B159" s="13" t="s">
        <v>52</v>
      </c>
      <c r="C159">
        <v>336</v>
      </c>
      <c r="D159" s="36" t="str">
        <f>IF(C159&lt;=165, "Lowest range",
   IF(AND(C159&gt;165, C159&lt;=268), "Lower range",
      IF(AND(C159&gt;268, C159&lt;=369), "Higher range",
         IF(C159&gt;369, "Highest range", "Not categorised"))))</f>
        <v>Higher range</v>
      </c>
      <c r="E159" s="14">
        <v>0.91909195304204905</v>
      </c>
    </row>
    <row r="160" spans="1:5" x14ac:dyDescent="0.2">
      <c r="A160" t="s">
        <v>13</v>
      </c>
      <c r="B160" s="13" t="s">
        <v>53</v>
      </c>
      <c r="C160">
        <v>207</v>
      </c>
      <c r="D160" s="36" t="str">
        <f>IF(C160&lt;=165, "Lowest range",
   IF(AND(C160&gt;165, C160&lt;=268), "Lower range",
      IF(AND(C160&gt;268, C160&lt;=369), "Higher range",
         IF(C160&gt;369, "Highest range", "Not categorised"))))</f>
        <v>Lower range</v>
      </c>
      <c r="E160" s="14">
        <v>0.84601546487488199</v>
      </c>
    </row>
    <row r="161" spans="1:5" x14ac:dyDescent="0.2">
      <c r="A161" t="s">
        <v>13</v>
      </c>
      <c r="B161" s="13" t="s">
        <v>53</v>
      </c>
      <c r="C161">
        <v>449</v>
      </c>
      <c r="D161" s="36" t="str">
        <f>IF(C161&lt;=165, "Lowest range",
   IF(AND(C161&gt;165, C161&lt;=268), "Lower range",
      IF(AND(C161&gt;268, C161&lt;=369), "Higher range",
         IF(C161&gt;369, "Highest range", "Not categorised"))))</f>
        <v>Highest range</v>
      </c>
      <c r="E161" s="14">
        <v>0.96541120389127699</v>
      </c>
    </row>
    <row r="162" spans="1:5" x14ac:dyDescent="0.2">
      <c r="A162" t="s">
        <v>13</v>
      </c>
      <c r="B162" s="13" t="s">
        <v>53</v>
      </c>
      <c r="C162">
        <v>286</v>
      </c>
      <c r="D162" s="36" t="str">
        <f>IF(C162&lt;=165, "Lowest range",
   IF(AND(C162&gt;165, C162&lt;=268), "Lower range",
      IF(AND(C162&gt;268, C162&lt;=369), "Higher range",
         IF(C162&gt;369, "Highest range", "Not categorised"))))</f>
        <v>Higher range</v>
      </c>
      <c r="E162" s="14">
        <v>0.88217641813158298</v>
      </c>
    </row>
    <row r="163" spans="1:5" x14ac:dyDescent="0.2">
      <c r="A163" t="s">
        <v>13</v>
      </c>
      <c r="B163" s="13" t="s">
        <v>54</v>
      </c>
      <c r="C163">
        <v>54</v>
      </c>
      <c r="D163" s="36" t="str">
        <f>IF(C163&lt;=165, "Lowest range",
   IF(AND(C163&gt;165, C163&lt;=268), "Lower range",
      IF(AND(C163&gt;268, C163&lt;=369), "Higher range",
         IF(C163&gt;369, "Highest range", "Not categorised"))))</f>
        <v>Lowest range</v>
      </c>
      <c r="E163" s="14">
        <v>0.93355185063399004</v>
      </c>
    </row>
    <row r="164" spans="1:5" x14ac:dyDescent="0.2">
      <c r="A164" t="s">
        <v>13</v>
      </c>
      <c r="B164" s="13" t="s">
        <v>54</v>
      </c>
      <c r="C164">
        <v>335</v>
      </c>
      <c r="D164" s="36" t="str">
        <f>IF(C164&lt;=165, "Lowest range",
   IF(AND(C164&gt;165, C164&lt;=268), "Lower range",
      IF(AND(C164&gt;268, C164&lt;=369), "Higher range",
         IF(C164&gt;369, "Highest range", "Not categorised"))))</f>
        <v>Higher range</v>
      </c>
      <c r="E164" s="14">
        <v>0.80720811145248295</v>
      </c>
    </row>
    <row r="165" spans="1:5" x14ac:dyDescent="0.2">
      <c r="A165" t="s">
        <v>13</v>
      </c>
      <c r="B165" s="13" t="s">
        <v>54</v>
      </c>
      <c r="C165">
        <v>210</v>
      </c>
      <c r="D165" s="36" t="str">
        <f>IF(C165&lt;=165, "Lowest range",
   IF(AND(C165&gt;165, C165&lt;=268), "Lower range",
      IF(AND(C165&gt;268, C165&lt;=369), "Higher range",
         IF(C165&gt;369, "Highest range", "Not categorised"))))</f>
        <v>Lower range</v>
      </c>
      <c r="E165" s="14">
        <v>0.93141534627355804</v>
      </c>
    </row>
    <row r="166" spans="1:5" x14ac:dyDescent="0.2">
      <c r="A166" t="s">
        <v>13</v>
      </c>
      <c r="B166" s="13" t="s">
        <v>55</v>
      </c>
      <c r="C166">
        <v>200</v>
      </c>
      <c r="D166" s="36" t="str">
        <f>IF(C166&lt;=165, "Lowest range",
   IF(AND(C166&gt;165, C166&lt;=268), "Lower range",
      IF(AND(C166&gt;268, C166&lt;=369), "Higher range",
         IF(C166&gt;369, "Highest range", "Not categorised"))))</f>
        <v>Lower range</v>
      </c>
      <c r="E166" s="14">
        <v>0.88304773483951304</v>
      </c>
    </row>
    <row r="167" spans="1:5" x14ac:dyDescent="0.2">
      <c r="A167" t="s">
        <v>13</v>
      </c>
      <c r="B167" s="13" t="s">
        <v>55</v>
      </c>
      <c r="C167">
        <v>307</v>
      </c>
      <c r="D167" s="36" t="str">
        <f>IF(C167&lt;=165, "Lowest range",
   IF(AND(C167&gt;165, C167&lt;=268), "Lower range",
      IF(AND(C167&gt;268, C167&lt;=369), "Higher range",
         IF(C167&gt;369, "Highest range", "Not categorised"))))</f>
        <v>Higher range</v>
      </c>
      <c r="E167" s="14">
        <v>0.88290561319143501</v>
      </c>
    </row>
    <row r="168" spans="1:5" x14ac:dyDescent="0.2">
      <c r="A168" t="s">
        <v>13</v>
      </c>
      <c r="B168" s="13" t="s">
        <v>55</v>
      </c>
      <c r="C168">
        <v>239</v>
      </c>
      <c r="D168" s="36" t="str">
        <f>IF(C168&lt;=165, "Lowest range",
   IF(AND(C168&gt;165, C168&lt;=268), "Lower range",
      IF(AND(C168&gt;268, C168&lt;=369), "Higher range",
         IF(C168&gt;369, "Highest range", "Not categorised"))))</f>
        <v>Lower range</v>
      </c>
      <c r="E168" s="14">
        <v>0.929179423498663</v>
      </c>
    </row>
    <row r="169" spans="1:5" x14ac:dyDescent="0.2">
      <c r="A169" t="s">
        <v>13</v>
      </c>
      <c r="B169" s="13" t="s">
        <v>52</v>
      </c>
      <c r="C169">
        <v>468</v>
      </c>
      <c r="D169" s="36" t="str">
        <f>IF(C169&lt;=165, "Lowest range",
   IF(AND(C169&gt;165, C169&lt;=268), "Lower range",
      IF(AND(C169&gt;268, C169&lt;=369), "Higher range",
         IF(C169&gt;369, "Highest range", "Not categorised"))))</f>
        <v>Highest range</v>
      </c>
      <c r="E169" s="14">
        <v>0.94090935680529497</v>
      </c>
    </row>
    <row r="170" spans="1:5" x14ac:dyDescent="0.2">
      <c r="A170" t="s">
        <v>13</v>
      </c>
      <c r="B170" s="13" t="s">
        <v>52</v>
      </c>
      <c r="C170">
        <v>150</v>
      </c>
      <c r="D170" s="36" t="str">
        <f>IF(C170&lt;=165, "Lowest range",
   IF(AND(C170&gt;165, C170&lt;=268), "Lower range",
      IF(AND(C170&gt;268, C170&lt;=369), "Higher range",
         IF(C170&gt;369, "Highest range", "Not categorised"))))</f>
        <v>Lowest range</v>
      </c>
      <c r="E170" s="14">
        <v>0.81309097638317196</v>
      </c>
    </row>
    <row r="171" spans="1:5" x14ac:dyDescent="0.2">
      <c r="A171" t="s">
        <v>13</v>
      </c>
      <c r="B171" s="13" t="s">
        <v>52</v>
      </c>
      <c r="C171">
        <v>215</v>
      </c>
      <c r="D171" s="36" t="str">
        <f>IF(C171&lt;=165, "Lowest range",
   IF(AND(C171&gt;165, C171&lt;=268), "Lower range",
      IF(AND(C171&gt;268, C171&lt;=369), "Higher range",
         IF(C171&gt;369, "Highest range", "Not categorised"))))</f>
        <v>Lower range</v>
      </c>
      <c r="E171" s="14">
        <v>0.82308150005159397</v>
      </c>
    </row>
    <row r="172" spans="1:5" x14ac:dyDescent="0.2">
      <c r="A172" t="s">
        <v>13</v>
      </c>
      <c r="B172" s="13" t="s">
        <v>53</v>
      </c>
      <c r="C172">
        <v>207</v>
      </c>
      <c r="D172" s="36" t="str">
        <f>IF(C172&lt;=165, "Lowest range",
   IF(AND(C172&gt;165, C172&lt;=268), "Lower range",
      IF(AND(C172&gt;268, C172&lt;=369), "Higher range",
         IF(C172&gt;369, "Highest range", "Not categorised"))))</f>
        <v>Lower range</v>
      </c>
      <c r="E172" s="14">
        <v>1</v>
      </c>
    </row>
    <row r="173" spans="1:5" x14ac:dyDescent="0.2">
      <c r="A173" t="s">
        <v>13</v>
      </c>
      <c r="B173" s="13" t="s">
        <v>53</v>
      </c>
      <c r="C173">
        <v>63</v>
      </c>
      <c r="D173" s="36" t="str">
        <f>IF(C173&lt;=165, "Lowest range",
   IF(AND(C173&gt;165, C173&lt;=268), "Lower range",
      IF(AND(C173&gt;268, C173&lt;=369), "Higher range",
         IF(C173&gt;369, "Highest range", "Not categorised"))))</f>
        <v>Lowest range</v>
      </c>
      <c r="E173" s="14">
        <v>0.90948140616527196</v>
      </c>
    </row>
    <row r="174" spans="1:5" x14ac:dyDescent="0.2">
      <c r="A174" t="s">
        <v>13</v>
      </c>
      <c r="B174" s="13" t="s">
        <v>53</v>
      </c>
      <c r="C174">
        <v>396</v>
      </c>
      <c r="D174" s="36" t="str">
        <f>IF(C174&lt;=165, "Lowest range",
   IF(AND(C174&gt;165, C174&lt;=268), "Lower range",
      IF(AND(C174&gt;268, C174&lt;=369), "Higher range",
         IF(C174&gt;369, "Highest range", "Not categorised"))))</f>
        <v>Highest range</v>
      </c>
      <c r="E174" s="14">
        <v>0.89151829404524197</v>
      </c>
    </row>
    <row r="175" spans="1:5" x14ac:dyDescent="0.2">
      <c r="A175" t="s">
        <v>13</v>
      </c>
      <c r="B175" s="13" t="s">
        <v>54</v>
      </c>
      <c r="C175">
        <v>315</v>
      </c>
      <c r="D175" s="36" t="str">
        <f>IF(C175&lt;=165, "Lowest range",
   IF(AND(C175&gt;165, C175&lt;=268), "Lower range",
      IF(AND(C175&gt;268, C175&lt;=369), "Higher range",
         IF(C175&gt;369, "Highest range", "Not categorised"))))</f>
        <v>Higher range</v>
      </c>
      <c r="E175" s="14">
        <v>0.92052379219472202</v>
      </c>
    </row>
    <row r="176" spans="1:5" x14ac:dyDescent="0.2">
      <c r="A176" t="s">
        <v>13</v>
      </c>
      <c r="B176" s="13" t="s">
        <v>54</v>
      </c>
      <c r="C176">
        <v>338</v>
      </c>
      <c r="D176" s="36" t="str">
        <f>IF(C176&lt;=165, "Lowest range",
   IF(AND(C176&gt;165, C176&lt;=268), "Lower range",
      IF(AND(C176&gt;268, C176&lt;=369), "Higher range",
         IF(C176&gt;369, "Highest range", "Not categorised"))))</f>
        <v>Higher range</v>
      </c>
      <c r="E176" s="14">
        <v>0.85980114631796301</v>
      </c>
    </row>
    <row r="177" spans="1:5" x14ac:dyDescent="0.2">
      <c r="A177" t="s">
        <v>13</v>
      </c>
      <c r="B177" s="13" t="s">
        <v>54</v>
      </c>
      <c r="C177">
        <v>385</v>
      </c>
      <c r="D177" s="36" t="str">
        <f>IF(C177&lt;=165, "Lowest range",
   IF(AND(C177&gt;165, C177&lt;=268), "Lower range",
      IF(AND(C177&gt;268, C177&lt;=369), "Higher range",
         IF(C177&gt;369, "Highest range", "Not categorised"))))</f>
        <v>Highest range</v>
      </c>
      <c r="E177" s="14">
        <v>0.95558592837620904</v>
      </c>
    </row>
    <row r="178" spans="1:5" x14ac:dyDescent="0.2">
      <c r="A178" t="s">
        <v>13</v>
      </c>
      <c r="B178" s="13" t="s">
        <v>55</v>
      </c>
      <c r="C178">
        <v>474</v>
      </c>
      <c r="D178" s="36" t="str">
        <f>IF(C178&lt;=165, "Lowest range",
   IF(AND(C178&gt;165, C178&lt;=268), "Lower range",
      IF(AND(C178&gt;268, C178&lt;=369), "Higher range",
         IF(C178&gt;369, "Highest range", "Not categorised"))))</f>
        <v>Highest range</v>
      </c>
      <c r="E178" s="14">
        <v>0.96693108671952199</v>
      </c>
    </row>
    <row r="179" spans="1:5" x14ac:dyDescent="0.2">
      <c r="A179" t="s">
        <v>13</v>
      </c>
      <c r="B179" s="13" t="s">
        <v>55</v>
      </c>
      <c r="C179">
        <v>454</v>
      </c>
      <c r="D179" s="36" t="str">
        <f>IF(C179&lt;=165, "Lowest range",
   IF(AND(C179&gt;165, C179&lt;=268), "Lower range",
      IF(AND(C179&gt;268, C179&lt;=369), "Higher range",
         IF(C179&gt;369, "Highest range", "Not categorised"))))</f>
        <v>Highest range</v>
      </c>
      <c r="E179" s="14">
        <v>0.92865660263462402</v>
      </c>
    </row>
    <row r="180" spans="1:5" x14ac:dyDescent="0.2">
      <c r="A180" t="s">
        <v>13</v>
      </c>
      <c r="B180" s="13" t="s">
        <v>55</v>
      </c>
      <c r="C180">
        <v>61</v>
      </c>
      <c r="D180" s="36" t="str">
        <f>IF(C180&lt;=165, "Lowest range",
   IF(AND(C180&gt;165, C180&lt;=268), "Lower range",
      IF(AND(C180&gt;268, C180&lt;=369), "Higher range",
         IF(C180&gt;369, "Highest range", "Not categorised"))))</f>
        <v>Lowest range</v>
      </c>
      <c r="E180" s="14">
        <v>0.99823475239844495</v>
      </c>
    </row>
    <row r="181" spans="1:5" x14ac:dyDescent="0.2">
      <c r="A181" t="s">
        <v>13</v>
      </c>
      <c r="B181" s="13" t="s">
        <v>52</v>
      </c>
      <c r="C181">
        <v>80</v>
      </c>
      <c r="D181" s="36" t="str">
        <f>IF(C181&lt;=165, "Lowest range",
   IF(AND(C181&gt;165, C181&lt;=268), "Lower range",
      IF(AND(C181&gt;268, C181&lt;=369), "Higher range",
         IF(C181&gt;369, "Highest range", "Not categorised"))))</f>
        <v>Lowest range</v>
      </c>
      <c r="E181" s="14">
        <v>0.92948610463706904</v>
      </c>
    </row>
    <row r="182" spans="1:5" x14ac:dyDescent="0.2">
      <c r="A182" t="s">
        <v>12</v>
      </c>
      <c r="B182" s="13" t="s">
        <v>52</v>
      </c>
      <c r="C182">
        <v>127</v>
      </c>
      <c r="D182" s="36" t="str">
        <f>IF(C182&lt;=165, "Lowest range",
   IF(AND(C182&gt;165, C182&lt;=268), "Lower range",
      IF(AND(C182&gt;268, C182&lt;=369), "Higher range",
         IF(C182&gt;369, "Highest range", "Not categorised"))))</f>
        <v>Lowest range</v>
      </c>
      <c r="E182" s="14">
        <v>0.92182125647465396</v>
      </c>
    </row>
    <row r="183" spans="1:5" x14ac:dyDescent="0.2">
      <c r="A183" t="s">
        <v>12</v>
      </c>
      <c r="B183" s="13" t="s">
        <v>52</v>
      </c>
      <c r="C183">
        <v>369</v>
      </c>
      <c r="D183" s="36" t="str">
        <f>IF(C183&lt;=165, "Lowest range",
   IF(AND(C183&gt;165, C183&lt;=268), "Lower range",
      IF(AND(C183&gt;268, C183&lt;=369), "Higher range",
         IF(C183&gt;369, "Highest range", "Not categorised"))))</f>
        <v>Higher range</v>
      </c>
      <c r="E183" s="14">
        <v>0.90139757276222299</v>
      </c>
    </row>
    <row r="184" spans="1:5" x14ac:dyDescent="0.2">
      <c r="A184" t="s">
        <v>12</v>
      </c>
      <c r="B184" s="13" t="s">
        <v>53</v>
      </c>
      <c r="C184">
        <v>91</v>
      </c>
      <c r="D184" s="36" t="str">
        <f>IF(C184&lt;=165, "Lowest range",
   IF(AND(C184&gt;165, C184&lt;=268), "Lower range",
      IF(AND(C184&gt;268, C184&lt;=369), "Higher range",
         IF(C184&gt;369, "Highest range", "Not categorised"))))</f>
        <v>Lowest range</v>
      </c>
      <c r="E184" s="14">
        <v>0.845193848763096</v>
      </c>
    </row>
    <row r="185" spans="1:5" x14ac:dyDescent="0.2">
      <c r="A185" t="s">
        <v>12</v>
      </c>
      <c r="B185" s="13" t="s">
        <v>53</v>
      </c>
      <c r="C185">
        <v>268</v>
      </c>
      <c r="D185" s="36" t="str">
        <f>IF(C185&lt;=165, "Lowest range",
   IF(AND(C185&gt;165, C185&lt;=268), "Lower range",
      IF(AND(C185&gt;268, C185&lt;=369), "Higher range",
         IF(C185&gt;369, "Highest range", "Not categorised"))))</f>
        <v>Lower range</v>
      </c>
      <c r="E185" s="14">
        <v>0.90628755862677102</v>
      </c>
    </row>
    <row r="186" spans="1:5" x14ac:dyDescent="0.2">
      <c r="A186" t="s">
        <v>12</v>
      </c>
      <c r="B186" s="13" t="s">
        <v>53</v>
      </c>
      <c r="C186">
        <v>151</v>
      </c>
      <c r="D186" s="36" t="str">
        <f>IF(C186&lt;=165, "Lowest range",
   IF(AND(C186&gt;165, C186&lt;=268), "Lower range",
      IF(AND(C186&gt;268, C186&lt;=369), "Higher range",
         IF(C186&gt;369, "Highest range", "Not categorised"))))</f>
        <v>Lowest range</v>
      </c>
      <c r="E186" s="14">
        <v>1</v>
      </c>
    </row>
    <row r="187" spans="1:5" x14ac:dyDescent="0.2">
      <c r="A187" t="s">
        <v>12</v>
      </c>
      <c r="B187" s="13" t="s">
        <v>54</v>
      </c>
      <c r="C187">
        <v>281</v>
      </c>
      <c r="D187" s="36" t="str">
        <f>IF(C187&lt;=165, "Lowest range",
   IF(AND(C187&gt;165, C187&lt;=268), "Lower range",
      IF(AND(C187&gt;268, C187&lt;=369), "Higher range",
         IF(C187&gt;369, "Highest range", "Not categorised"))))</f>
        <v>Higher range</v>
      </c>
      <c r="E187" s="14">
        <v>0.92714132796595095</v>
      </c>
    </row>
    <row r="188" spans="1:5" x14ac:dyDescent="0.2">
      <c r="A188" t="s">
        <v>12</v>
      </c>
      <c r="B188" s="13" t="s">
        <v>54</v>
      </c>
      <c r="C188">
        <v>185</v>
      </c>
      <c r="D188" s="36" t="str">
        <f>IF(C188&lt;=165, "Lowest range",
   IF(AND(C188&gt;165, C188&lt;=268), "Lower range",
      IF(AND(C188&gt;268, C188&lt;=369), "Higher range",
         IF(C188&gt;369, "Highest range", "Not categorised"))))</f>
        <v>Lower range</v>
      </c>
      <c r="E188" s="14">
        <v>0.908541594920664</v>
      </c>
    </row>
    <row r="189" spans="1:5" x14ac:dyDescent="0.2">
      <c r="A189" t="s">
        <v>12</v>
      </c>
      <c r="B189" s="13" t="s">
        <v>54</v>
      </c>
      <c r="C189">
        <v>318</v>
      </c>
      <c r="D189" s="36" t="str">
        <f>IF(C189&lt;=165, "Lowest range",
   IF(AND(C189&gt;165, C189&lt;=268), "Lower range",
      IF(AND(C189&gt;268, C189&lt;=369), "Higher range",
         IF(C189&gt;369, "Highest range", "Not categorised"))))</f>
        <v>Higher range</v>
      </c>
      <c r="E189" s="14">
        <v>0.93551662481193099</v>
      </c>
    </row>
    <row r="190" spans="1:5" x14ac:dyDescent="0.2">
      <c r="A190" t="s">
        <v>12</v>
      </c>
      <c r="B190" s="13" t="s">
        <v>55</v>
      </c>
      <c r="C190">
        <v>477</v>
      </c>
      <c r="D190" s="36" t="str">
        <f>IF(C190&lt;=165, "Lowest range",
   IF(AND(C190&gt;165, C190&lt;=268), "Lower range",
      IF(AND(C190&gt;268, C190&lt;=369), "Higher range",
         IF(C190&gt;369, "Highest range", "Not categorised"))))</f>
        <v>Highest range</v>
      </c>
      <c r="E190" s="14">
        <v>0.86530658395959903</v>
      </c>
    </row>
    <row r="191" spans="1:5" x14ac:dyDescent="0.2">
      <c r="A191" t="s">
        <v>12</v>
      </c>
      <c r="B191" s="13" t="s">
        <v>55</v>
      </c>
      <c r="C191">
        <v>249</v>
      </c>
      <c r="D191" s="36" t="str">
        <f>IF(C191&lt;=165, "Lowest range",
   IF(AND(C191&gt;165, C191&lt;=268), "Lower range",
      IF(AND(C191&gt;268, C191&lt;=369), "Higher range",
         IF(C191&gt;369, "Highest range", "Not categorised"))))</f>
        <v>Lower range</v>
      </c>
      <c r="E191" s="14">
        <v>0.87026970830802397</v>
      </c>
    </row>
    <row r="192" spans="1:5" x14ac:dyDescent="0.2">
      <c r="A192" t="s">
        <v>12</v>
      </c>
      <c r="B192" s="13" t="s">
        <v>55</v>
      </c>
      <c r="C192">
        <v>308</v>
      </c>
      <c r="D192" s="36" t="str">
        <f>IF(C192&lt;=165, "Lowest range",
   IF(AND(C192&gt;165, C192&lt;=268), "Lower range",
      IF(AND(C192&gt;268, C192&lt;=369), "Higher range",
         IF(C192&gt;369, "Highest range", "Not categorised"))))</f>
        <v>Higher range</v>
      </c>
      <c r="E192" s="14">
        <v>0.90093901521582198</v>
      </c>
    </row>
    <row r="193" spans="1:5" x14ac:dyDescent="0.2">
      <c r="A193" t="s">
        <v>12</v>
      </c>
      <c r="B193" s="13" t="s">
        <v>52</v>
      </c>
      <c r="C193">
        <v>307</v>
      </c>
      <c r="D193" s="36" t="str">
        <f>IF(C193&lt;=165, "Lowest range",
   IF(AND(C193&gt;165, C193&lt;=268), "Lower range",
      IF(AND(C193&gt;268, C193&lt;=369), "Higher range",
         IF(C193&gt;369, "Highest range", "Not categorised"))))</f>
        <v>Higher range</v>
      </c>
      <c r="E193" s="14">
        <v>1</v>
      </c>
    </row>
    <row r="194" spans="1:5" x14ac:dyDescent="0.2">
      <c r="A194" t="s">
        <v>12</v>
      </c>
      <c r="B194" s="13" t="s">
        <v>52</v>
      </c>
      <c r="C194">
        <v>165</v>
      </c>
      <c r="D194" s="36" t="str">
        <f>IF(C194&lt;=165, "Lowest range",
   IF(AND(C194&gt;165, C194&lt;=268), "Lower range",
      IF(AND(C194&gt;268, C194&lt;=369), "Higher range",
         IF(C194&gt;369, "Highest range", "Not categorised"))))</f>
        <v>Lowest range</v>
      </c>
      <c r="E194" s="14">
        <v>0.96813369311835296</v>
      </c>
    </row>
    <row r="195" spans="1:5" x14ac:dyDescent="0.2">
      <c r="A195" t="s">
        <v>12</v>
      </c>
      <c r="B195" s="13" t="s">
        <v>52</v>
      </c>
      <c r="C195">
        <v>382</v>
      </c>
      <c r="D195" s="36" t="str">
        <f>IF(C195&lt;=165, "Lowest range",
   IF(AND(C195&gt;165, C195&lt;=268), "Lower range",
      IF(AND(C195&gt;268, C195&lt;=369), "Higher range",
         IF(C195&gt;369, "Highest range", "Not categorised"))))</f>
        <v>Highest range</v>
      </c>
      <c r="E195" s="14">
        <v>0.96403672292801901</v>
      </c>
    </row>
    <row r="196" spans="1:5" x14ac:dyDescent="0.2">
      <c r="A196" t="s">
        <v>12</v>
      </c>
      <c r="B196" s="13" t="s">
        <v>53</v>
      </c>
      <c r="C196">
        <v>495</v>
      </c>
      <c r="D196" s="36" t="str">
        <f>IF(C196&lt;=165, "Lowest range",
   IF(AND(C196&gt;165, C196&lt;=268), "Lower range",
      IF(AND(C196&gt;268, C196&lt;=369), "Higher range",
         IF(C196&gt;369, "Highest range", "Not categorised"))))</f>
        <v>Highest range</v>
      </c>
      <c r="E196" s="14">
        <v>0.860886548983683</v>
      </c>
    </row>
    <row r="197" spans="1:5" x14ac:dyDescent="0.2">
      <c r="A197" t="s">
        <v>12</v>
      </c>
      <c r="B197" s="13" t="s">
        <v>53</v>
      </c>
      <c r="C197">
        <v>194</v>
      </c>
      <c r="D197" s="36" t="str">
        <f>IF(C197&lt;=165, "Lowest range",
   IF(AND(C197&gt;165, C197&lt;=268), "Lower range",
      IF(AND(C197&gt;268, C197&lt;=369), "Higher range",
         IF(C197&gt;369, "Highest range", "Not categorised"))))</f>
        <v>Lower range</v>
      </c>
      <c r="E197" s="14">
        <v>0.97129682907395498</v>
      </c>
    </row>
    <row r="198" spans="1:5" x14ac:dyDescent="0.2">
      <c r="A198" t="s">
        <v>12</v>
      </c>
      <c r="B198" s="13" t="s">
        <v>53</v>
      </c>
      <c r="C198">
        <v>79</v>
      </c>
      <c r="D198" s="36" t="str">
        <f>IF(C198&lt;=165, "Lowest range",
   IF(AND(C198&gt;165, C198&lt;=268), "Lower range",
      IF(AND(C198&gt;268, C198&lt;=369), "Higher range",
         IF(C198&gt;369, "Highest range", "Not categorised"))))</f>
        <v>Lowest range</v>
      </c>
      <c r="E198" s="14">
        <v>0.89381358318664095</v>
      </c>
    </row>
    <row r="199" spans="1:5" x14ac:dyDescent="0.2">
      <c r="A199" t="s">
        <v>12</v>
      </c>
      <c r="B199" s="13" t="s">
        <v>54</v>
      </c>
      <c r="C199">
        <v>167</v>
      </c>
      <c r="D199" s="36" t="str">
        <f>IF(C199&lt;=165, "Lowest range",
   IF(AND(C199&gt;165, C199&lt;=268), "Lower range",
      IF(AND(C199&gt;268, C199&lt;=369), "Higher range",
         IF(C199&gt;369, "Highest range", "Not categorised"))))</f>
        <v>Lower range</v>
      </c>
      <c r="E199" s="14">
        <v>0.917458627015592</v>
      </c>
    </row>
    <row r="200" spans="1:5" x14ac:dyDescent="0.2">
      <c r="A200" t="s">
        <v>12</v>
      </c>
      <c r="B200" s="13" t="s">
        <v>54</v>
      </c>
      <c r="C200">
        <v>170</v>
      </c>
      <c r="D200" s="36" t="str">
        <f>IF(C200&lt;=165, "Lowest range",
   IF(AND(C200&gt;165, C200&lt;=268), "Lower range",
      IF(AND(C200&gt;268, C200&lt;=369), "Higher range",
         IF(C200&gt;369, "Highest range", "Not categorised"))))</f>
        <v>Lower range</v>
      </c>
      <c r="E200" s="14">
        <v>0.92351611552641399</v>
      </c>
    </row>
    <row r="201" spans="1:5" x14ac:dyDescent="0.2">
      <c r="A201" t="s">
        <v>12</v>
      </c>
      <c r="B201" s="13" t="s">
        <v>54</v>
      </c>
      <c r="C201">
        <v>337</v>
      </c>
      <c r="D201" s="36" t="str">
        <f>IF(C201&lt;=165, "Lowest range",
   IF(AND(C201&gt;165, C201&lt;=268), "Lower range",
      IF(AND(C201&gt;268, C201&lt;=369), "Higher range",
         IF(C201&gt;369, "Highest range", "Not categorised"))))</f>
        <v>Higher range</v>
      </c>
      <c r="E201" s="14">
        <v>0.87632709531838204</v>
      </c>
    </row>
    <row r="202" spans="1:5" x14ac:dyDescent="0.2">
      <c r="A202" t="s">
        <v>12</v>
      </c>
      <c r="B202" s="13" t="s">
        <v>55</v>
      </c>
      <c r="C202">
        <v>341</v>
      </c>
      <c r="D202" s="36" t="str">
        <f>IF(C202&lt;=165, "Lowest range",
   IF(AND(C202&gt;165, C202&lt;=268), "Lower range",
      IF(AND(C202&gt;268, C202&lt;=369), "Higher range",
         IF(C202&gt;369, "Highest range", "Not categorised"))))</f>
        <v>Higher range</v>
      </c>
      <c r="E202" s="14">
        <v>0.92132479094598396</v>
      </c>
    </row>
    <row r="203" spans="1:5" x14ac:dyDescent="0.2">
      <c r="A203" t="s">
        <v>12</v>
      </c>
      <c r="B203" s="13" t="s">
        <v>55</v>
      </c>
      <c r="C203">
        <v>390</v>
      </c>
      <c r="D203" s="36" t="str">
        <f>IF(C203&lt;=165, "Lowest range",
   IF(AND(C203&gt;165, C203&lt;=268), "Lower range",
      IF(AND(C203&gt;268, C203&lt;=369), "Higher range",
         IF(C203&gt;369, "Highest range", "Not categorised"))))</f>
        <v>Highest range</v>
      </c>
      <c r="E203" s="14">
        <v>0.90297764841567996</v>
      </c>
    </row>
    <row r="204" spans="1:5" x14ac:dyDescent="0.2">
      <c r="A204" t="s">
        <v>12</v>
      </c>
      <c r="B204" s="13" t="s">
        <v>55</v>
      </c>
      <c r="C204">
        <v>229</v>
      </c>
      <c r="D204" s="36" t="str">
        <f>IF(C204&lt;=165, "Lowest range",
   IF(AND(C204&gt;165, C204&lt;=268), "Lower range",
      IF(AND(C204&gt;268, C204&lt;=369), "Higher range",
         IF(C204&gt;369, "Highest range", "Not categorised"))))</f>
        <v>Lower range</v>
      </c>
      <c r="E204" s="14">
        <v>0.86491462009375597</v>
      </c>
    </row>
    <row r="205" spans="1:5" x14ac:dyDescent="0.2">
      <c r="A205" t="s">
        <v>12</v>
      </c>
      <c r="B205" s="13" t="s">
        <v>52</v>
      </c>
      <c r="C205">
        <v>311</v>
      </c>
      <c r="D205" s="36" t="str">
        <f>IF(C205&lt;=165, "Lowest range",
   IF(AND(C205&gt;165, C205&lt;=268), "Lower range",
      IF(AND(C205&gt;268, C205&lt;=369), "Higher range",
         IF(C205&gt;369, "Highest range", "Not categorised"))))</f>
        <v>Higher range</v>
      </c>
      <c r="E205" s="14">
        <v>1</v>
      </c>
    </row>
    <row r="206" spans="1:5" x14ac:dyDescent="0.2">
      <c r="A206" t="s">
        <v>12</v>
      </c>
      <c r="B206" s="13" t="s">
        <v>52</v>
      </c>
      <c r="C206">
        <v>365</v>
      </c>
      <c r="D206" s="36" t="str">
        <f>IF(C206&lt;=165, "Lowest range",
   IF(AND(C206&gt;165, C206&lt;=268), "Lower range",
      IF(AND(C206&gt;268, C206&lt;=369), "Higher range",
         IF(C206&gt;369, "Highest range", "Not categorised"))))</f>
        <v>Higher range</v>
      </c>
      <c r="E206" s="14">
        <v>0.92618855549164403</v>
      </c>
    </row>
    <row r="207" spans="1:5" x14ac:dyDescent="0.2">
      <c r="A207" t="s">
        <v>12</v>
      </c>
      <c r="B207" s="13" t="s">
        <v>52</v>
      </c>
      <c r="C207">
        <v>91</v>
      </c>
      <c r="D207" s="36" t="str">
        <f>IF(C207&lt;=165, "Lowest range",
   IF(AND(C207&gt;165, C207&lt;=268), "Lower range",
      IF(AND(C207&gt;268, C207&lt;=369), "Higher range",
         IF(C207&gt;369, "Highest range", "Not categorised"))))</f>
        <v>Lowest range</v>
      </c>
      <c r="E207" s="14">
        <v>0.86715446997512602</v>
      </c>
    </row>
    <row r="208" spans="1:5" x14ac:dyDescent="0.2">
      <c r="A208" t="s">
        <v>12</v>
      </c>
      <c r="B208" s="13" t="s">
        <v>53</v>
      </c>
      <c r="C208">
        <v>265</v>
      </c>
      <c r="D208" s="36" t="str">
        <f>IF(C208&lt;=165, "Lowest range",
   IF(AND(C208&gt;165, C208&lt;=268), "Lower range",
      IF(AND(C208&gt;268, C208&lt;=369), "Higher range",
         IF(C208&gt;369, "Highest range", "Not categorised"))))</f>
        <v>Lower range</v>
      </c>
      <c r="E208" s="14">
        <v>0.85164658782639602</v>
      </c>
    </row>
    <row r="209" spans="1:5" x14ac:dyDescent="0.2">
      <c r="A209" t="s">
        <v>12</v>
      </c>
      <c r="B209" s="13" t="s">
        <v>53</v>
      </c>
      <c r="C209">
        <v>485</v>
      </c>
      <c r="D209" s="36" t="str">
        <f>IF(C209&lt;=165, "Lowest range",
   IF(AND(C209&gt;165, C209&lt;=268), "Lower range",
      IF(AND(C209&gt;268, C209&lt;=369), "Higher range",
         IF(C209&gt;369, "Highest range", "Not categorised"))))</f>
        <v>Highest range</v>
      </c>
      <c r="E209" s="14">
        <v>0.95348041310789899</v>
      </c>
    </row>
    <row r="210" spans="1:5" x14ac:dyDescent="0.2">
      <c r="A210" t="s">
        <v>12</v>
      </c>
      <c r="B210" s="13" t="s">
        <v>53</v>
      </c>
      <c r="C210">
        <v>115</v>
      </c>
      <c r="D210" s="36" t="str">
        <f>IF(C210&lt;=165, "Lowest range",
   IF(AND(C210&gt;165, C210&lt;=268), "Lower range",
      IF(AND(C210&gt;268, C210&lt;=369), "Higher range",
         IF(C210&gt;369, "Highest range", "Not categorised"))))</f>
        <v>Lowest range</v>
      </c>
      <c r="E210" s="14">
        <v>0.93016430168368902</v>
      </c>
    </row>
    <row r="211" spans="1:5" x14ac:dyDescent="0.2">
      <c r="A211" t="s">
        <v>12</v>
      </c>
      <c r="B211" s="13" t="s">
        <v>54</v>
      </c>
      <c r="C211">
        <v>305</v>
      </c>
      <c r="D211" s="36" t="str">
        <f>IF(C211&lt;=165, "Lowest range",
   IF(AND(C211&gt;165, C211&lt;=268), "Lower range",
      IF(AND(C211&gt;268, C211&lt;=369), "Higher range",
         IF(C211&gt;369, "Highest range", "Not categorised"))))</f>
        <v>Higher range</v>
      </c>
      <c r="E211" s="14">
        <v>0.85787997587316001</v>
      </c>
    </row>
    <row r="212" spans="1:5" x14ac:dyDescent="0.2">
      <c r="A212" t="s">
        <v>12</v>
      </c>
      <c r="B212" s="13" t="s">
        <v>54</v>
      </c>
      <c r="C212">
        <v>359</v>
      </c>
      <c r="D212" s="36" t="str">
        <f>IF(C212&lt;=165, "Lowest range",
   IF(AND(C212&gt;165, C212&lt;=268), "Lower range",
      IF(AND(C212&gt;268, C212&lt;=369), "Higher range",
         IF(C212&gt;369, "Highest range", "Not categorised"))))</f>
        <v>Higher range</v>
      </c>
      <c r="E212" s="14">
        <v>0.91911274695724599</v>
      </c>
    </row>
    <row r="213" spans="1:5" x14ac:dyDescent="0.2">
      <c r="A213" t="s">
        <v>12</v>
      </c>
      <c r="B213" s="13" t="s">
        <v>54</v>
      </c>
      <c r="C213">
        <v>159</v>
      </c>
      <c r="D213" s="36" t="str">
        <f>IF(C213&lt;=165, "Lowest range",
   IF(AND(C213&gt;165, C213&lt;=268), "Lower range",
      IF(AND(C213&gt;268, C213&lt;=369), "Higher range",
         IF(C213&gt;369, "Highest range", "Not categorised"))))</f>
        <v>Lowest range</v>
      </c>
      <c r="E213" s="14">
        <v>0.896348326009059</v>
      </c>
    </row>
    <row r="214" spans="1:5" x14ac:dyDescent="0.2">
      <c r="A214" t="s">
        <v>12</v>
      </c>
      <c r="B214" s="13" t="s">
        <v>55</v>
      </c>
      <c r="C214">
        <v>436</v>
      </c>
      <c r="D214" s="36" t="str">
        <f>IF(C214&lt;=165, "Lowest range",
   IF(AND(C214&gt;165, C214&lt;=268), "Lower range",
      IF(AND(C214&gt;268, C214&lt;=369), "Higher range",
         IF(C214&gt;369, "Highest range", "Not categorised"))))</f>
        <v>Highest range</v>
      </c>
      <c r="E214" s="14">
        <v>0.8</v>
      </c>
    </row>
    <row r="215" spans="1:5" x14ac:dyDescent="0.2">
      <c r="A215" t="s">
        <v>12</v>
      </c>
      <c r="B215" s="13" t="s">
        <v>55</v>
      </c>
      <c r="C215">
        <v>268</v>
      </c>
      <c r="D215" s="36" t="str">
        <f>IF(C215&lt;=165, "Lowest range",
   IF(AND(C215&gt;165, C215&lt;=268), "Lower range",
      IF(AND(C215&gt;268, C215&lt;=369), "Higher range",
         IF(C215&gt;369, "Highest range", "Not categorised"))))</f>
        <v>Lower range</v>
      </c>
      <c r="E215" s="14">
        <v>0.95747117180006303</v>
      </c>
    </row>
    <row r="216" spans="1:5" x14ac:dyDescent="0.2">
      <c r="A216" t="s">
        <v>12</v>
      </c>
      <c r="B216" s="13" t="s">
        <v>55</v>
      </c>
      <c r="C216">
        <v>493</v>
      </c>
      <c r="D216" s="36" t="str">
        <f>IF(C216&lt;=165, "Lowest range",
   IF(AND(C216&gt;165, C216&lt;=268), "Lower range",
      IF(AND(C216&gt;268, C216&lt;=369), "Higher range",
         IF(C216&gt;369, "Highest range", "Not categorised"))))</f>
        <v>Highest range</v>
      </c>
      <c r="E216" s="14">
        <v>0.88282944502060101</v>
      </c>
    </row>
    <row r="217" spans="1:5" x14ac:dyDescent="0.2">
      <c r="A217" t="s">
        <v>12</v>
      </c>
      <c r="B217" s="13" t="s">
        <v>52</v>
      </c>
      <c r="C217">
        <v>190</v>
      </c>
      <c r="D217" s="36" t="str">
        <f>IF(C217&lt;=165, "Lowest range",
   IF(AND(C217&gt;165, C217&lt;=268), "Lower range",
      IF(AND(C217&gt;268, C217&lt;=369), "Higher range",
         IF(C217&gt;369, "Highest range", "Not categorised"))))</f>
        <v>Lower range</v>
      </c>
      <c r="E217" s="14">
        <v>0.92572004682852205</v>
      </c>
    </row>
  </sheetData>
  <autoFilter ref="A1:E217" xr:uid="{00000000-0001-0000-0000-000000000000}">
    <sortState xmlns:xlrd2="http://schemas.microsoft.com/office/spreadsheetml/2017/richdata2" ref="A2:E217">
      <sortCondition ref="A1:A217"/>
    </sortState>
  </autoFilter>
  <dataValidations count="1">
    <dataValidation type="decimal" allowBlank="1" showInputMessage="1" showErrorMessage="1" sqref="E1:E1048576 K2:L56 M2:N53 N54:N55" xr:uid="{D00E6962-C13E-1A4B-BE85-1083B765A2A9}">
      <formula1>0.8</formula1>
      <formula2>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4BB7-9041-194A-8E80-4A5C4CF13E4B}">
  <sheetPr>
    <tabColor rgb="FF92D050"/>
  </sheetPr>
  <dimension ref="A1:AB217"/>
  <sheetViews>
    <sheetView topLeftCell="D1" zoomScale="140" zoomScaleNormal="140" workbookViewId="0">
      <pane ySplit="1" topLeftCell="A2" activePane="bottomLeft" state="frozen"/>
      <selection pane="bottomLeft" activeCell="T2" sqref="T2"/>
    </sheetView>
  </sheetViews>
  <sheetFormatPr baseColWidth="10" defaultColWidth="8.83203125" defaultRowHeight="14" x14ac:dyDescent="0.15"/>
  <cols>
    <col min="1" max="1" width="3.6640625" style="15" hidden="1" customWidth="1"/>
    <col min="2" max="3" width="11.1640625" style="15" hidden="1" customWidth="1"/>
    <col min="4" max="5" width="7" style="15" customWidth="1"/>
    <col min="6" max="6" width="10.1640625" style="15" hidden="1" customWidth="1"/>
    <col min="7" max="7" width="12.5" style="15" hidden="1" customWidth="1"/>
    <col min="8" max="8" width="0" style="15" hidden="1" customWidth="1"/>
    <col min="9" max="9" width="8.83203125" style="15" hidden="1" customWidth="1"/>
    <col min="10" max="10" width="9.6640625" style="15" hidden="1" customWidth="1"/>
    <col min="11" max="12" width="4.5" style="15" hidden="1" customWidth="1"/>
    <col min="13" max="13" width="9.6640625" style="15" hidden="1" customWidth="1"/>
    <col min="14" max="14" width="9.1640625" style="15" customWidth="1"/>
    <col min="15" max="15" width="20.33203125" style="15" hidden="1" customWidth="1"/>
    <col min="16" max="16" width="8.1640625" style="52" hidden="1" customWidth="1"/>
    <col min="17" max="17" width="8.83203125" style="15"/>
    <col min="18" max="18" width="9.83203125" style="15" customWidth="1"/>
    <col min="19" max="20" width="8.83203125" style="15"/>
    <col min="21" max="21" width="24.33203125" style="15" customWidth="1"/>
    <col min="22" max="23" width="10.33203125" style="15" customWidth="1"/>
    <col min="24" max="16384" width="8.83203125" style="15"/>
  </cols>
  <sheetData>
    <row r="1" spans="1:28" ht="60" x14ac:dyDescent="0.15">
      <c r="A1" s="64" t="s">
        <v>0</v>
      </c>
      <c r="B1" s="64" t="s">
        <v>1</v>
      </c>
      <c r="C1" s="62" t="s">
        <v>31</v>
      </c>
      <c r="D1" s="64" t="s">
        <v>2</v>
      </c>
      <c r="E1" s="62" t="s">
        <v>33</v>
      </c>
      <c r="F1" s="64" t="s">
        <v>3</v>
      </c>
      <c r="G1" s="64" t="s">
        <v>4</v>
      </c>
      <c r="H1" s="55" t="s">
        <v>30</v>
      </c>
      <c r="I1" s="64" t="s">
        <v>5</v>
      </c>
      <c r="J1" s="64" t="s">
        <v>6</v>
      </c>
      <c r="K1" s="65" t="s">
        <v>28</v>
      </c>
      <c r="L1" s="65" t="s">
        <v>29</v>
      </c>
      <c r="M1" s="62" t="s">
        <v>32</v>
      </c>
      <c r="N1" s="66" t="s">
        <v>7</v>
      </c>
      <c r="O1" s="66" t="s">
        <v>8</v>
      </c>
      <c r="P1" s="67" t="s">
        <v>9</v>
      </c>
      <c r="Q1" s="64"/>
      <c r="R1" s="64" t="s">
        <v>83</v>
      </c>
      <c r="S1" s="64" t="s">
        <v>82</v>
      </c>
      <c r="T1" s="61"/>
      <c r="U1" s="61"/>
      <c r="V1" s="61"/>
      <c r="W1" s="61"/>
      <c r="X1" s="61"/>
      <c r="Y1" s="61"/>
      <c r="Z1" s="61"/>
      <c r="AA1" s="61"/>
      <c r="AB1" s="61"/>
    </row>
    <row r="2" spans="1:28" x14ac:dyDescent="0.15">
      <c r="A2" s="15">
        <v>1</v>
      </c>
      <c r="B2" s="15" t="s">
        <v>10</v>
      </c>
      <c r="C2" s="46" t="str">
        <f>IF(B2="Smartphone", "Electronics", IF(B2="Laptop", "Computing", IF(B2="Tablet", "Mobile", IF(B2="Smartwatch", "Wearables", IF(B2="Headphones", "Audio", "Photography")))))</f>
        <v>Electronics</v>
      </c>
      <c r="D2" s="47">
        <v>43466</v>
      </c>
      <c r="E2" s="48" t="str">
        <f>IF(OR(MONTH(D2)=9, MONTH(D2)=10, MONTH(D2)=11), "Spring",
 IF(OR(MONTH(D2)=12, MONTH(D2)=1, MONTH(D2)=2), "Summer",
 IF(OR(MONTH(D2)=3, MONTH(D2)=4, MONTH(D2)=5), "Autumn",
 IF(OR(MONTH(D2)=6, MONTH(D2)=7, MONTH(D2)=8), "Winter", "Unknown"
))))</f>
        <v>Summer</v>
      </c>
      <c r="F2" s="15">
        <v>75</v>
      </c>
      <c r="G2" s="15">
        <v>60</v>
      </c>
      <c r="H2" s="46">
        <f>F2+G2</f>
        <v>135</v>
      </c>
      <c r="I2" s="15">
        <v>0</v>
      </c>
      <c r="J2" s="15">
        <v>61</v>
      </c>
      <c r="K2" s="63">
        <f>F2+G2-I2</f>
        <v>135</v>
      </c>
      <c r="L2" s="63">
        <f>J2-K2</f>
        <v>-74</v>
      </c>
      <c r="M2" s="51">
        <f>I2/((F2+J2)/2)</f>
        <v>0</v>
      </c>
      <c r="N2" s="15">
        <v>20</v>
      </c>
      <c r="O2" s="15">
        <v>0.8</v>
      </c>
      <c r="P2" s="52">
        <v>187.58180521852</v>
      </c>
      <c r="R2" s="15">
        <v>13</v>
      </c>
      <c r="S2" s="15">
        <v>20</v>
      </c>
      <c r="U2" s="15" t="s">
        <v>84</v>
      </c>
    </row>
    <row r="3" spans="1:28" ht="15" thickBot="1" x14ac:dyDescent="0.2">
      <c r="A3" s="15">
        <v>2</v>
      </c>
      <c r="B3" s="15" t="s">
        <v>11</v>
      </c>
      <c r="C3" s="46" t="str">
        <f>IF(B3="Smartphone", "Electronics", IF(B3="Laptop", "Computing", IF(B3="Tablet", "Mobile", IF(B3="Smartwatch", "Wearables", IF(B3="Headphones", "Audio", "Photography")))))</f>
        <v>Computing</v>
      </c>
      <c r="D3" s="47">
        <v>43466</v>
      </c>
      <c r="E3" s="48" t="str">
        <f t="shared" ref="E3:E66" si="0">IF(OR(MONTH(D3)=9, MONTH(D3)=10, MONTH(D3)=11), "Spring",
 IF(OR(MONTH(D3)=12, MONTH(D3)=1, MONTH(D3)=2), "Summer",
 IF(OR(MONTH(D3)=3, MONTH(D3)=4, MONTH(D3)=5), "Autumn",
 IF(OR(MONTH(D3)=6, MONTH(D3)=7, MONTH(D3)=8), "Winter", "Unknown"
))))</f>
        <v>Summer</v>
      </c>
      <c r="F3" s="15">
        <v>47</v>
      </c>
      <c r="G3" s="15">
        <v>187</v>
      </c>
      <c r="H3" s="46">
        <f>F3+G3</f>
        <v>234</v>
      </c>
      <c r="I3" s="15">
        <v>117</v>
      </c>
      <c r="J3" s="15">
        <v>70</v>
      </c>
      <c r="K3" s="63">
        <f>F3+G3-I3</f>
        <v>117</v>
      </c>
      <c r="L3" s="63">
        <f>J3-K3</f>
        <v>-47</v>
      </c>
      <c r="M3" s="51">
        <f>I3/((F3+J3)/2)</f>
        <v>2</v>
      </c>
      <c r="N3" s="15">
        <v>21</v>
      </c>
      <c r="O3" s="15">
        <v>0.91672496008890603</v>
      </c>
      <c r="P3" s="52">
        <v>381.10319774690299</v>
      </c>
      <c r="R3" s="15">
        <v>21</v>
      </c>
      <c r="S3" s="15">
        <v>21</v>
      </c>
    </row>
    <row r="4" spans="1:28" x14ac:dyDescent="0.15">
      <c r="A4" s="15">
        <v>3</v>
      </c>
      <c r="B4" s="15" t="s">
        <v>12</v>
      </c>
      <c r="C4" s="46" t="str">
        <f>IF(B4="Smartphone", "Electronics", IF(B4="Laptop", "Computing", IF(B4="Tablet", "Mobile", IF(B4="Smartwatch", "Wearables", IF(B4="Headphones", "Audio", "Photography")))))</f>
        <v>Mobile</v>
      </c>
      <c r="D4" s="47">
        <v>43466</v>
      </c>
      <c r="E4" s="48" t="str">
        <f t="shared" si="0"/>
        <v>Summer</v>
      </c>
      <c r="F4" s="15">
        <v>92</v>
      </c>
      <c r="G4" s="15">
        <v>127</v>
      </c>
      <c r="H4" s="46">
        <f>F4+G4</f>
        <v>219</v>
      </c>
      <c r="I4" s="15">
        <v>67</v>
      </c>
      <c r="J4" s="15">
        <v>60</v>
      </c>
      <c r="K4" s="63">
        <f>F4+G4-I4</f>
        <v>152</v>
      </c>
      <c r="L4" s="63">
        <f>J4-K4</f>
        <v>-92</v>
      </c>
      <c r="M4" s="51">
        <f>I4/((F4+J4)/2)</f>
        <v>0.88157894736842102</v>
      </c>
      <c r="N4" s="15">
        <v>12</v>
      </c>
      <c r="O4" s="15">
        <v>0.92182125647465396</v>
      </c>
      <c r="P4" s="52">
        <v>81.324925670598702</v>
      </c>
      <c r="R4" s="15">
        <v>8</v>
      </c>
      <c r="S4" s="15">
        <v>12</v>
      </c>
      <c r="U4" s="38"/>
      <c r="V4" s="38" t="s">
        <v>83</v>
      </c>
      <c r="W4" s="38" t="s">
        <v>82</v>
      </c>
    </row>
    <row r="5" spans="1:28" x14ac:dyDescent="0.15">
      <c r="A5" s="15">
        <v>4</v>
      </c>
      <c r="B5" s="15" t="s">
        <v>13</v>
      </c>
      <c r="C5" s="46" t="str">
        <f>IF(B5="Smartphone", "Electronics", IF(B5="Laptop", "Computing", IF(B5="Tablet", "Mobile", IF(B5="Smartwatch", "Wearables", IF(B5="Headphones", "Audio", "Photography")))))</f>
        <v>Wearables</v>
      </c>
      <c r="D5" s="47">
        <v>43466</v>
      </c>
      <c r="E5" s="48" t="str">
        <f t="shared" si="0"/>
        <v>Summer</v>
      </c>
      <c r="F5" s="15">
        <v>87</v>
      </c>
      <c r="G5" s="15">
        <v>126</v>
      </c>
      <c r="H5" s="46">
        <f>F5+G5</f>
        <v>213</v>
      </c>
      <c r="I5" s="15">
        <v>64</v>
      </c>
      <c r="J5" s="15">
        <v>62</v>
      </c>
      <c r="K5" s="63">
        <f>F5+G5-I5</f>
        <v>149</v>
      </c>
      <c r="L5" s="63">
        <f>J5-K5</f>
        <v>-87</v>
      </c>
      <c r="M5" s="51">
        <f>I5/((F5+J5)/2)</f>
        <v>0.85906040268456374</v>
      </c>
      <c r="N5" s="15">
        <v>19</v>
      </c>
      <c r="O5" s="15">
        <v>0.96631710989936104</v>
      </c>
      <c r="P5" s="52">
        <v>261.07931804674803</v>
      </c>
      <c r="R5" s="15">
        <v>14</v>
      </c>
      <c r="S5" s="15">
        <v>19</v>
      </c>
      <c r="U5" s="39" t="s">
        <v>85</v>
      </c>
      <c r="V5" s="39">
        <v>17.064814814814813</v>
      </c>
      <c r="W5" s="39">
        <v>14.453703703703704</v>
      </c>
    </row>
    <row r="6" spans="1:28" x14ac:dyDescent="0.15">
      <c r="A6" s="15">
        <v>5</v>
      </c>
      <c r="B6" s="15" t="s">
        <v>14</v>
      </c>
      <c r="C6" s="46" t="str">
        <f>IF(B6="Smartphone", "Electronics", IF(B6="Laptop", "Computing", IF(B6="Tablet", "Mobile", IF(B6="Smartwatch", "Wearables", IF(B6="Headphones", "Audio", "Photography")))))</f>
        <v>Audio</v>
      </c>
      <c r="D6" s="47">
        <v>43466</v>
      </c>
      <c r="E6" s="48" t="str">
        <f t="shared" si="0"/>
        <v>Summer</v>
      </c>
      <c r="F6" s="15">
        <v>7</v>
      </c>
      <c r="G6" s="15">
        <v>490</v>
      </c>
      <c r="H6" s="46">
        <f>F6+G6</f>
        <v>497</v>
      </c>
      <c r="I6" s="15">
        <v>417</v>
      </c>
      <c r="J6" s="15">
        <v>73</v>
      </c>
      <c r="K6" s="63">
        <f>F6+G6-I6</f>
        <v>80</v>
      </c>
      <c r="L6" s="63">
        <f>J6-K6</f>
        <v>-7</v>
      </c>
      <c r="M6" s="51">
        <f>I6/((F6+J6)/2)</f>
        <v>10.425000000000001</v>
      </c>
      <c r="N6" s="15">
        <v>14</v>
      </c>
      <c r="O6" s="15">
        <v>0.96110616511865199</v>
      </c>
      <c r="P6" s="52">
        <v>128.48638734773601</v>
      </c>
      <c r="R6" s="15">
        <v>8</v>
      </c>
      <c r="S6" s="15">
        <v>14</v>
      </c>
      <c r="U6" s="39" t="s">
        <v>40</v>
      </c>
      <c r="V6" s="39">
        <v>55.874264451367246</v>
      </c>
      <c r="W6" s="39">
        <v>69.57727587400484</v>
      </c>
    </row>
    <row r="7" spans="1:28" x14ac:dyDescent="0.15">
      <c r="A7" s="15">
        <v>6</v>
      </c>
      <c r="B7" s="15" t="s">
        <v>15</v>
      </c>
      <c r="C7" s="46" t="str">
        <f>IF(B7="Smartphone", "Electronics", IF(B7="Laptop", "Computing", IF(B7="Tablet", "Mobile", IF(B7="Smartwatch", "Wearables", IF(B7="Headphones", "Audio", "Photography")))))</f>
        <v>Photography</v>
      </c>
      <c r="D7" s="47">
        <v>43466</v>
      </c>
      <c r="E7" s="48" t="str">
        <f t="shared" si="0"/>
        <v>Summer</v>
      </c>
      <c r="F7" s="15">
        <v>35</v>
      </c>
      <c r="G7" s="15">
        <v>303</v>
      </c>
      <c r="H7" s="46">
        <f>F7+G7</f>
        <v>338</v>
      </c>
      <c r="I7" s="15">
        <v>366</v>
      </c>
      <c r="J7" s="15">
        <v>63</v>
      </c>
      <c r="K7" s="63">
        <f>F7+G7-I7</f>
        <v>-28</v>
      </c>
      <c r="L7" s="63">
        <f>J7-K7</f>
        <v>91</v>
      </c>
      <c r="M7" s="51">
        <f>I7/((F7+J7)/2)</f>
        <v>7.4693877551020407</v>
      </c>
      <c r="N7" s="15">
        <v>17</v>
      </c>
      <c r="O7" s="15">
        <v>0.90555860801447596</v>
      </c>
      <c r="P7" s="52">
        <v>33.746451781235997</v>
      </c>
      <c r="R7" s="15">
        <v>14</v>
      </c>
      <c r="S7" s="15">
        <v>17</v>
      </c>
      <c r="U7" s="39" t="s">
        <v>86</v>
      </c>
      <c r="V7" s="39">
        <v>108</v>
      </c>
      <c r="W7" s="39">
        <v>108</v>
      </c>
    </row>
    <row r="8" spans="1:28" x14ac:dyDescent="0.15">
      <c r="A8" s="15">
        <v>1</v>
      </c>
      <c r="B8" s="15" t="s">
        <v>10</v>
      </c>
      <c r="C8" s="46" t="str">
        <f>IF(B8="Smartphone", "Electronics", IF(B8="Laptop", "Computing", IF(B8="Tablet", "Mobile", IF(B8="Smartwatch", "Wearables", IF(B8="Headphones", "Audio", "Photography")))))</f>
        <v>Electronics</v>
      </c>
      <c r="D8" s="47">
        <v>43497</v>
      </c>
      <c r="E8" s="48" t="str">
        <f t="shared" si="0"/>
        <v>Summer</v>
      </c>
      <c r="F8" s="15">
        <v>21</v>
      </c>
      <c r="G8" s="15">
        <v>458</v>
      </c>
      <c r="H8" s="46">
        <f>F8+G8</f>
        <v>479</v>
      </c>
      <c r="I8" s="15">
        <v>375</v>
      </c>
      <c r="J8" s="15">
        <v>83</v>
      </c>
      <c r="K8" s="63">
        <f>F8+G8-I8</f>
        <v>104</v>
      </c>
      <c r="L8" s="63">
        <f>J8-K8</f>
        <v>-21</v>
      </c>
      <c r="M8" s="51">
        <f>I8/((F8+J8)/2)</f>
        <v>7.2115384615384617</v>
      </c>
      <c r="N8" s="15">
        <v>24</v>
      </c>
      <c r="O8" s="15">
        <v>0.97573184532901802</v>
      </c>
      <c r="P8" s="52">
        <v>107.22032462713101</v>
      </c>
      <c r="R8" s="15">
        <v>7</v>
      </c>
      <c r="S8" s="15">
        <v>24</v>
      </c>
      <c r="U8" s="39" t="s">
        <v>87</v>
      </c>
      <c r="V8" s="39">
        <v>0</v>
      </c>
      <c r="W8" s="39"/>
    </row>
    <row r="9" spans="1:28" x14ac:dyDescent="0.15">
      <c r="A9" s="15">
        <v>2</v>
      </c>
      <c r="B9" s="15" t="s">
        <v>11</v>
      </c>
      <c r="C9" s="46" t="str">
        <f>IF(B9="Smartphone", "Electronics", IF(B9="Laptop", "Computing", IF(B9="Tablet", "Mobile", IF(B9="Smartwatch", "Wearables", IF(B9="Headphones", "Audio", "Photography")))))</f>
        <v>Computing</v>
      </c>
      <c r="D9" s="47">
        <v>43497</v>
      </c>
      <c r="E9" s="48" t="str">
        <f t="shared" si="0"/>
        <v>Summer</v>
      </c>
      <c r="F9" s="15">
        <v>62</v>
      </c>
      <c r="G9" s="15">
        <v>307</v>
      </c>
      <c r="H9" s="46">
        <f>F9+G9</f>
        <v>369</v>
      </c>
      <c r="I9" s="15">
        <v>181</v>
      </c>
      <c r="J9" s="15">
        <v>126</v>
      </c>
      <c r="K9" s="63">
        <f>F9+G9-I9</f>
        <v>188</v>
      </c>
      <c r="L9" s="63">
        <f>J9-K9</f>
        <v>-62</v>
      </c>
      <c r="M9" s="51">
        <f>I9/((F9+J9)/2)</f>
        <v>1.925531914893617</v>
      </c>
      <c r="N9" s="15">
        <v>21</v>
      </c>
      <c r="O9" s="15">
        <v>1</v>
      </c>
      <c r="P9" s="52">
        <v>127.091014638804</v>
      </c>
      <c r="R9" s="15">
        <v>23</v>
      </c>
      <c r="S9" s="15">
        <v>21</v>
      </c>
      <c r="U9" s="39" t="s">
        <v>44</v>
      </c>
      <c r="V9" s="39">
        <v>211</v>
      </c>
      <c r="W9" s="39"/>
    </row>
    <row r="10" spans="1:28" x14ac:dyDescent="0.15">
      <c r="A10" s="15">
        <v>3</v>
      </c>
      <c r="B10" s="15" t="s">
        <v>12</v>
      </c>
      <c r="C10" s="46" t="str">
        <f>IF(B10="Smartphone", "Electronics", IF(B10="Laptop", "Computing", IF(B10="Tablet", "Mobile", IF(B10="Smartwatch", "Wearables", IF(B10="Headphones", "Audio", "Photography")))))</f>
        <v>Mobile</v>
      </c>
      <c r="D10" s="47">
        <v>43497</v>
      </c>
      <c r="E10" s="48" t="str">
        <f t="shared" si="0"/>
        <v>Summer</v>
      </c>
      <c r="F10" s="15">
        <v>90</v>
      </c>
      <c r="G10" s="15">
        <v>369</v>
      </c>
      <c r="H10" s="46">
        <f>F10+G10</f>
        <v>459</v>
      </c>
      <c r="I10" s="15">
        <v>541</v>
      </c>
      <c r="J10" s="15">
        <v>2</v>
      </c>
      <c r="K10" s="63">
        <f>F10+G10-I10</f>
        <v>-82</v>
      </c>
      <c r="L10" s="63">
        <f>J10-K10</f>
        <v>84</v>
      </c>
      <c r="M10" s="51">
        <f>I10/((F10+J10)/2)</f>
        <v>11.760869565217391</v>
      </c>
      <c r="N10" s="15">
        <v>3</v>
      </c>
      <c r="O10" s="15">
        <v>0.90139757276222299</v>
      </c>
      <c r="P10" s="52">
        <v>130.66634615987499</v>
      </c>
      <c r="R10" s="15">
        <v>12</v>
      </c>
      <c r="S10" s="15">
        <v>3</v>
      </c>
      <c r="U10" s="39" t="s">
        <v>88</v>
      </c>
      <c r="V10" s="39">
        <v>2.4226977253101944</v>
      </c>
      <c r="W10" s="39"/>
    </row>
    <row r="11" spans="1:28" x14ac:dyDescent="0.15">
      <c r="A11" s="15">
        <v>4</v>
      </c>
      <c r="B11" s="15" t="s">
        <v>13</v>
      </c>
      <c r="C11" s="46" t="str">
        <f>IF(B11="Smartphone", "Electronics", IF(B11="Laptop", "Computing", IF(B11="Tablet", "Mobile", IF(B11="Smartwatch", "Wearables", IF(B11="Headphones", "Audio", "Photography")))))</f>
        <v>Wearables</v>
      </c>
      <c r="D11" s="47">
        <v>43497</v>
      </c>
      <c r="E11" s="48" t="str">
        <f t="shared" si="0"/>
        <v>Summer</v>
      </c>
      <c r="F11" s="15">
        <v>72</v>
      </c>
      <c r="G11" s="15">
        <v>340</v>
      </c>
      <c r="H11" s="46">
        <f>F11+G11</f>
        <v>412</v>
      </c>
      <c r="I11" s="15">
        <v>262</v>
      </c>
      <c r="J11" s="15">
        <v>78</v>
      </c>
      <c r="K11" s="63">
        <f>F11+G11-I11</f>
        <v>150</v>
      </c>
      <c r="L11" s="63">
        <f>J11-K11</f>
        <v>-72</v>
      </c>
      <c r="M11" s="51">
        <f>I11/((F11+J11)/2)</f>
        <v>3.4933333333333332</v>
      </c>
      <c r="N11" s="15">
        <v>26</v>
      </c>
      <c r="O11" s="15">
        <v>0.92090935392338702</v>
      </c>
      <c r="P11" s="52">
        <v>45.175079800691201</v>
      </c>
      <c r="R11" s="15">
        <v>11</v>
      </c>
      <c r="S11" s="15">
        <v>26</v>
      </c>
      <c r="U11" s="39" t="s">
        <v>89</v>
      </c>
      <c r="V11" s="39">
        <v>8.1249022101084166E-3</v>
      </c>
      <c r="W11" s="39"/>
    </row>
    <row r="12" spans="1:28" x14ac:dyDescent="0.15">
      <c r="A12" s="15">
        <v>5</v>
      </c>
      <c r="B12" s="15" t="s">
        <v>14</v>
      </c>
      <c r="C12" s="46" t="str">
        <f>IF(B12="Smartphone", "Electronics", IF(B12="Laptop", "Computing", IF(B12="Tablet", "Mobile", IF(B12="Smartwatch", "Wearables", IF(B12="Headphones", "Audio", "Photography")))))</f>
        <v>Audio</v>
      </c>
      <c r="D12" s="47">
        <v>43497</v>
      </c>
      <c r="E12" s="48" t="str">
        <f t="shared" si="0"/>
        <v>Summer</v>
      </c>
      <c r="F12" s="15">
        <v>5</v>
      </c>
      <c r="G12" s="15">
        <v>312</v>
      </c>
      <c r="H12" s="46">
        <f>F12+G12</f>
        <v>317</v>
      </c>
      <c r="I12" s="15">
        <v>271</v>
      </c>
      <c r="J12" s="15">
        <v>41</v>
      </c>
      <c r="K12" s="63">
        <f>F12+G12-I12</f>
        <v>46</v>
      </c>
      <c r="L12" s="63">
        <f>J12-K12</f>
        <v>-5</v>
      </c>
      <c r="M12" s="51">
        <f>I12/((F12+J12)/2)</f>
        <v>11.782608695652174</v>
      </c>
      <c r="N12" s="15">
        <v>23</v>
      </c>
      <c r="O12" s="15">
        <v>0.81163513234447104</v>
      </c>
      <c r="P12" s="52">
        <v>72.220302797218096</v>
      </c>
      <c r="R12" s="15">
        <v>22</v>
      </c>
      <c r="S12" s="15">
        <v>23</v>
      </c>
      <c r="U12" s="39" t="s">
        <v>90</v>
      </c>
      <c r="V12" s="39">
        <v>1.6521072861608714</v>
      </c>
      <c r="W12" s="39"/>
    </row>
    <row r="13" spans="1:28" x14ac:dyDescent="0.15">
      <c r="A13" s="15">
        <v>6</v>
      </c>
      <c r="B13" s="15" t="s">
        <v>15</v>
      </c>
      <c r="C13" s="46" t="str">
        <f>IF(B13="Smartphone", "Electronics", IF(B13="Laptop", "Computing", IF(B13="Tablet", "Mobile", IF(B13="Smartwatch", "Wearables", IF(B13="Headphones", "Audio", "Photography")))))</f>
        <v>Photography</v>
      </c>
      <c r="D13" s="47">
        <v>43497</v>
      </c>
      <c r="E13" s="48" t="str">
        <f t="shared" si="0"/>
        <v>Summer</v>
      </c>
      <c r="F13" s="15">
        <v>108</v>
      </c>
      <c r="G13" s="15">
        <v>134</v>
      </c>
      <c r="H13" s="46">
        <f>F13+G13</f>
        <v>242</v>
      </c>
      <c r="I13" s="15">
        <v>57</v>
      </c>
      <c r="J13" s="15">
        <v>77</v>
      </c>
      <c r="K13" s="63">
        <f>F13+G13-I13</f>
        <v>185</v>
      </c>
      <c r="L13" s="63">
        <f>J13-K13</f>
        <v>-108</v>
      </c>
      <c r="M13" s="51">
        <f>I13/((F13+J13)/2)</f>
        <v>0.61621621621621625</v>
      </c>
      <c r="N13" s="15">
        <v>7</v>
      </c>
      <c r="O13" s="15">
        <v>0.82745133687794503</v>
      </c>
      <c r="P13" s="52">
        <v>76.758486458004697</v>
      </c>
      <c r="R13" s="15">
        <v>22</v>
      </c>
      <c r="S13" s="15">
        <v>7</v>
      </c>
      <c r="U13" s="39" t="s">
        <v>91</v>
      </c>
      <c r="V13" s="39">
        <v>1.6249804420216833E-2</v>
      </c>
      <c r="W13" s="39"/>
    </row>
    <row r="14" spans="1:28" ht="15" thickBot="1" x14ac:dyDescent="0.2">
      <c r="A14" s="15">
        <v>1</v>
      </c>
      <c r="B14" s="15" t="s">
        <v>10</v>
      </c>
      <c r="C14" s="46" t="str">
        <f>IF(B14="Smartphone", "Electronics", IF(B14="Laptop", "Computing", IF(B14="Tablet", "Mobile", IF(B14="Smartwatch", "Wearables", IF(B14="Headphones", "Audio", "Photography")))))</f>
        <v>Electronics</v>
      </c>
      <c r="D14" s="47">
        <v>43525</v>
      </c>
      <c r="E14" s="48" t="str">
        <f t="shared" si="0"/>
        <v>Autumn</v>
      </c>
      <c r="F14" s="15">
        <v>30</v>
      </c>
      <c r="G14" s="15">
        <v>195</v>
      </c>
      <c r="H14" s="46">
        <f>F14+G14</f>
        <v>225</v>
      </c>
      <c r="I14" s="15">
        <v>100</v>
      </c>
      <c r="J14" s="15">
        <v>95</v>
      </c>
      <c r="K14" s="63">
        <f>F14+G14-I14</f>
        <v>125</v>
      </c>
      <c r="L14" s="63">
        <f>J14-K14</f>
        <v>-30</v>
      </c>
      <c r="M14" s="51">
        <f>I14/((F14+J14)/2)</f>
        <v>1.6</v>
      </c>
      <c r="N14" s="15">
        <v>17</v>
      </c>
      <c r="O14" s="15">
        <v>0.85809018429952399</v>
      </c>
      <c r="P14" s="52">
        <v>292.71603630195199</v>
      </c>
      <c r="R14" s="15">
        <v>11</v>
      </c>
      <c r="S14" s="15">
        <v>17</v>
      </c>
      <c r="U14" s="40" t="s">
        <v>92</v>
      </c>
      <c r="V14" s="40">
        <v>1.9712706460485967</v>
      </c>
      <c r="W14" s="40"/>
    </row>
    <row r="15" spans="1:28" x14ac:dyDescent="0.15">
      <c r="A15" s="15">
        <v>2</v>
      </c>
      <c r="B15" s="15" t="s">
        <v>11</v>
      </c>
      <c r="C15" s="46" t="str">
        <f>IF(B15="Smartphone", "Electronics", IF(B15="Laptop", "Computing", IF(B15="Tablet", "Mobile", IF(B15="Smartwatch", "Wearables", IF(B15="Headphones", "Audio", "Photography")))))</f>
        <v>Computing</v>
      </c>
      <c r="D15" s="47">
        <v>43525</v>
      </c>
      <c r="E15" s="48" t="str">
        <f t="shared" si="0"/>
        <v>Autumn</v>
      </c>
      <c r="F15" s="15">
        <v>116</v>
      </c>
      <c r="G15" s="15">
        <v>372</v>
      </c>
      <c r="H15" s="46">
        <f>F15+G15</f>
        <v>488</v>
      </c>
      <c r="I15" s="15">
        <v>533</v>
      </c>
      <c r="J15" s="15">
        <v>14</v>
      </c>
      <c r="K15" s="63">
        <f>F15+G15-I15</f>
        <v>-45</v>
      </c>
      <c r="L15" s="63">
        <f>J15-K15</f>
        <v>59</v>
      </c>
      <c r="M15" s="51">
        <f>I15/((F15+J15)/2)</f>
        <v>8.1999999999999993</v>
      </c>
      <c r="N15" s="15">
        <v>12</v>
      </c>
      <c r="O15" s="15">
        <v>0.87781908477414705</v>
      </c>
      <c r="P15" s="52">
        <v>91.350677796670695</v>
      </c>
      <c r="R15" s="15">
        <v>25</v>
      </c>
      <c r="S15" s="15">
        <v>12</v>
      </c>
    </row>
    <row r="16" spans="1:28" x14ac:dyDescent="0.15">
      <c r="A16" s="15">
        <v>3</v>
      </c>
      <c r="B16" s="15" t="s">
        <v>12</v>
      </c>
      <c r="C16" s="46" t="str">
        <f>IF(B16="Smartphone", "Electronics", IF(B16="Laptop", "Computing", IF(B16="Tablet", "Mobile", IF(B16="Smartwatch", "Wearables", IF(B16="Headphones", "Audio", "Photography")))))</f>
        <v>Mobile</v>
      </c>
      <c r="D16" s="47">
        <v>43525</v>
      </c>
      <c r="E16" s="48" t="str">
        <f t="shared" si="0"/>
        <v>Autumn</v>
      </c>
      <c r="F16" s="15">
        <v>81</v>
      </c>
      <c r="G16" s="15">
        <v>91</v>
      </c>
      <c r="H16" s="46">
        <f>F16+G16</f>
        <v>172</v>
      </c>
      <c r="I16" s="15">
        <v>88</v>
      </c>
      <c r="J16" s="15">
        <v>36</v>
      </c>
      <c r="K16" s="63">
        <f>F16+G16-I16</f>
        <v>84</v>
      </c>
      <c r="L16" s="63">
        <f>J16-K16</f>
        <v>-48</v>
      </c>
      <c r="M16" s="51">
        <f>I16/((F16+J16)/2)</f>
        <v>1.5042735042735043</v>
      </c>
      <c r="N16" s="15">
        <v>9</v>
      </c>
      <c r="O16" s="15">
        <v>0.845193848763096</v>
      </c>
      <c r="P16" s="52">
        <v>95.479834046315105</v>
      </c>
      <c r="R16" s="15">
        <v>22</v>
      </c>
      <c r="S16" s="15">
        <v>9</v>
      </c>
    </row>
    <row r="17" spans="1:19" x14ac:dyDescent="0.15">
      <c r="A17" s="15">
        <v>4</v>
      </c>
      <c r="B17" s="15" t="s">
        <v>13</v>
      </c>
      <c r="C17" s="46" t="str">
        <f>IF(B17="Smartphone", "Electronics", IF(B17="Laptop", "Computing", IF(B17="Tablet", "Mobile", IF(B17="Smartwatch", "Wearables", IF(B17="Headphones", "Audio", "Photography")))))</f>
        <v>Wearables</v>
      </c>
      <c r="D17" s="47">
        <v>43525</v>
      </c>
      <c r="E17" s="48" t="str">
        <f t="shared" si="0"/>
        <v>Autumn</v>
      </c>
      <c r="F17" s="15">
        <v>89</v>
      </c>
      <c r="G17" s="15">
        <v>423</v>
      </c>
      <c r="H17" s="46">
        <f>F17+G17</f>
        <v>512</v>
      </c>
      <c r="I17" s="15">
        <v>363</v>
      </c>
      <c r="J17" s="15">
        <v>60</v>
      </c>
      <c r="K17" s="63">
        <f>F17+G17-I17</f>
        <v>149</v>
      </c>
      <c r="L17" s="63">
        <f>J17-K17</f>
        <v>-89</v>
      </c>
      <c r="M17" s="51">
        <f>I17/((F17+J17)/2)</f>
        <v>4.8724832214765099</v>
      </c>
      <c r="N17" s="15">
        <v>15</v>
      </c>
      <c r="O17" s="15">
        <v>0.89820022940113797</v>
      </c>
      <c r="P17" s="52">
        <v>99.6107106685362</v>
      </c>
      <c r="R17" s="15">
        <v>28</v>
      </c>
      <c r="S17" s="15">
        <v>15</v>
      </c>
    </row>
    <row r="18" spans="1:19" x14ac:dyDescent="0.15">
      <c r="A18" s="15">
        <v>5</v>
      </c>
      <c r="B18" s="15" t="s">
        <v>14</v>
      </c>
      <c r="C18" s="46" t="str">
        <f>IF(B18="Smartphone", "Electronics", IF(B18="Laptop", "Computing", IF(B18="Tablet", "Mobile", IF(B18="Smartwatch", "Wearables", IF(B18="Headphones", "Audio", "Photography")))))</f>
        <v>Audio</v>
      </c>
      <c r="D18" s="47">
        <v>43525</v>
      </c>
      <c r="E18" s="48" t="str">
        <f t="shared" si="0"/>
        <v>Autumn</v>
      </c>
      <c r="F18" s="15">
        <v>74</v>
      </c>
      <c r="G18" s="15">
        <v>174</v>
      </c>
      <c r="H18" s="46">
        <f>F18+G18</f>
        <v>248</v>
      </c>
      <c r="I18" s="15">
        <v>137</v>
      </c>
      <c r="J18" s="15">
        <v>37</v>
      </c>
      <c r="K18" s="63">
        <f>F18+G18-I18</f>
        <v>111</v>
      </c>
      <c r="L18" s="63">
        <f>J18-K18</f>
        <v>-74</v>
      </c>
      <c r="M18" s="51">
        <f>I18/((F18+J18)/2)</f>
        <v>2.4684684684684686</v>
      </c>
      <c r="N18" s="15">
        <v>18</v>
      </c>
      <c r="O18" s="15">
        <v>0.87931454161626899</v>
      </c>
      <c r="P18" s="52">
        <v>78.950484744089806</v>
      </c>
      <c r="R18" s="15">
        <v>29</v>
      </c>
      <c r="S18" s="15">
        <v>18</v>
      </c>
    </row>
    <row r="19" spans="1:19" x14ac:dyDescent="0.15">
      <c r="A19" s="15">
        <v>6</v>
      </c>
      <c r="B19" s="15" t="s">
        <v>15</v>
      </c>
      <c r="C19" s="46" t="str">
        <f>IF(B19="Smartphone", "Electronics", IF(B19="Laptop", "Computing", IF(B19="Tablet", "Mobile", IF(B19="Smartwatch", "Wearables", IF(B19="Headphones", "Audio", "Photography")))))</f>
        <v>Photography</v>
      </c>
      <c r="D19" s="47">
        <v>43525</v>
      </c>
      <c r="E19" s="48" t="str">
        <f t="shared" si="0"/>
        <v>Autumn</v>
      </c>
      <c r="F19" s="15">
        <v>279</v>
      </c>
      <c r="G19" s="15">
        <v>216</v>
      </c>
      <c r="H19" s="46">
        <f>F19+G19</f>
        <v>495</v>
      </c>
      <c r="I19" s="15">
        <v>153</v>
      </c>
      <c r="J19" s="15">
        <v>126</v>
      </c>
      <c r="K19" s="63">
        <f>F19+G19-I19</f>
        <v>342</v>
      </c>
      <c r="L19" s="63">
        <f>J19-K19</f>
        <v>-216</v>
      </c>
      <c r="M19" s="51">
        <f>I19/((F19+J19)/2)</f>
        <v>0.75555555555555554</v>
      </c>
      <c r="N19" s="15">
        <v>21</v>
      </c>
      <c r="O19" s="15">
        <v>0.95354476156697998</v>
      </c>
      <c r="P19" s="52">
        <v>325.260098483918</v>
      </c>
      <c r="R19" s="15">
        <v>13</v>
      </c>
      <c r="S19" s="15">
        <v>21</v>
      </c>
    </row>
    <row r="20" spans="1:19" x14ac:dyDescent="0.15">
      <c r="A20" s="15">
        <v>1</v>
      </c>
      <c r="B20" s="15" t="s">
        <v>10</v>
      </c>
      <c r="C20" s="46" t="str">
        <f>IF(B20="Smartphone", "Electronics", IF(B20="Laptop", "Computing", IF(B20="Tablet", "Mobile", IF(B20="Smartwatch", "Wearables", IF(B20="Headphones", "Audio", "Photography")))))</f>
        <v>Electronics</v>
      </c>
      <c r="D20" s="47">
        <v>43556</v>
      </c>
      <c r="E20" s="48" t="str">
        <f t="shared" si="0"/>
        <v>Autumn</v>
      </c>
      <c r="F20" s="15">
        <v>80</v>
      </c>
      <c r="G20" s="15">
        <v>474</v>
      </c>
      <c r="H20" s="46">
        <f>F20+G20</f>
        <v>554</v>
      </c>
      <c r="I20" s="15">
        <v>502</v>
      </c>
      <c r="J20" s="15">
        <v>52</v>
      </c>
      <c r="K20" s="63">
        <f>F20+G20-I20</f>
        <v>52</v>
      </c>
      <c r="L20" s="63">
        <f>J20-K20</f>
        <v>0</v>
      </c>
      <c r="M20" s="51">
        <f>I20/((F20+J20)/2)</f>
        <v>7.6060606060606064</v>
      </c>
      <c r="N20" s="15">
        <v>13</v>
      </c>
      <c r="O20" s="15">
        <v>0.87626131772581395</v>
      </c>
      <c r="P20" s="52">
        <v>86.635475318175693</v>
      </c>
      <c r="R20" s="15">
        <v>18</v>
      </c>
      <c r="S20" s="15">
        <v>1</v>
      </c>
    </row>
    <row r="21" spans="1:19" x14ac:dyDescent="0.15">
      <c r="A21" s="15">
        <v>2</v>
      </c>
      <c r="B21" s="15" t="s">
        <v>11</v>
      </c>
      <c r="C21" s="46" t="str">
        <f>IF(B21="Smartphone", "Electronics", IF(B21="Laptop", "Computing", IF(B21="Tablet", "Mobile", IF(B21="Smartwatch", "Wearables", IF(B21="Headphones", "Audio", "Photography")))))</f>
        <v>Computing</v>
      </c>
      <c r="D21" s="47">
        <v>43556</v>
      </c>
      <c r="E21" s="48" t="str">
        <f t="shared" si="0"/>
        <v>Autumn</v>
      </c>
      <c r="F21" s="15">
        <v>129</v>
      </c>
      <c r="G21" s="15">
        <v>290</v>
      </c>
      <c r="H21" s="46">
        <f>F21+G21</f>
        <v>419</v>
      </c>
      <c r="I21" s="15">
        <v>328</v>
      </c>
      <c r="J21" s="15">
        <v>91</v>
      </c>
      <c r="K21" s="63">
        <f>F21+G21-I21</f>
        <v>91</v>
      </c>
      <c r="L21" s="63">
        <f>J21-K21</f>
        <v>0</v>
      </c>
      <c r="M21" s="51">
        <f>I21/((F21+J21)/2)</f>
        <v>2.9818181818181819</v>
      </c>
      <c r="N21" s="15">
        <v>21</v>
      </c>
      <c r="O21" s="15">
        <v>0.8</v>
      </c>
      <c r="P21" s="52">
        <v>17.733266829623901</v>
      </c>
      <c r="R21" s="15">
        <v>2</v>
      </c>
      <c r="S21" s="15">
        <v>24</v>
      </c>
    </row>
    <row r="22" spans="1:19" x14ac:dyDescent="0.15">
      <c r="A22" s="15">
        <v>3</v>
      </c>
      <c r="B22" s="15" t="s">
        <v>12</v>
      </c>
      <c r="C22" s="46" t="str">
        <f>IF(B22="Smartphone", "Electronics", IF(B22="Laptop", "Computing", IF(B22="Tablet", "Mobile", IF(B22="Smartwatch", "Wearables", IF(B22="Headphones", "Audio", "Photography")))))</f>
        <v>Mobile</v>
      </c>
      <c r="D22" s="47">
        <v>43556</v>
      </c>
      <c r="E22" s="48" t="str">
        <f t="shared" si="0"/>
        <v>Autumn</v>
      </c>
      <c r="F22" s="15">
        <v>63</v>
      </c>
      <c r="G22" s="15">
        <v>268</v>
      </c>
      <c r="H22" s="46">
        <f>F22+G22</f>
        <v>331</v>
      </c>
      <c r="I22" s="15">
        <v>303</v>
      </c>
      <c r="J22" s="15">
        <v>89</v>
      </c>
      <c r="K22" s="63">
        <f>F22+G22-I22</f>
        <v>28</v>
      </c>
      <c r="L22" s="63">
        <f>J22-K22</f>
        <v>61</v>
      </c>
      <c r="M22" s="51">
        <f>I22/((F22+J22)/2)</f>
        <v>3.986842105263158</v>
      </c>
      <c r="N22" s="15">
        <v>8</v>
      </c>
      <c r="O22" s="15">
        <v>0.90628755862677102</v>
      </c>
      <c r="P22" s="52">
        <v>86.932992772497698</v>
      </c>
      <c r="R22" s="15">
        <v>29</v>
      </c>
      <c r="S22" s="15">
        <v>3</v>
      </c>
    </row>
    <row r="23" spans="1:19" x14ac:dyDescent="0.15">
      <c r="A23" s="15">
        <v>4</v>
      </c>
      <c r="B23" s="15" t="s">
        <v>13</v>
      </c>
      <c r="C23" s="46" t="str">
        <f>IF(B23="Smartphone", "Electronics", IF(B23="Laptop", "Computing", IF(B23="Tablet", "Mobile", IF(B23="Smartwatch", "Wearables", IF(B23="Headphones", "Audio", "Photography")))))</f>
        <v>Wearables</v>
      </c>
      <c r="D23" s="47">
        <v>43556</v>
      </c>
      <c r="E23" s="48" t="str">
        <f t="shared" si="0"/>
        <v>Autumn</v>
      </c>
      <c r="F23" s="15">
        <v>102</v>
      </c>
      <c r="G23" s="15">
        <v>237</v>
      </c>
      <c r="H23" s="46">
        <f>F23+G23</f>
        <v>339</v>
      </c>
      <c r="I23" s="15">
        <v>295</v>
      </c>
      <c r="J23" s="15">
        <v>44</v>
      </c>
      <c r="K23" s="63">
        <f>F23+G23-I23</f>
        <v>44</v>
      </c>
      <c r="L23" s="63">
        <f>J23-K23</f>
        <v>0</v>
      </c>
      <c r="M23" s="51">
        <f>I23/((F23+J23)/2)</f>
        <v>4.0410958904109586</v>
      </c>
      <c r="N23" s="15">
        <v>14</v>
      </c>
      <c r="O23" s="15">
        <v>0.899290098779433</v>
      </c>
      <c r="P23" s="52">
        <v>23.663381579939301</v>
      </c>
      <c r="R23" s="15">
        <v>21</v>
      </c>
      <c r="S23" s="15">
        <v>22</v>
      </c>
    </row>
    <row r="24" spans="1:19" x14ac:dyDescent="0.15">
      <c r="A24" s="15">
        <v>5</v>
      </c>
      <c r="B24" s="15" t="s">
        <v>14</v>
      </c>
      <c r="C24" s="46" t="str">
        <f>IF(B24="Smartphone", "Electronics", IF(B24="Laptop", "Computing", IF(B24="Tablet", "Mobile", IF(B24="Smartwatch", "Wearables", IF(B24="Headphones", "Audio", "Photography")))))</f>
        <v>Audio</v>
      </c>
      <c r="D24" s="47">
        <v>43556</v>
      </c>
      <c r="E24" s="48" t="str">
        <f t="shared" si="0"/>
        <v>Autumn</v>
      </c>
      <c r="F24" s="15">
        <v>97</v>
      </c>
      <c r="G24" s="15">
        <v>351</v>
      </c>
      <c r="H24" s="46">
        <f>F24+G24</f>
        <v>448</v>
      </c>
      <c r="I24" s="15">
        <v>360</v>
      </c>
      <c r="J24" s="15">
        <v>88</v>
      </c>
      <c r="K24" s="63">
        <f>F24+G24-I24</f>
        <v>88</v>
      </c>
      <c r="L24" s="63">
        <f>J24-K24</f>
        <v>0</v>
      </c>
      <c r="M24" s="51">
        <f>I24/((F24+J24)/2)</f>
        <v>3.8918918918918921</v>
      </c>
      <c r="N24" s="15">
        <v>8</v>
      </c>
      <c r="O24" s="15">
        <v>0.85689750592977498</v>
      </c>
      <c r="P24" s="52">
        <v>103.122810948989</v>
      </c>
      <c r="R24" s="15">
        <v>15</v>
      </c>
      <c r="S24" s="15">
        <v>19</v>
      </c>
    </row>
    <row r="25" spans="1:19" x14ac:dyDescent="0.15">
      <c r="A25" s="15">
        <v>6</v>
      </c>
      <c r="B25" s="15" t="s">
        <v>15</v>
      </c>
      <c r="C25" s="46" t="str">
        <f>IF(B25="Smartphone", "Electronics", IF(B25="Laptop", "Computing", IF(B25="Tablet", "Mobile", IF(B25="Smartwatch", "Wearables", IF(B25="Headphones", "Audio", "Photography")))))</f>
        <v>Photography</v>
      </c>
      <c r="D25" s="47">
        <v>43556</v>
      </c>
      <c r="E25" s="48" t="str">
        <f t="shared" si="0"/>
        <v>Autumn</v>
      </c>
      <c r="F25" s="15">
        <v>118</v>
      </c>
      <c r="G25" s="15">
        <v>68</v>
      </c>
      <c r="H25" s="46">
        <f>F25+G25</f>
        <v>186</v>
      </c>
      <c r="I25" s="15">
        <v>159</v>
      </c>
      <c r="J25" s="15">
        <v>27</v>
      </c>
      <c r="K25" s="63">
        <f>F25+G25-I25</f>
        <v>27</v>
      </c>
      <c r="L25" s="63">
        <f>J25-K25</f>
        <v>0</v>
      </c>
      <c r="M25" s="51">
        <f>I25/((F25+J25)/2)</f>
        <v>2.193103448275862</v>
      </c>
      <c r="N25" s="15">
        <v>14</v>
      </c>
      <c r="O25" s="15">
        <v>0.90474999417485202</v>
      </c>
      <c r="P25" s="52">
        <v>33.634562504475603</v>
      </c>
      <c r="R25" s="15">
        <v>20</v>
      </c>
      <c r="S25" s="15">
        <v>23</v>
      </c>
    </row>
    <row r="26" spans="1:19" x14ac:dyDescent="0.15">
      <c r="A26" s="15">
        <v>1</v>
      </c>
      <c r="B26" s="15" t="s">
        <v>10</v>
      </c>
      <c r="C26" s="46" t="str">
        <f>IF(B26="Smartphone", "Electronics", IF(B26="Laptop", "Computing", IF(B26="Tablet", "Mobile", IF(B26="Smartwatch", "Wearables", IF(B26="Headphones", "Audio", "Photography")))))</f>
        <v>Electronics</v>
      </c>
      <c r="D26" s="47">
        <v>43586</v>
      </c>
      <c r="E26" s="48" t="str">
        <f t="shared" si="0"/>
        <v>Autumn</v>
      </c>
      <c r="F26" s="15">
        <v>38</v>
      </c>
      <c r="G26" s="15">
        <v>117</v>
      </c>
      <c r="H26" s="46">
        <f>F26+G26</f>
        <v>155</v>
      </c>
      <c r="I26" s="15">
        <v>122</v>
      </c>
      <c r="J26" s="15">
        <v>2</v>
      </c>
      <c r="K26" s="63">
        <f>F26+G26-I26</f>
        <v>33</v>
      </c>
      <c r="L26" s="63">
        <f>J26-K26</f>
        <v>-31</v>
      </c>
      <c r="M26" s="51">
        <f>I26/((F26+J26)/2)</f>
        <v>6.1</v>
      </c>
      <c r="N26" s="15">
        <v>7</v>
      </c>
      <c r="O26" s="15">
        <v>0.84623677058868296</v>
      </c>
      <c r="P26" s="52">
        <v>49.432360037966603</v>
      </c>
      <c r="R26" s="15">
        <v>27</v>
      </c>
      <c r="S26" s="15">
        <v>29</v>
      </c>
    </row>
    <row r="27" spans="1:19" x14ac:dyDescent="0.15">
      <c r="A27" s="15">
        <v>2</v>
      </c>
      <c r="B27" s="15" t="s">
        <v>11</v>
      </c>
      <c r="C27" s="46" t="str">
        <f>IF(B27="Smartphone", "Electronics", IF(B27="Laptop", "Computing", IF(B27="Tablet", "Mobile", IF(B27="Smartwatch", "Wearables", IF(B27="Headphones", "Audio", "Photography")))))</f>
        <v>Computing</v>
      </c>
      <c r="D27" s="47">
        <v>43586</v>
      </c>
      <c r="E27" s="48" t="str">
        <f t="shared" si="0"/>
        <v>Autumn</v>
      </c>
      <c r="F27" s="15">
        <v>51</v>
      </c>
      <c r="G27" s="15">
        <v>267</v>
      </c>
      <c r="H27" s="46">
        <f>F27+G27</f>
        <v>318</v>
      </c>
      <c r="I27" s="15">
        <v>260</v>
      </c>
      <c r="J27" s="15">
        <v>7</v>
      </c>
      <c r="K27" s="63">
        <f>F27+G27-I27</f>
        <v>58</v>
      </c>
      <c r="L27" s="63">
        <f>J27-K27</f>
        <v>-51</v>
      </c>
      <c r="M27" s="51">
        <f>I27/((F27+J27)/2)</f>
        <v>8.9655172413793096</v>
      </c>
      <c r="N27" s="15">
        <v>23</v>
      </c>
      <c r="O27" s="15">
        <v>0.91649199768116696</v>
      </c>
      <c r="P27" s="52">
        <v>57.012184042034697</v>
      </c>
      <c r="R27" s="15">
        <v>18</v>
      </c>
      <c r="S27" s="15">
        <v>7</v>
      </c>
    </row>
    <row r="28" spans="1:19" x14ac:dyDescent="0.15">
      <c r="A28" s="15">
        <v>3</v>
      </c>
      <c r="B28" s="15" t="s">
        <v>12</v>
      </c>
      <c r="C28" s="46" t="str">
        <f>IF(B28="Smartphone", "Electronics", IF(B28="Laptop", "Computing", IF(B28="Tablet", "Mobile", IF(B28="Smartwatch", "Wearables", IF(B28="Headphones", "Audio", "Photography")))))</f>
        <v>Mobile</v>
      </c>
      <c r="D28" s="47">
        <v>43586</v>
      </c>
      <c r="E28" s="48" t="str">
        <f t="shared" si="0"/>
        <v>Autumn</v>
      </c>
      <c r="F28" s="15">
        <v>50</v>
      </c>
      <c r="G28" s="15">
        <v>151</v>
      </c>
      <c r="H28" s="46">
        <f>F28+G28</f>
        <v>201</v>
      </c>
      <c r="I28" s="15">
        <v>147</v>
      </c>
      <c r="J28" s="15">
        <v>4</v>
      </c>
      <c r="K28" s="63">
        <f>F28+G28-I28</f>
        <v>54</v>
      </c>
      <c r="L28" s="63">
        <f>J28-K28</f>
        <v>-50</v>
      </c>
      <c r="M28" s="51">
        <f>I28/((F28+J28)/2)</f>
        <v>5.4444444444444446</v>
      </c>
      <c r="N28" s="15">
        <v>12</v>
      </c>
      <c r="O28" s="15">
        <v>1</v>
      </c>
      <c r="P28" s="52">
        <v>86.512363418368295</v>
      </c>
      <c r="R28" s="15">
        <v>15</v>
      </c>
      <c r="S28" s="15">
        <v>12</v>
      </c>
    </row>
    <row r="29" spans="1:19" x14ac:dyDescent="0.15">
      <c r="A29" s="15">
        <v>4</v>
      </c>
      <c r="B29" s="15" t="s">
        <v>13</v>
      </c>
      <c r="C29" s="46" t="str">
        <f>IF(B29="Smartphone", "Electronics", IF(B29="Laptop", "Computing", IF(B29="Tablet", "Mobile", IF(B29="Smartwatch", "Wearables", IF(B29="Headphones", "Audio", "Photography")))))</f>
        <v>Wearables</v>
      </c>
      <c r="D29" s="47">
        <v>43586</v>
      </c>
      <c r="E29" s="48" t="str">
        <f t="shared" si="0"/>
        <v>Autumn</v>
      </c>
      <c r="F29" s="15">
        <v>29</v>
      </c>
      <c r="G29" s="15">
        <v>91</v>
      </c>
      <c r="H29" s="46">
        <f>F29+G29</f>
        <v>120</v>
      </c>
      <c r="I29" s="15">
        <v>76</v>
      </c>
      <c r="J29" s="15">
        <v>15</v>
      </c>
      <c r="K29" s="63">
        <f>F29+G29-I29</f>
        <v>44</v>
      </c>
      <c r="L29" s="63">
        <f>J29-K29</f>
        <v>-29</v>
      </c>
      <c r="M29" s="51">
        <f>I29/((F29+J29)/2)</f>
        <v>3.4545454545454546</v>
      </c>
      <c r="N29" s="15">
        <v>11</v>
      </c>
      <c r="O29" s="15">
        <v>0.80971972635466105</v>
      </c>
      <c r="P29" s="52">
        <v>54.162980392028302</v>
      </c>
      <c r="R29" s="15">
        <v>19</v>
      </c>
      <c r="S29" s="15">
        <v>15</v>
      </c>
    </row>
    <row r="30" spans="1:19" x14ac:dyDescent="0.15">
      <c r="A30" s="15">
        <v>5</v>
      </c>
      <c r="B30" s="15" t="s">
        <v>14</v>
      </c>
      <c r="C30" s="46" t="str">
        <f>IF(B30="Smartphone", "Electronics", IF(B30="Laptop", "Computing", IF(B30="Tablet", "Mobile", IF(B30="Smartwatch", "Wearables", IF(B30="Headphones", "Audio", "Photography")))))</f>
        <v>Audio</v>
      </c>
      <c r="D30" s="47">
        <v>43586</v>
      </c>
      <c r="E30" s="48" t="str">
        <f t="shared" si="0"/>
        <v>Autumn</v>
      </c>
      <c r="F30" s="15">
        <v>44</v>
      </c>
      <c r="G30" s="15">
        <v>337</v>
      </c>
      <c r="H30" s="46">
        <f>F30+G30</f>
        <v>381</v>
      </c>
      <c r="I30" s="15">
        <v>251</v>
      </c>
      <c r="J30" s="15">
        <v>86</v>
      </c>
      <c r="K30" s="63">
        <f>F30+G30-I30</f>
        <v>130</v>
      </c>
      <c r="L30" s="63">
        <f>J30-K30</f>
        <v>-44</v>
      </c>
      <c r="M30" s="51">
        <f>I30/((F30+J30)/2)</f>
        <v>3.8615384615384616</v>
      </c>
      <c r="N30" s="15">
        <v>22</v>
      </c>
      <c r="O30" s="15">
        <v>0.87418789564954202</v>
      </c>
      <c r="P30" s="52">
        <v>64.561929690372395</v>
      </c>
      <c r="R30" s="15">
        <v>23</v>
      </c>
      <c r="S30" s="15">
        <v>25</v>
      </c>
    </row>
    <row r="31" spans="1:19" x14ac:dyDescent="0.15">
      <c r="A31" s="15">
        <v>6</v>
      </c>
      <c r="B31" s="15" t="s">
        <v>15</v>
      </c>
      <c r="C31" s="46" t="str">
        <f>IF(B31="Smartphone", "Electronics", IF(B31="Laptop", "Computing", IF(B31="Tablet", "Mobile", IF(B31="Smartwatch", "Wearables", IF(B31="Headphones", "Audio", "Photography")))))</f>
        <v>Photography</v>
      </c>
      <c r="D31" s="47">
        <v>43586</v>
      </c>
      <c r="E31" s="48" t="str">
        <f t="shared" si="0"/>
        <v>Autumn</v>
      </c>
      <c r="F31" s="15">
        <v>43</v>
      </c>
      <c r="G31" s="15">
        <v>216</v>
      </c>
      <c r="H31" s="46">
        <f>F31+G31</f>
        <v>259</v>
      </c>
      <c r="I31" s="15">
        <v>187</v>
      </c>
      <c r="J31" s="15">
        <v>29</v>
      </c>
      <c r="K31" s="63">
        <f>F31+G31-I31</f>
        <v>72</v>
      </c>
      <c r="L31" s="63">
        <f>J31-K31</f>
        <v>-43</v>
      </c>
      <c r="M31" s="51">
        <f>I31/((F31+J31)/2)</f>
        <v>5.1944444444444446</v>
      </c>
      <c r="N31" s="15">
        <v>22</v>
      </c>
      <c r="O31" s="15">
        <v>0.86617474392754301</v>
      </c>
      <c r="P31" s="52">
        <v>110.66215858616999</v>
      </c>
      <c r="R31" s="15">
        <v>24</v>
      </c>
      <c r="S31" s="15">
        <v>5</v>
      </c>
    </row>
    <row r="32" spans="1:19" x14ac:dyDescent="0.15">
      <c r="A32" s="15">
        <v>1</v>
      </c>
      <c r="B32" s="15" t="s">
        <v>10</v>
      </c>
      <c r="C32" s="46" t="str">
        <f>IF(B32="Smartphone", "Electronics", IF(B32="Laptop", "Computing", IF(B32="Tablet", "Mobile", IF(B32="Smartwatch", "Wearables", IF(B32="Headphones", "Audio", "Photography")))))</f>
        <v>Electronics</v>
      </c>
      <c r="D32" s="47">
        <v>43617</v>
      </c>
      <c r="E32" s="48" t="str">
        <f t="shared" si="0"/>
        <v>Winter</v>
      </c>
      <c r="F32" s="15">
        <v>53</v>
      </c>
      <c r="G32" s="15">
        <v>158</v>
      </c>
      <c r="H32" s="46">
        <f>F32+G32</f>
        <v>211</v>
      </c>
      <c r="I32" s="15">
        <v>156</v>
      </c>
      <c r="J32" s="15">
        <v>2</v>
      </c>
      <c r="K32" s="63">
        <f>F32+G32-I32</f>
        <v>55</v>
      </c>
      <c r="L32" s="63">
        <f>J32-K32</f>
        <v>-53</v>
      </c>
      <c r="M32" s="51">
        <f>I32/((F32+J32)/2)</f>
        <v>5.6727272727272728</v>
      </c>
      <c r="N32" s="15">
        <v>11</v>
      </c>
      <c r="O32" s="15">
        <v>0.87833700582562202</v>
      </c>
      <c r="P32" s="52">
        <v>49.9784792320701</v>
      </c>
      <c r="R32" s="15">
        <v>12</v>
      </c>
      <c r="S32" s="15">
        <v>15</v>
      </c>
    </row>
    <row r="33" spans="1:19" x14ac:dyDescent="0.15">
      <c r="A33" s="15">
        <v>2</v>
      </c>
      <c r="B33" s="15" t="s">
        <v>11</v>
      </c>
      <c r="C33" s="46" t="str">
        <f>IF(B33="Smartphone", "Electronics", IF(B33="Laptop", "Computing", IF(B33="Tablet", "Mobile", IF(B33="Smartwatch", "Wearables", IF(B33="Headphones", "Audio", "Photography")))))</f>
        <v>Computing</v>
      </c>
      <c r="D33" s="47">
        <v>43617</v>
      </c>
      <c r="E33" s="48" t="str">
        <f t="shared" si="0"/>
        <v>Winter</v>
      </c>
      <c r="F33" s="15">
        <v>51</v>
      </c>
      <c r="G33" s="15">
        <v>85</v>
      </c>
      <c r="H33" s="46">
        <f>F33+G33</f>
        <v>136</v>
      </c>
      <c r="I33" s="15">
        <v>87</v>
      </c>
      <c r="J33" s="15">
        <v>55</v>
      </c>
      <c r="K33" s="63">
        <f>F33+G33-I33</f>
        <v>49</v>
      </c>
      <c r="L33" s="63">
        <f>J33-K33</f>
        <v>6</v>
      </c>
      <c r="M33" s="51">
        <f>I33/((F33+J33)/2)</f>
        <v>1.6415094339622642</v>
      </c>
      <c r="N33" s="15">
        <v>25</v>
      </c>
      <c r="O33" s="15">
        <v>0.95099622897984804</v>
      </c>
      <c r="P33" s="52">
        <v>81.369789051371697</v>
      </c>
      <c r="R33" s="15">
        <v>13</v>
      </c>
      <c r="S33" s="15">
        <v>8</v>
      </c>
    </row>
    <row r="34" spans="1:19" x14ac:dyDescent="0.15">
      <c r="A34" s="15">
        <v>3</v>
      </c>
      <c r="B34" s="15" t="s">
        <v>12</v>
      </c>
      <c r="C34" s="46" t="str">
        <f>IF(B34="Smartphone", "Electronics", IF(B34="Laptop", "Computing", IF(B34="Tablet", "Mobile", IF(B34="Smartwatch", "Wearables", IF(B34="Headphones", "Audio", "Photography")))))</f>
        <v>Mobile</v>
      </c>
      <c r="D34" s="47">
        <v>43617</v>
      </c>
      <c r="E34" s="48" t="str">
        <f t="shared" si="0"/>
        <v>Winter</v>
      </c>
      <c r="F34" s="15">
        <v>47</v>
      </c>
      <c r="G34" s="15">
        <v>281</v>
      </c>
      <c r="H34" s="46">
        <f>F34+G34</f>
        <v>328</v>
      </c>
      <c r="I34" s="15">
        <v>246</v>
      </c>
      <c r="J34" s="15">
        <v>35</v>
      </c>
      <c r="K34" s="63">
        <f>F34+G34-I34</f>
        <v>82</v>
      </c>
      <c r="L34" s="63">
        <f>J34-K34</f>
        <v>-47</v>
      </c>
      <c r="M34" s="51">
        <f>I34/((F34+J34)/2)</f>
        <v>6</v>
      </c>
      <c r="N34" s="15">
        <v>22</v>
      </c>
      <c r="O34" s="15">
        <v>0.92714132796595095</v>
      </c>
      <c r="P34" s="52">
        <v>64.415640861326906</v>
      </c>
      <c r="R34" s="15">
        <v>22</v>
      </c>
      <c r="S34" s="15">
        <v>10</v>
      </c>
    </row>
    <row r="35" spans="1:19" x14ac:dyDescent="0.15">
      <c r="A35" s="15">
        <v>4</v>
      </c>
      <c r="B35" s="15" t="s">
        <v>13</v>
      </c>
      <c r="C35" s="46" t="str">
        <f>IF(B35="Smartphone", "Electronics", IF(B35="Laptop", "Computing", IF(B35="Tablet", "Mobile", IF(B35="Smartwatch", "Wearables", IF(B35="Headphones", "Audio", "Photography")))))</f>
        <v>Wearables</v>
      </c>
      <c r="D35" s="47">
        <v>43617</v>
      </c>
      <c r="E35" s="48" t="str">
        <f t="shared" si="0"/>
        <v>Winter</v>
      </c>
      <c r="F35" s="15">
        <v>53</v>
      </c>
      <c r="G35" s="15">
        <v>278</v>
      </c>
      <c r="H35" s="46">
        <f>F35+G35</f>
        <v>331</v>
      </c>
      <c r="I35" s="15">
        <v>254</v>
      </c>
      <c r="J35" s="15">
        <v>24</v>
      </c>
      <c r="K35" s="63">
        <f>F35+G35-I35</f>
        <v>77</v>
      </c>
      <c r="L35" s="63">
        <f>J35-K35</f>
        <v>-53</v>
      </c>
      <c r="M35" s="51">
        <f>I35/((F35+J35)/2)</f>
        <v>6.5974025974025974</v>
      </c>
      <c r="N35" s="15">
        <v>28</v>
      </c>
      <c r="O35" s="15">
        <v>0.942438325130321</v>
      </c>
      <c r="P35" s="52">
        <v>19.197108163364799</v>
      </c>
      <c r="R35" s="15">
        <v>11</v>
      </c>
      <c r="S35" s="15">
        <v>26</v>
      </c>
    </row>
    <row r="36" spans="1:19" x14ac:dyDescent="0.15">
      <c r="A36" s="15">
        <v>5</v>
      </c>
      <c r="B36" s="15" t="s">
        <v>14</v>
      </c>
      <c r="C36" s="46" t="str">
        <f>IF(B36="Smartphone", "Electronics", IF(B36="Laptop", "Computing", IF(B36="Tablet", "Mobile", IF(B36="Smartwatch", "Wearables", IF(B36="Headphones", "Audio", "Photography")))))</f>
        <v>Audio</v>
      </c>
      <c r="D36" s="47">
        <v>43617</v>
      </c>
      <c r="E36" s="48" t="str">
        <f t="shared" si="0"/>
        <v>Winter</v>
      </c>
      <c r="F36" s="15">
        <v>48</v>
      </c>
      <c r="G36" s="15">
        <v>402</v>
      </c>
      <c r="H36" s="46">
        <f>F36+G36</f>
        <v>450</v>
      </c>
      <c r="I36" s="15">
        <v>379</v>
      </c>
      <c r="J36" s="15">
        <v>23</v>
      </c>
      <c r="K36" s="63">
        <f>F36+G36-I36</f>
        <v>71</v>
      </c>
      <c r="L36" s="63">
        <f>J36-K36</f>
        <v>-48</v>
      </c>
      <c r="M36" s="51">
        <f>I36/((F36+J36)/2)</f>
        <v>10.67605633802817</v>
      </c>
      <c r="N36" s="15">
        <v>29</v>
      </c>
      <c r="O36" s="15">
        <v>0.90152477523768004</v>
      </c>
      <c r="P36" s="52">
        <v>39.804300871906797</v>
      </c>
      <c r="R36" s="15">
        <v>5</v>
      </c>
      <c r="S36" s="15">
        <v>16</v>
      </c>
    </row>
    <row r="37" spans="1:19" x14ac:dyDescent="0.15">
      <c r="A37" s="15">
        <v>6</v>
      </c>
      <c r="B37" s="15" t="s">
        <v>15</v>
      </c>
      <c r="C37" s="46" t="str">
        <f>IF(B37="Smartphone", "Electronics", IF(B37="Laptop", "Computing", IF(B37="Tablet", "Mobile", IF(B37="Smartwatch", "Wearables", IF(B37="Headphones", "Audio", "Photography")))))</f>
        <v>Photography</v>
      </c>
      <c r="D37" s="47">
        <v>43617</v>
      </c>
      <c r="E37" s="48" t="str">
        <f t="shared" si="0"/>
        <v>Winter</v>
      </c>
      <c r="F37" s="15">
        <v>94</v>
      </c>
      <c r="G37" s="15">
        <v>213</v>
      </c>
      <c r="H37" s="46">
        <f>F37+G37</f>
        <v>307</v>
      </c>
      <c r="I37" s="15">
        <v>190</v>
      </c>
      <c r="J37" s="15">
        <v>23</v>
      </c>
      <c r="K37" s="63">
        <f>F37+G37-I37</f>
        <v>117</v>
      </c>
      <c r="L37" s="63">
        <f>J37-K37</f>
        <v>-94</v>
      </c>
      <c r="M37" s="51">
        <f>I37/((F37+J37)/2)</f>
        <v>3.2478632478632479</v>
      </c>
      <c r="N37" s="15">
        <v>13</v>
      </c>
      <c r="O37" s="15">
        <v>0.833895034002757</v>
      </c>
      <c r="P37" s="52">
        <v>49.267178088231198</v>
      </c>
      <c r="R37" s="15">
        <v>29</v>
      </c>
      <c r="S37" s="15">
        <v>8</v>
      </c>
    </row>
    <row r="38" spans="1:19" x14ac:dyDescent="0.15">
      <c r="A38" s="15">
        <v>1</v>
      </c>
      <c r="B38" s="15" t="s">
        <v>10</v>
      </c>
      <c r="C38" s="46" t="str">
        <f>IF(B38="Smartphone", "Electronics", IF(B38="Laptop", "Computing", IF(B38="Tablet", "Mobile", IF(B38="Smartwatch", "Wearables", IF(B38="Headphones", "Audio", "Photography")))))</f>
        <v>Electronics</v>
      </c>
      <c r="D38" s="47">
        <v>43647</v>
      </c>
      <c r="E38" s="48" t="str">
        <f t="shared" si="0"/>
        <v>Winter</v>
      </c>
      <c r="F38" s="15">
        <v>24</v>
      </c>
      <c r="G38" s="15">
        <v>436</v>
      </c>
      <c r="H38" s="46">
        <f>F38+G38</f>
        <v>460</v>
      </c>
      <c r="I38" s="15">
        <v>433</v>
      </c>
      <c r="J38" s="15">
        <v>3</v>
      </c>
      <c r="K38" s="63">
        <f>F38+G38-I38</f>
        <v>27</v>
      </c>
      <c r="L38" s="63">
        <f>J38-K38</f>
        <v>-24</v>
      </c>
      <c r="M38" s="51">
        <f>I38/((F38+J38)/2)</f>
        <v>32.074074074074076</v>
      </c>
      <c r="N38" s="15">
        <v>18</v>
      </c>
      <c r="O38" s="15">
        <v>0.84426573193700105</v>
      </c>
      <c r="P38" s="52">
        <v>53.301464507264299</v>
      </c>
      <c r="R38" s="15">
        <v>2</v>
      </c>
      <c r="S38" s="15">
        <v>1</v>
      </c>
    </row>
    <row r="39" spans="1:19" x14ac:dyDescent="0.15">
      <c r="A39" s="15">
        <v>2</v>
      </c>
      <c r="B39" s="15" t="s">
        <v>11</v>
      </c>
      <c r="C39" s="46" t="str">
        <f>IF(B39="Smartphone", "Electronics", IF(B39="Laptop", "Computing", IF(B39="Tablet", "Mobile", IF(B39="Smartwatch", "Wearables", IF(B39="Headphones", "Audio", "Photography")))))</f>
        <v>Computing</v>
      </c>
      <c r="D39" s="47">
        <v>43647</v>
      </c>
      <c r="E39" s="48" t="str">
        <f t="shared" si="0"/>
        <v>Winter</v>
      </c>
      <c r="F39" s="15">
        <v>168</v>
      </c>
      <c r="G39" s="15">
        <v>122</v>
      </c>
      <c r="H39" s="46">
        <f>F39+G39</f>
        <v>290</v>
      </c>
      <c r="I39" s="15">
        <v>283</v>
      </c>
      <c r="J39" s="15">
        <v>56</v>
      </c>
      <c r="K39" s="63">
        <f>F39+G39-I39</f>
        <v>7</v>
      </c>
      <c r="L39" s="63">
        <f>J39-K39</f>
        <v>49</v>
      </c>
      <c r="M39" s="51">
        <f>I39/((F39+J39)/2)</f>
        <v>2.5267857142857144</v>
      </c>
      <c r="N39" s="15">
        <v>2</v>
      </c>
      <c r="O39" s="15">
        <v>0.93731298537332897</v>
      </c>
      <c r="P39" s="52">
        <v>100.33030810445</v>
      </c>
      <c r="R39" s="15">
        <v>9</v>
      </c>
      <c r="S39" s="15">
        <v>12</v>
      </c>
    </row>
    <row r="40" spans="1:19" x14ac:dyDescent="0.15">
      <c r="A40" s="15">
        <v>3</v>
      </c>
      <c r="B40" s="15" t="s">
        <v>12</v>
      </c>
      <c r="C40" s="46" t="str">
        <f>IF(B40="Smartphone", "Electronics", IF(B40="Laptop", "Computing", IF(B40="Tablet", "Mobile", IF(B40="Smartwatch", "Wearables", IF(B40="Headphones", "Audio", "Photography")))))</f>
        <v>Mobile</v>
      </c>
      <c r="D40" s="47">
        <v>43647</v>
      </c>
      <c r="E40" s="48" t="str">
        <f t="shared" si="0"/>
        <v>Winter</v>
      </c>
      <c r="F40" s="15">
        <v>44</v>
      </c>
      <c r="G40" s="15">
        <v>185</v>
      </c>
      <c r="H40" s="46">
        <f>F40+G40</f>
        <v>229</v>
      </c>
      <c r="I40" s="15">
        <v>100</v>
      </c>
      <c r="J40" s="15">
        <v>85</v>
      </c>
      <c r="K40" s="63">
        <f>F40+G40-I40</f>
        <v>129</v>
      </c>
      <c r="L40" s="63">
        <f>J40-K40</f>
        <v>-44</v>
      </c>
      <c r="M40" s="51">
        <f>I40/((F40+J40)/2)</f>
        <v>1.5503875968992249</v>
      </c>
      <c r="N40" s="15">
        <v>29</v>
      </c>
      <c r="O40" s="15">
        <v>0.908541594920664</v>
      </c>
      <c r="P40" s="52">
        <v>237.331320149449</v>
      </c>
      <c r="R40" s="15">
        <v>16</v>
      </c>
      <c r="S40" s="15">
        <v>5</v>
      </c>
    </row>
    <row r="41" spans="1:19" x14ac:dyDescent="0.15">
      <c r="A41" s="15">
        <v>4</v>
      </c>
      <c r="B41" s="15" t="s">
        <v>13</v>
      </c>
      <c r="C41" s="46" t="str">
        <f>IF(B41="Smartphone", "Electronics", IF(B41="Laptop", "Computing", IF(B41="Tablet", "Mobile", IF(B41="Smartwatch", "Wearables", IF(B41="Headphones", "Audio", "Photography")))))</f>
        <v>Wearables</v>
      </c>
      <c r="D41" s="47">
        <v>43647</v>
      </c>
      <c r="E41" s="48" t="str">
        <f t="shared" si="0"/>
        <v>Winter</v>
      </c>
      <c r="F41" s="15">
        <v>85</v>
      </c>
      <c r="G41" s="15">
        <v>402</v>
      </c>
      <c r="H41" s="46">
        <f>F41+G41</f>
        <v>487</v>
      </c>
      <c r="I41" s="15">
        <v>322</v>
      </c>
      <c r="J41" s="15">
        <v>80</v>
      </c>
      <c r="K41" s="63">
        <f>F41+G41-I41</f>
        <v>165</v>
      </c>
      <c r="L41" s="63">
        <f>J41-K41</f>
        <v>-85</v>
      </c>
      <c r="M41" s="51">
        <f>I41/((F41+J41)/2)</f>
        <v>3.9030303030303028</v>
      </c>
      <c r="N41" s="15">
        <v>21</v>
      </c>
      <c r="O41" s="15">
        <v>0.96301037030394199</v>
      </c>
      <c r="P41" s="52">
        <v>139.027825302389</v>
      </c>
      <c r="R41" s="15">
        <v>13</v>
      </c>
      <c r="S41" s="15">
        <v>3</v>
      </c>
    </row>
    <row r="42" spans="1:19" x14ac:dyDescent="0.15">
      <c r="A42" s="15">
        <v>5</v>
      </c>
      <c r="B42" s="15" t="s">
        <v>14</v>
      </c>
      <c r="C42" s="46" t="str">
        <f>IF(B42="Smartphone", "Electronics", IF(B42="Laptop", "Computing", IF(B42="Tablet", "Mobile", IF(B42="Smartwatch", "Wearables", IF(B42="Headphones", "Audio", "Photography")))))</f>
        <v>Audio</v>
      </c>
      <c r="D42" s="47">
        <v>43647</v>
      </c>
      <c r="E42" s="48" t="str">
        <f t="shared" si="0"/>
        <v>Winter</v>
      </c>
      <c r="F42" s="15">
        <v>12</v>
      </c>
      <c r="G42" s="15">
        <v>428</v>
      </c>
      <c r="H42" s="46">
        <f>F42+G42</f>
        <v>440</v>
      </c>
      <c r="I42" s="15">
        <v>394</v>
      </c>
      <c r="J42" s="15">
        <v>34</v>
      </c>
      <c r="K42" s="63">
        <f>F42+G42-I42</f>
        <v>46</v>
      </c>
      <c r="L42" s="63">
        <f>J42-K42</f>
        <v>-12</v>
      </c>
      <c r="M42" s="51">
        <f>I42/((F42+J42)/2)</f>
        <v>17.130434782608695</v>
      </c>
      <c r="N42" s="15">
        <v>15</v>
      </c>
      <c r="O42" s="15">
        <v>0.91466310516233895</v>
      </c>
      <c r="P42" s="52">
        <v>37.906821649754797</v>
      </c>
      <c r="R42" s="15">
        <v>9</v>
      </c>
      <c r="S42" s="15">
        <v>1</v>
      </c>
    </row>
    <row r="43" spans="1:19" x14ac:dyDescent="0.15">
      <c r="A43" s="15">
        <v>6</v>
      </c>
      <c r="B43" s="15" t="s">
        <v>15</v>
      </c>
      <c r="C43" s="46" t="str">
        <f>IF(B43="Smartphone", "Electronics", IF(B43="Laptop", "Computing", IF(B43="Tablet", "Mobile", IF(B43="Smartwatch", "Wearables", IF(B43="Headphones", "Audio", "Photography")))))</f>
        <v>Photography</v>
      </c>
      <c r="D43" s="47">
        <v>43647</v>
      </c>
      <c r="E43" s="48" t="str">
        <f t="shared" si="0"/>
        <v>Winter</v>
      </c>
      <c r="F43" s="15">
        <v>52</v>
      </c>
      <c r="G43" s="15">
        <v>119</v>
      </c>
      <c r="H43" s="46">
        <f>F43+G43</f>
        <v>171</v>
      </c>
      <c r="I43" s="15">
        <v>23</v>
      </c>
      <c r="J43" s="15">
        <v>96</v>
      </c>
      <c r="K43" s="63">
        <f>F43+G43-I43</f>
        <v>148</v>
      </c>
      <c r="L43" s="63">
        <f>J43-K43</f>
        <v>-52</v>
      </c>
      <c r="M43" s="51">
        <f>I43/((F43+J43)/2)</f>
        <v>0.3108108108108108</v>
      </c>
      <c r="N43" s="15">
        <v>20</v>
      </c>
      <c r="O43" s="15">
        <v>0.84084925033339297</v>
      </c>
      <c r="P43" s="52">
        <v>212.61822426308501</v>
      </c>
      <c r="R43" s="15">
        <v>20</v>
      </c>
      <c r="S43" s="15">
        <v>4</v>
      </c>
    </row>
    <row r="44" spans="1:19" x14ac:dyDescent="0.15">
      <c r="A44" s="15">
        <v>1</v>
      </c>
      <c r="B44" s="15" t="s">
        <v>10</v>
      </c>
      <c r="C44" s="46" t="str">
        <f>IF(B44="Smartphone", "Electronics", IF(B44="Laptop", "Computing", IF(B44="Tablet", "Mobile", IF(B44="Smartwatch", "Wearables", IF(B44="Headphones", "Audio", "Photography")))))</f>
        <v>Electronics</v>
      </c>
      <c r="D44" s="47">
        <v>43678</v>
      </c>
      <c r="E44" s="48" t="str">
        <f t="shared" si="0"/>
        <v>Winter</v>
      </c>
      <c r="F44" s="15">
        <v>239</v>
      </c>
      <c r="G44" s="15">
        <v>474</v>
      </c>
      <c r="H44" s="46">
        <f>F44+G44</f>
        <v>713</v>
      </c>
      <c r="I44" s="15">
        <v>458</v>
      </c>
      <c r="J44" s="15">
        <v>16</v>
      </c>
      <c r="K44" s="63">
        <f>F44+G44-I44</f>
        <v>255</v>
      </c>
      <c r="L44" s="63">
        <f>J44-K44</f>
        <v>-239</v>
      </c>
      <c r="M44" s="51">
        <f>I44/((F44+J44)/2)</f>
        <v>3.5921568627450982</v>
      </c>
      <c r="N44" s="15">
        <v>27</v>
      </c>
      <c r="O44" s="15">
        <v>0.87390490929084197</v>
      </c>
      <c r="P44" s="52">
        <v>13.7404866068554</v>
      </c>
      <c r="R44" s="15">
        <v>4</v>
      </c>
      <c r="S44" s="15">
        <v>8</v>
      </c>
    </row>
    <row r="45" spans="1:19" x14ac:dyDescent="0.15">
      <c r="A45" s="15">
        <v>2</v>
      </c>
      <c r="B45" s="15" t="s">
        <v>11</v>
      </c>
      <c r="C45" s="46" t="str">
        <f>IF(B45="Smartphone", "Electronics", IF(B45="Laptop", "Computing", IF(B45="Tablet", "Mobile", IF(B45="Smartwatch", "Wearables", IF(B45="Headphones", "Audio", "Photography")))))</f>
        <v>Computing</v>
      </c>
      <c r="D45" s="47">
        <v>43678</v>
      </c>
      <c r="E45" s="48" t="str">
        <f t="shared" si="0"/>
        <v>Winter</v>
      </c>
      <c r="F45" s="15">
        <v>42</v>
      </c>
      <c r="G45" s="15">
        <v>245</v>
      </c>
      <c r="H45" s="46">
        <f>F45+G45</f>
        <v>287</v>
      </c>
      <c r="I45" s="15">
        <v>153</v>
      </c>
      <c r="J45" s="15">
        <v>92</v>
      </c>
      <c r="K45" s="63">
        <f>F45+G45-I45</f>
        <v>134</v>
      </c>
      <c r="L45" s="63">
        <f>J45-K45</f>
        <v>-42</v>
      </c>
      <c r="M45" s="51">
        <f>I45/((F45+J45)/2)</f>
        <v>2.283582089552239</v>
      </c>
      <c r="N45" s="15">
        <v>18</v>
      </c>
      <c r="O45" s="15">
        <v>0.928240707484146</v>
      </c>
      <c r="P45" s="52">
        <v>81.439143182314993</v>
      </c>
      <c r="R45" s="15">
        <v>22</v>
      </c>
      <c r="S45" s="15">
        <v>3</v>
      </c>
    </row>
    <row r="46" spans="1:19" x14ac:dyDescent="0.15">
      <c r="A46" s="15">
        <v>3</v>
      </c>
      <c r="B46" s="15" t="s">
        <v>12</v>
      </c>
      <c r="C46" s="46" t="str">
        <f>IF(B46="Smartphone", "Electronics", IF(B46="Laptop", "Computing", IF(B46="Tablet", "Mobile", IF(B46="Smartwatch", "Wearables", IF(B46="Headphones", "Audio", "Photography")))))</f>
        <v>Mobile</v>
      </c>
      <c r="D46" s="47">
        <v>43678</v>
      </c>
      <c r="E46" s="48" t="str">
        <f t="shared" si="0"/>
        <v>Winter</v>
      </c>
      <c r="F46" s="15">
        <v>14</v>
      </c>
      <c r="G46" s="15">
        <v>318</v>
      </c>
      <c r="H46" s="46">
        <f>F46+G46</f>
        <v>332</v>
      </c>
      <c r="I46" s="15">
        <v>309</v>
      </c>
      <c r="J46" s="15">
        <v>9</v>
      </c>
      <c r="K46" s="63">
        <f>F46+G46-I46</f>
        <v>23</v>
      </c>
      <c r="L46" s="63">
        <f>J46-K46</f>
        <v>-14</v>
      </c>
      <c r="M46" s="51">
        <f>I46/((F46+J46)/2)</f>
        <v>26.869565217391305</v>
      </c>
      <c r="N46" s="15">
        <v>15</v>
      </c>
      <c r="O46" s="15">
        <v>0.93551662481193099</v>
      </c>
      <c r="P46" s="52">
        <v>100.182315049064</v>
      </c>
      <c r="R46" s="15">
        <v>10</v>
      </c>
      <c r="S46" s="15">
        <v>10</v>
      </c>
    </row>
    <row r="47" spans="1:19" x14ac:dyDescent="0.15">
      <c r="A47" s="15">
        <v>4</v>
      </c>
      <c r="B47" s="15" t="s">
        <v>13</v>
      </c>
      <c r="C47" s="46" t="str">
        <f>IF(B47="Smartphone", "Electronics", IF(B47="Laptop", "Computing", IF(B47="Tablet", "Mobile", IF(B47="Smartwatch", "Wearables", IF(B47="Headphones", "Audio", "Photography")))))</f>
        <v>Wearables</v>
      </c>
      <c r="D47" s="47">
        <v>43678</v>
      </c>
      <c r="E47" s="48" t="str">
        <f t="shared" si="0"/>
        <v>Winter</v>
      </c>
      <c r="F47" s="15">
        <v>63</v>
      </c>
      <c r="G47" s="15">
        <v>98</v>
      </c>
      <c r="H47" s="46">
        <f>F47+G47</f>
        <v>161</v>
      </c>
      <c r="I47" s="15">
        <v>36</v>
      </c>
      <c r="J47" s="15">
        <v>62</v>
      </c>
      <c r="K47" s="63">
        <f>F47+G47-I47</f>
        <v>125</v>
      </c>
      <c r="L47" s="63">
        <f>J47-K47</f>
        <v>-63</v>
      </c>
      <c r="M47" s="51">
        <f>I47/((F47+J47)/2)</f>
        <v>0.57599999999999996</v>
      </c>
      <c r="N47" s="15">
        <v>19</v>
      </c>
      <c r="O47" s="15">
        <v>0.94275543160773401</v>
      </c>
      <c r="P47" s="52">
        <v>148.74410115507101</v>
      </c>
      <c r="R47" s="15">
        <v>26</v>
      </c>
      <c r="S47" s="15">
        <v>2</v>
      </c>
    </row>
    <row r="48" spans="1:19" x14ac:dyDescent="0.15">
      <c r="A48" s="15">
        <v>5</v>
      </c>
      <c r="B48" s="15" t="s">
        <v>14</v>
      </c>
      <c r="C48" s="46" t="str">
        <f>IF(B48="Smartphone", "Electronics", IF(B48="Laptop", "Computing", IF(B48="Tablet", "Mobile", IF(B48="Smartwatch", "Wearables", IF(B48="Headphones", "Audio", "Photography")))))</f>
        <v>Audio</v>
      </c>
      <c r="D48" s="47">
        <v>43678</v>
      </c>
      <c r="E48" s="48" t="str">
        <f t="shared" si="0"/>
        <v>Winter</v>
      </c>
      <c r="F48" s="15">
        <v>11</v>
      </c>
      <c r="G48" s="15">
        <v>365</v>
      </c>
      <c r="H48" s="46">
        <f>F48+G48</f>
        <v>376</v>
      </c>
      <c r="I48" s="15">
        <v>284</v>
      </c>
      <c r="J48" s="15">
        <v>81</v>
      </c>
      <c r="K48" s="63">
        <f>F48+G48-I48</f>
        <v>92</v>
      </c>
      <c r="L48" s="63">
        <f>J48-K48</f>
        <v>-11</v>
      </c>
      <c r="M48" s="51">
        <f>I48/((F48+J48)/2)</f>
        <v>6.1739130434782608</v>
      </c>
      <c r="N48" s="15">
        <v>23</v>
      </c>
      <c r="O48" s="15">
        <v>0.84757379433974001</v>
      </c>
      <c r="P48" s="52">
        <v>58.756055775779501</v>
      </c>
      <c r="R48" s="15">
        <v>26</v>
      </c>
      <c r="S48" s="15">
        <v>11</v>
      </c>
    </row>
    <row r="49" spans="1:19" x14ac:dyDescent="0.15">
      <c r="A49" s="15">
        <v>6</v>
      </c>
      <c r="B49" s="15" t="s">
        <v>15</v>
      </c>
      <c r="C49" s="46" t="str">
        <f>IF(B49="Smartphone", "Electronics", IF(B49="Laptop", "Computing", IF(B49="Tablet", "Mobile", IF(B49="Smartwatch", "Wearables", IF(B49="Headphones", "Audio", "Photography")))))</f>
        <v>Photography</v>
      </c>
      <c r="D49" s="47">
        <v>43678</v>
      </c>
      <c r="E49" s="48" t="str">
        <f t="shared" si="0"/>
        <v>Winter</v>
      </c>
      <c r="F49" s="15">
        <v>17</v>
      </c>
      <c r="G49" s="15">
        <v>179</v>
      </c>
      <c r="H49" s="46">
        <f>F49+G49</f>
        <v>196</v>
      </c>
      <c r="I49" s="15">
        <v>188</v>
      </c>
      <c r="J49" s="15">
        <v>79</v>
      </c>
      <c r="K49" s="63">
        <f>F49+G49-I49</f>
        <v>8</v>
      </c>
      <c r="L49" s="63">
        <f>J49-K49</f>
        <v>71</v>
      </c>
      <c r="M49" s="51">
        <f>I49/((F49+J49)/2)</f>
        <v>3.9166666666666665</v>
      </c>
      <c r="N49" s="15">
        <v>24</v>
      </c>
      <c r="O49" s="15">
        <v>0.83994849169615304</v>
      </c>
      <c r="P49" s="52">
        <v>76.789055354760805</v>
      </c>
      <c r="R49" s="15">
        <v>22</v>
      </c>
      <c r="S49" s="15">
        <v>25</v>
      </c>
    </row>
    <row r="50" spans="1:19" x14ac:dyDescent="0.15">
      <c r="A50" s="15">
        <v>1</v>
      </c>
      <c r="B50" s="15" t="s">
        <v>10</v>
      </c>
      <c r="C50" s="46" t="str">
        <f>IF(B50="Smartphone", "Electronics", IF(B50="Laptop", "Computing", IF(B50="Tablet", "Mobile", IF(B50="Smartwatch", "Wearables", IF(B50="Headphones", "Audio", "Photography")))))</f>
        <v>Electronics</v>
      </c>
      <c r="D50" s="47">
        <v>43709</v>
      </c>
      <c r="E50" s="48" t="str">
        <f t="shared" si="0"/>
        <v>Spring</v>
      </c>
      <c r="F50" s="15">
        <v>22</v>
      </c>
      <c r="G50" s="15">
        <v>493</v>
      </c>
      <c r="H50" s="46">
        <f>F50+G50</f>
        <v>515</v>
      </c>
      <c r="I50" s="15">
        <v>337</v>
      </c>
      <c r="J50" s="15">
        <v>156</v>
      </c>
      <c r="K50" s="63">
        <f>F50+G50-I50</f>
        <v>178</v>
      </c>
      <c r="L50" s="63">
        <f>J50-K50</f>
        <v>-22</v>
      </c>
      <c r="M50" s="51">
        <f>I50/((F50+J50)/2)</f>
        <v>3.7865168539325844</v>
      </c>
      <c r="N50" s="15">
        <v>12</v>
      </c>
      <c r="O50" s="15">
        <v>0.89050987401262804</v>
      </c>
      <c r="P50" s="52">
        <v>45.398052272973104</v>
      </c>
      <c r="R50" s="15">
        <v>12</v>
      </c>
      <c r="S50" s="15">
        <v>10</v>
      </c>
    </row>
    <row r="51" spans="1:19" x14ac:dyDescent="0.15">
      <c r="A51" s="15">
        <v>2</v>
      </c>
      <c r="B51" s="15" t="s">
        <v>11</v>
      </c>
      <c r="C51" s="46" t="str">
        <f>IF(B51="Smartphone", "Electronics", IF(B51="Laptop", "Computing", IF(B51="Tablet", "Mobile", IF(B51="Smartwatch", "Wearables", IF(B51="Headphones", "Audio", "Photography")))))</f>
        <v>Computing</v>
      </c>
      <c r="D51" s="47">
        <v>43709</v>
      </c>
      <c r="E51" s="48" t="str">
        <f t="shared" si="0"/>
        <v>Spring</v>
      </c>
      <c r="F51" s="15">
        <v>92</v>
      </c>
      <c r="G51" s="15">
        <v>54</v>
      </c>
      <c r="H51" s="46">
        <f>F51+G51</f>
        <v>146</v>
      </c>
      <c r="I51" s="15">
        <v>36</v>
      </c>
      <c r="J51" s="15">
        <v>18</v>
      </c>
      <c r="K51" s="63">
        <f>F51+G51-I51</f>
        <v>110</v>
      </c>
      <c r="L51" s="63">
        <f>J51-K51</f>
        <v>-92</v>
      </c>
      <c r="M51" s="51">
        <f>I51/((F51+J51)/2)</f>
        <v>0.65454545454545454</v>
      </c>
      <c r="N51" s="15">
        <v>13</v>
      </c>
      <c r="O51" s="15">
        <v>0.97200367582667202</v>
      </c>
      <c r="P51" s="52">
        <v>62.7494016295759</v>
      </c>
      <c r="R51" s="15">
        <v>17</v>
      </c>
      <c r="S51" s="15">
        <v>21</v>
      </c>
    </row>
    <row r="52" spans="1:19" x14ac:dyDescent="0.15">
      <c r="A52" s="15">
        <v>3</v>
      </c>
      <c r="B52" s="15" t="s">
        <v>12</v>
      </c>
      <c r="C52" s="46" t="str">
        <f>IF(B52="Smartphone", "Electronics", IF(B52="Laptop", "Computing", IF(B52="Tablet", "Mobile", IF(B52="Smartwatch", "Wearables", IF(B52="Headphones", "Audio", "Photography")))))</f>
        <v>Mobile</v>
      </c>
      <c r="D52" s="47">
        <v>43709</v>
      </c>
      <c r="E52" s="48" t="str">
        <f t="shared" si="0"/>
        <v>Spring</v>
      </c>
      <c r="F52" s="15">
        <v>93</v>
      </c>
      <c r="G52" s="15">
        <v>477</v>
      </c>
      <c r="H52" s="46">
        <f>F52+G52</f>
        <v>570</v>
      </c>
      <c r="I52" s="15">
        <v>414</v>
      </c>
      <c r="J52" s="15">
        <v>63</v>
      </c>
      <c r="K52" s="63">
        <f>F52+G52-I52</f>
        <v>156</v>
      </c>
      <c r="L52" s="63">
        <f>J52-K52</f>
        <v>-93</v>
      </c>
      <c r="M52" s="51">
        <f>I52/((F52+J52)/2)</f>
        <v>5.3076923076923075</v>
      </c>
      <c r="N52" s="15">
        <v>22</v>
      </c>
      <c r="O52" s="15">
        <v>0.86530658395959903</v>
      </c>
      <c r="P52" s="52">
        <v>34.881387035624201</v>
      </c>
      <c r="R52" s="15">
        <v>14</v>
      </c>
      <c r="S52" s="15">
        <v>14</v>
      </c>
    </row>
    <row r="53" spans="1:19" x14ac:dyDescent="0.15">
      <c r="A53" s="15">
        <v>4</v>
      </c>
      <c r="B53" s="15" t="s">
        <v>13</v>
      </c>
      <c r="C53" s="46" t="str">
        <f>IF(B53="Smartphone", "Electronics", IF(B53="Laptop", "Computing", IF(B53="Tablet", "Mobile", IF(B53="Smartwatch", "Wearables", IF(B53="Headphones", "Audio", "Photography")))))</f>
        <v>Wearables</v>
      </c>
      <c r="D53" s="47">
        <v>43709</v>
      </c>
      <c r="E53" s="48" t="str">
        <f t="shared" si="0"/>
        <v>Spring</v>
      </c>
      <c r="F53" s="15">
        <v>129</v>
      </c>
      <c r="G53" s="15">
        <v>76</v>
      </c>
      <c r="H53" s="46">
        <f>F53+G53</f>
        <v>205</v>
      </c>
      <c r="I53" s="15">
        <v>213</v>
      </c>
      <c r="J53" s="15">
        <v>88</v>
      </c>
      <c r="K53" s="63">
        <f>F53+G53-I53</f>
        <v>-8</v>
      </c>
      <c r="L53" s="63">
        <f>J53-K53</f>
        <v>96</v>
      </c>
      <c r="M53" s="51">
        <f>I53/((F53+J53)/2)</f>
        <v>1.9631336405529953</v>
      </c>
      <c r="N53" s="15">
        <v>11</v>
      </c>
      <c r="O53" s="15">
        <v>0.92274859453004798</v>
      </c>
      <c r="P53" s="52">
        <v>112.790270212506</v>
      </c>
      <c r="R53" s="15">
        <v>14</v>
      </c>
      <c r="S53" s="15">
        <v>7</v>
      </c>
    </row>
    <row r="54" spans="1:19" x14ac:dyDescent="0.15">
      <c r="A54" s="15">
        <v>5</v>
      </c>
      <c r="B54" s="15" t="s">
        <v>14</v>
      </c>
      <c r="C54" s="46" t="str">
        <f>IF(B54="Smartphone", "Electronics", IF(B54="Laptop", "Computing", IF(B54="Tablet", "Mobile", IF(B54="Smartwatch", "Wearables", IF(B54="Headphones", "Audio", "Photography")))))</f>
        <v>Audio</v>
      </c>
      <c r="D54" s="47">
        <v>43709</v>
      </c>
      <c r="E54" s="48" t="str">
        <f t="shared" si="0"/>
        <v>Spring</v>
      </c>
      <c r="F54" s="15">
        <v>1</v>
      </c>
      <c r="G54" s="15">
        <v>209</v>
      </c>
      <c r="H54" s="46">
        <f>F54+G54</f>
        <v>210</v>
      </c>
      <c r="I54" s="15">
        <v>204</v>
      </c>
      <c r="J54" s="15">
        <v>5</v>
      </c>
      <c r="K54" s="63">
        <f>F54+G54-I54</f>
        <v>6</v>
      </c>
      <c r="L54" s="63">
        <f>J54-K54</f>
        <v>-1</v>
      </c>
      <c r="M54" s="51">
        <f>I54/((F54+J54)/2)</f>
        <v>68</v>
      </c>
      <c r="N54" s="15">
        <v>5</v>
      </c>
      <c r="O54" s="15">
        <v>0.92275305694694798</v>
      </c>
      <c r="P54" s="52">
        <v>62.744973437706101</v>
      </c>
      <c r="R54" s="15">
        <v>25</v>
      </c>
      <c r="S54" s="15">
        <v>27</v>
      </c>
    </row>
    <row r="55" spans="1:19" x14ac:dyDescent="0.15">
      <c r="A55" s="15">
        <v>6</v>
      </c>
      <c r="B55" s="15" t="s">
        <v>15</v>
      </c>
      <c r="C55" s="46" t="str">
        <f>IF(B55="Smartphone", "Electronics", IF(B55="Laptop", "Computing", IF(B55="Tablet", "Mobile", IF(B55="Smartwatch", "Wearables", IF(B55="Headphones", "Audio", "Photography")))))</f>
        <v>Photography</v>
      </c>
      <c r="D55" s="47">
        <v>43709</v>
      </c>
      <c r="E55" s="48" t="str">
        <f t="shared" si="0"/>
        <v>Spring</v>
      </c>
      <c r="F55" s="15">
        <v>71</v>
      </c>
      <c r="G55" s="15">
        <v>198</v>
      </c>
      <c r="H55" s="46">
        <f>F55+G55</f>
        <v>269</v>
      </c>
      <c r="I55" s="15">
        <v>139</v>
      </c>
      <c r="J55" s="15">
        <v>59</v>
      </c>
      <c r="K55" s="63">
        <f>F55+G55-I55</f>
        <v>130</v>
      </c>
      <c r="L55" s="63">
        <f>J55-K55</f>
        <v>-71</v>
      </c>
      <c r="M55" s="51">
        <f>I55/((F55+J55)/2)</f>
        <v>2.1384615384615384</v>
      </c>
      <c r="N55" s="15">
        <v>29</v>
      </c>
      <c r="O55" s="15">
        <v>0.93803863748353</v>
      </c>
      <c r="P55" s="52">
        <v>174.401532044649</v>
      </c>
      <c r="R55" s="15">
        <v>2</v>
      </c>
      <c r="S55" s="15">
        <v>27</v>
      </c>
    </row>
    <row r="56" spans="1:19" x14ac:dyDescent="0.15">
      <c r="A56" s="15">
        <v>1</v>
      </c>
      <c r="B56" s="15" t="s">
        <v>10</v>
      </c>
      <c r="C56" s="46" t="str">
        <f>IF(B56="Smartphone", "Electronics", IF(B56="Laptop", "Computing", IF(B56="Tablet", "Mobile", IF(B56="Smartwatch", "Wearables", IF(B56="Headphones", "Audio", "Photography")))))</f>
        <v>Electronics</v>
      </c>
      <c r="D56" s="47">
        <v>43739</v>
      </c>
      <c r="E56" s="48" t="str">
        <f t="shared" si="0"/>
        <v>Spring</v>
      </c>
      <c r="F56" s="15">
        <v>33</v>
      </c>
      <c r="G56" s="15">
        <v>313</v>
      </c>
      <c r="H56" s="46">
        <f>F56+G56</f>
        <v>346</v>
      </c>
      <c r="I56" s="15">
        <v>237</v>
      </c>
      <c r="J56" s="15">
        <v>76</v>
      </c>
      <c r="K56" s="63">
        <f>F56+G56-I56</f>
        <v>109</v>
      </c>
      <c r="L56" s="63">
        <f>J56-K56</f>
        <v>-33</v>
      </c>
      <c r="M56" s="51">
        <f>I56/((F56+J56)/2)</f>
        <v>4.3486238532110093</v>
      </c>
      <c r="N56" s="15">
        <v>1</v>
      </c>
      <c r="O56" s="15">
        <v>0.98322201269741005</v>
      </c>
      <c r="P56" s="52">
        <v>53.169953297047101</v>
      </c>
      <c r="R56" s="15">
        <v>21</v>
      </c>
      <c r="S56" s="15">
        <v>24</v>
      </c>
    </row>
    <row r="57" spans="1:19" x14ac:dyDescent="0.15">
      <c r="A57" s="15">
        <v>2</v>
      </c>
      <c r="B57" s="15" t="s">
        <v>11</v>
      </c>
      <c r="C57" s="46" t="str">
        <f>IF(B57="Smartphone", "Electronics", IF(B57="Laptop", "Computing", IF(B57="Tablet", "Mobile", IF(B57="Smartwatch", "Wearables", IF(B57="Headphones", "Audio", "Photography")))))</f>
        <v>Computing</v>
      </c>
      <c r="D57" s="47">
        <v>43739</v>
      </c>
      <c r="E57" s="48" t="str">
        <f t="shared" si="0"/>
        <v>Spring</v>
      </c>
      <c r="F57" s="15">
        <v>73</v>
      </c>
      <c r="G57" s="15">
        <v>279</v>
      </c>
      <c r="H57" s="46">
        <f>F57+G57</f>
        <v>352</v>
      </c>
      <c r="I57" s="15">
        <v>240</v>
      </c>
      <c r="J57" s="15">
        <v>39</v>
      </c>
      <c r="K57" s="63">
        <f>F57+G57-I57</f>
        <v>112</v>
      </c>
      <c r="L57" s="63">
        <f>J57-K57</f>
        <v>-73</v>
      </c>
      <c r="M57" s="51">
        <f>I57/((F57+J57)/2)</f>
        <v>4.2857142857142856</v>
      </c>
      <c r="N57" s="15">
        <v>24</v>
      </c>
      <c r="O57" s="15">
        <v>0.978095321238305</v>
      </c>
      <c r="P57" s="52">
        <v>59.074371424336398</v>
      </c>
      <c r="R57" s="15">
        <v>25</v>
      </c>
      <c r="S57" s="15">
        <v>22</v>
      </c>
    </row>
    <row r="58" spans="1:19" x14ac:dyDescent="0.15">
      <c r="A58" s="15">
        <v>3</v>
      </c>
      <c r="B58" s="15" t="s">
        <v>12</v>
      </c>
      <c r="C58" s="46" t="str">
        <f>IF(B58="Smartphone", "Electronics", IF(B58="Laptop", "Computing", IF(B58="Tablet", "Mobile", IF(B58="Smartwatch", "Wearables", IF(B58="Headphones", "Audio", "Photography")))))</f>
        <v>Mobile</v>
      </c>
      <c r="D58" s="47">
        <v>43739</v>
      </c>
      <c r="E58" s="48" t="str">
        <f t="shared" si="0"/>
        <v>Spring</v>
      </c>
      <c r="F58" s="15">
        <v>346</v>
      </c>
      <c r="G58" s="15">
        <v>249</v>
      </c>
      <c r="H58" s="46">
        <f>F58+G58</f>
        <v>595</v>
      </c>
      <c r="I58" s="15">
        <v>436</v>
      </c>
      <c r="J58" s="15">
        <v>179</v>
      </c>
      <c r="K58" s="63">
        <f>F58+G58-I58</f>
        <v>159</v>
      </c>
      <c r="L58" s="63">
        <f>J58-K58</f>
        <v>20</v>
      </c>
      <c r="M58" s="51">
        <f>I58/((F58+J58)/2)</f>
        <v>1.660952380952381</v>
      </c>
      <c r="N58" s="15">
        <v>3</v>
      </c>
      <c r="O58" s="15">
        <v>0.87026970830802397</v>
      </c>
      <c r="P58" s="52">
        <v>70.2441937418279</v>
      </c>
      <c r="R58" s="15">
        <v>20</v>
      </c>
      <c r="S58" s="15">
        <v>3</v>
      </c>
    </row>
    <row r="59" spans="1:19" x14ac:dyDescent="0.15">
      <c r="A59" s="15">
        <v>4</v>
      </c>
      <c r="B59" s="15" t="s">
        <v>13</v>
      </c>
      <c r="C59" s="46" t="str">
        <f>IF(B59="Smartphone", "Electronics", IF(B59="Laptop", "Computing", IF(B59="Tablet", "Mobile", IF(B59="Smartwatch", "Wearables", IF(B59="Headphones", "Audio", "Photography")))))</f>
        <v>Wearables</v>
      </c>
      <c r="D59" s="47">
        <v>43739</v>
      </c>
      <c r="E59" s="48" t="str">
        <f t="shared" si="0"/>
        <v>Spring</v>
      </c>
      <c r="F59" s="15">
        <v>89</v>
      </c>
      <c r="G59" s="15">
        <v>99</v>
      </c>
      <c r="H59" s="46">
        <f>F59+G59</f>
        <v>188</v>
      </c>
      <c r="I59" s="15">
        <v>28</v>
      </c>
      <c r="J59" s="15">
        <v>71</v>
      </c>
      <c r="K59" s="63">
        <f>F59+G59-I59</f>
        <v>160</v>
      </c>
      <c r="L59" s="63">
        <f>J59-K59</f>
        <v>-89</v>
      </c>
      <c r="M59" s="51">
        <f>I59/((F59+J59)/2)</f>
        <v>0.35</v>
      </c>
      <c r="N59" s="15">
        <v>22</v>
      </c>
      <c r="O59" s="15">
        <v>0.8</v>
      </c>
      <c r="P59" s="52">
        <v>62.470601819033803</v>
      </c>
      <c r="R59" s="15">
        <v>11</v>
      </c>
      <c r="S59" s="15">
        <v>26</v>
      </c>
    </row>
    <row r="60" spans="1:19" x14ac:dyDescent="0.15">
      <c r="A60" s="15">
        <v>5</v>
      </c>
      <c r="B60" s="15" t="s">
        <v>14</v>
      </c>
      <c r="C60" s="46" t="str">
        <f>IF(B60="Smartphone", "Electronics", IF(B60="Laptop", "Computing", IF(B60="Tablet", "Mobile", IF(B60="Smartwatch", "Wearables", IF(B60="Headphones", "Audio", "Photography")))))</f>
        <v>Audio</v>
      </c>
      <c r="D60" s="47">
        <v>43739</v>
      </c>
      <c r="E60" s="48" t="str">
        <f t="shared" si="0"/>
        <v>Spring</v>
      </c>
      <c r="F60" s="15">
        <v>47</v>
      </c>
      <c r="G60" s="15">
        <v>116</v>
      </c>
      <c r="H60" s="46">
        <f>F60+G60</f>
        <v>163</v>
      </c>
      <c r="I60" s="15">
        <v>38</v>
      </c>
      <c r="J60" s="15">
        <v>78</v>
      </c>
      <c r="K60" s="63">
        <f>F60+G60-I60</f>
        <v>125</v>
      </c>
      <c r="L60" s="63">
        <f>J60-K60</f>
        <v>-47</v>
      </c>
      <c r="M60" s="51">
        <f>I60/((F60+J60)/2)</f>
        <v>0.60799999999999998</v>
      </c>
      <c r="N60" s="15">
        <v>19</v>
      </c>
      <c r="O60" s="15">
        <v>0.86607353323176195</v>
      </c>
      <c r="P60" s="52">
        <v>72.146257214624598</v>
      </c>
      <c r="R60" s="15">
        <v>16</v>
      </c>
      <c r="S60" s="15">
        <v>5</v>
      </c>
    </row>
    <row r="61" spans="1:19" x14ac:dyDescent="0.15">
      <c r="A61" s="15">
        <v>6</v>
      </c>
      <c r="B61" s="15" t="s">
        <v>15</v>
      </c>
      <c r="C61" s="46" t="str">
        <f>IF(B61="Smartphone", "Electronics", IF(B61="Laptop", "Computing", IF(B61="Tablet", "Mobile", IF(B61="Smartwatch", "Wearables", IF(B61="Headphones", "Audio", "Photography")))))</f>
        <v>Photography</v>
      </c>
      <c r="D61" s="47">
        <v>43739</v>
      </c>
      <c r="E61" s="48" t="str">
        <f t="shared" si="0"/>
        <v>Spring</v>
      </c>
      <c r="F61" s="15">
        <v>13</v>
      </c>
      <c r="G61" s="15">
        <v>349</v>
      </c>
      <c r="H61" s="46">
        <f>F61+G61</f>
        <v>362</v>
      </c>
      <c r="I61" s="15">
        <v>317</v>
      </c>
      <c r="J61" s="15">
        <v>32</v>
      </c>
      <c r="K61" s="63">
        <f>F61+G61-I61</f>
        <v>45</v>
      </c>
      <c r="L61" s="63">
        <f>J61-K61</f>
        <v>-13</v>
      </c>
      <c r="M61" s="51">
        <f>I61/((F61+J61)/2)</f>
        <v>14.088888888888889</v>
      </c>
      <c r="N61" s="15">
        <v>23</v>
      </c>
      <c r="O61" s="15">
        <v>0.90378361470236102</v>
      </c>
      <c r="P61" s="52">
        <v>67.736387876091698</v>
      </c>
      <c r="R61" s="15">
        <v>19</v>
      </c>
      <c r="S61" s="15">
        <v>6</v>
      </c>
    </row>
    <row r="62" spans="1:19" x14ac:dyDescent="0.15">
      <c r="A62" s="15">
        <v>1</v>
      </c>
      <c r="B62" s="15" t="s">
        <v>10</v>
      </c>
      <c r="C62" s="46" t="str">
        <f>IF(B62="Smartphone", "Electronics", IF(B62="Laptop", "Computing", IF(B62="Tablet", "Mobile", IF(B62="Smartwatch", "Wearables", IF(B62="Headphones", "Audio", "Photography")))))</f>
        <v>Electronics</v>
      </c>
      <c r="D62" s="47">
        <v>43770</v>
      </c>
      <c r="E62" s="48" t="str">
        <f t="shared" si="0"/>
        <v>Spring</v>
      </c>
      <c r="F62" s="15">
        <v>3</v>
      </c>
      <c r="G62" s="15">
        <v>430</v>
      </c>
      <c r="H62" s="46">
        <f>F62+G62</f>
        <v>433</v>
      </c>
      <c r="I62" s="15">
        <v>443</v>
      </c>
      <c r="J62" s="15">
        <v>60</v>
      </c>
      <c r="K62" s="63">
        <f>F62+G62-I62</f>
        <v>-10</v>
      </c>
      <c r="L62" s="63">
        <f>J62-K62</f>
        <v>70</v>
      </c>
      <c r="M62" s="51">
        <f>I62/((F62+J62)/2)</f>
        <v>14.063492063492063</v>
      </c>
      <c r="N62" s="15">
        <v>29</v>
      </c>
      <c r="O62" s="15">
        <v>0.881917736115717</v>
      </c>
      <c r="P62" s="52">
        <v>52.276153385806701</v>
      </c>
      <c r="R62" s="15">
        <v>23</v>
      </c>
      <c r="S62" s="15">
        <v>21</v>
      </c>
    </row>
    <row r="63" spans="1:19" x14ac:dyDescent="0.15">
      <c r="A63" s="15">
        <v>2</v>
      </c>
      <c r="B63" s="15" t="s">
        <v>11</v>
      </c>
      <c r="C63" s="46" t="str">
        <f>IF(B63="Smartphone", "Electronics", IF(B63="Laptop", "Computing", IF(B63="Tablet", "Mobile", IF(B63="Smartwatch", "Wearables", IF(B63="Headphones", "Audio", "Photography")))))</f>
        <v>Computing</v>
      </c>
      <c r="D63" s="47">
        <v>43770</v>
      </c>
      <c r="E63" s="48" t="str">
        <f t="shared" si="0"/>
        <v>Spring</v>
      </c>
      <c r="F63" s="15">
        <v>21</v>
      </c>
      <c r="G63" s="15">
        <v>107</v>
      </c>
      <c r="H63" s="46">
        <f>F63+G63</f>
        <v>128</v>
      </c>
      <c r="I63" s="15">
        <v>100</v>
      </c>
      <c r="J63" s="15">
        <v>7</v>
      </c>
      <c r="K63" s="63">
        <f>F63+G63-I63</f>
        <v>28</v>
      </c>
      <c r="L63" s="63">
        <f>J63-K63</f>
        <v>-21</v>
      </c>
      <c r="M63" s="51">
        <f>I63/((F63+J63)/2)</f>
        <v>7.1428571428571432</v>
      </c>
      <c r="N63" s="15">
        <v>7</v>
      </c>
      <c r="O63" s="15">
        <v>0.99839494714640598</v>
      </c>
      <c r="P63" s="52">
        <v>239.57900585900001</v>
      </c>
      <c r="R63" s="15">
        <v>6</v>
      </c>
      <c r="S63" s="15">
        <v>22</v>
      </c>
    </row>
    <row r="64" spans="1:19" x14ac:dyDescent="0.15">
      <c r="A64" s="15">
        <v>3</v>
      </c>
      <c r="B64" s="15" t="s">
        <v>12</v>
      </c>
      <c r="C64" s="46" t="str">
        <f>IF(B64="Smartphone", "Electronics", IF(B64="Laptop", "Computing", IF(B64="Tablet", "Mobile", IF(B64="Smartwatch", "Wearables", IF(B64="Headphones", "Audio", "Photography")))))</f>
        <v>Mobile</v>
      </c>
      <c r="D64" s="47">
        <v>43770</v>
      </c>
      <c r="E64" s="48" t="str">
        <f t="shared" si="0"/>
        <v>Spring</v>
      </c>
      <c r="F64" s="15">
        <v>6</v>
      </c>
      <c r="G64" s="15">
        <v>308</v>
      </c>
      <c r="H64" s="46">
        <f>F64+G64</f>
        <v>314</v>
      </c>
      <c r="I64" s="15">
        <v>254</v>
      </c>
      <c r="J64" s="15">
        <v>54</v>
      </c>
      <c r="K64" s="63">
        <f>F64+G64-I64</f>
        <v>60</v>
      </c>
      <c r="L64" s="63">
        <f>J64-K64</f>
        <v>-6</v>
      </c>
      <c r="M64" s="51">
        <f>I64/((F64+J64)/2)</f>
        <v>8.4666666666666668</v>
      </c>
      <c r="N64" s="15">
        <v>12</v>
      </c>
      <c r="O64" s="15">
        <v>0.90093901521582198</v>
      </c>
      <c r="P64" s="52">
        <v>89.556977912926797</v>
      </c>
      <c r="R64" s="15">
        <v>24</v>
      </c>
      <c r="S64" s="15">
        <v>8</v>
      </c>
    </row>
    <row r="65" spans="1:19" x14ac:dyDescent="0.15">
      <c r="A65" s="15">
        <v>4</v>
      </c>
      <c r="B65" s="15" t="s">
        <v>13</v>
      </c>
      <c r="C65" s="46" t="str">
        <f>IF(B65="Smartphone", "Electronics", IF(B65="Laptop", "Computing", IF(B65="Tablet", "Mobile", IF(B65="Smartwatch", "Wearables", IF(B65="Headphones", "Audio", "Photography")))))</f>
        <v>Wearables</v>
      </c>
      <c r="D65" s="47">
        <v>43770</v>
      </c>
      <c r="E65" s="48" t="str">
        <f t="shared" si="0"/>
        <v>Spring</v>
      </c>
      <c r="F65" s="15">
        <v>45</v>
      </c>
      <c r="G65" s="15">
        <v>391</v>
      </c>
      <c r="H65" s="46">
        <f>F65+G65</f>
        <v>436</v>
      </c>
      <c r="I65" s="15">
        <v>326</v>
      </c>
      <c r="J65" s="15">
        <v>65</v>
      </c>
      <c r="K65" s="63">
        <f>F65+G65-I65</f>
        <v>110</v>
      </c>
      <c r="L65" s="63">
        <f>J65-K65</f>
        <v>-45</v>
      </c>
      <c r="M65" s="51">
        <f>I65/((F65+J65)/2)</f>
        <v>5.9272727272727277</v>
      </c>
      <c r="N65" s="15">
        <v>15</v>
      </c>
      <c r="O65" s="15">
        <v>0.93268559401280904</v>
      </c>
      <c r="P65" s="52">
        <v>76.312615294337704</v>
      </c>
      <c r="R65" s="15">
        <v>19</v>
      </c>
      <c r="S65" s="15">
        <v>7</v>
      </c>
    </row>
    <row r="66" spans="1:19" x14ac:dyDescent="0.15">
      <c r="A66" s="15">
        <v>5</v>
      </c>
      <c r="B66" s="15" t="s">
        <v>14</v>
      </c>
      <c r="C66" s="46" t="str">
        <f>IF(B66="Smartphone", "Electronics", IF(B66="Laptop", "Computing", IF(B66="Tablet", "Mobile", IF(B66="Smartwatch", "Wearables", IF(B66="Headphones", "Audio", "Photography")))))</f>
        <v>Audio</v>
      </c>
      <c r="D66" s="47">
        <v>43770</v>
      </c>
      <c r="E66" s="48" t="str">
        <f t="shared" si="0"/>
        <v>Spring</v>
      </c>
      <c r="F66" s="15">
        <v>35</v>
      </c>
      <c r="G66" s="15">
        <v>375</v>
      </c>
      <c r="H66" s="46">
        <f>F66+G66</f>
        <v>410</v>
      </c>
      <c r="I66" s="15">
        <v>310</v>
      </c>
      <c r="J66" s="15">
        <v>65</v>
      </c>
      <c r="K66" s="63">
        <f>F66+G66-I66</f>
        <v>100</v>
      </c>
      <c r="L66" s="63">
        <f>J66-K66</f>
        <v>-35</v>
      </c>
      <c r="M66" s="51">
        <f>I66/((F66+J66)/2)</f>
        <v>6.2</v>
      </c>
      <c r="N66" s="15">
        <v>25</v>
      </c>
      <c r="O66" s="15">
        <v>0.91086071548236702</v>
      </c>
      <c r="P66" s="52">
        <v>55.032914307840002</v>
      </c>
      <c r="R66" s="15">
        <v>5</v>
      </c>
      <c r="S66" s="15">
        <v>21</v>
      </c>
    </row>
    <row r="67" spans="1:19" x14ac:dyDescent="0.15">
      <c r="A67" s="15">
        <v>6</v>
      </c>
      <c r="B67" s="15" t="s">
        <v>15</v>
      </c>
      <c r="C67" s="46" t="str">
        <f>IF(B67="Smartphone", "Electronics", IF(B67="Laptop", "Computing", IF(B67="Tablet", "Mobile", IF(B67="Smartwatch", "Wearables", IF(B67="Headphones", "Audio", "Photography")))))</f>
        <v>Photography</v>
      </c>
      <c r="D67" s="47">
        <v>43770</v>
      </c>
      <c r="E67" s="48" t="str">
        <f t="shared" ref="E67:E130" si="1">IF(OR(MONTH(D67)=9, MONTH(D67)=10, MONTH(D67)=11), "Spring",
 IF(OR(MONTH(D67)=12, MONTH(D67)=1, MONTH(D67)=2), "Summer",
 IF(OR(MONTH(D67)=3, MONTH(D67)=4, MONTH(D67)=5), "Autumn",
 IF(OR(MONTH(D67)=6, MONTH(D67)=7, MONTH(D67)=8), "Winter", "Unknown"
))))</f>
        <v>Spring</v>
      </c>
      <c r="F67" s="15">
        <v>341</v>
      </c>
      <c r="G67" s="15">
        <v>179</v>
      </c>
      <c r="H67" s="46">
        <f>F67+G67</f>
        <v>520</v>
      </c>
      <c r="I67" s="15">
        <v>489</v>
      </c>
      <c r="J67" s="15">
        <v>2</v>
      </c>
      <c r="K67" s="63">
        <f>F67+G67-I67</f>
        <v>31</v>
      </c>
      <c r="L67" s="63">
        <f>J67-K67</f>
        <v>-29</v>
      </c>
      <c r="M67" s="51">
        <f>I67/((F67+J67)/2)</f>
        <v>2.8513119533527695</v>
      </c>
      <c r="N67" s="15">
        <v>5</v>
      </c>
      <c r="O67" s="15">
        <v>0.88266834082545798</v>
      </c>
      <c r="P67" s="52">
        <v>117.479174643319</v>
      </c>
      <c r="R67" s="15">
        <v>26</v>
      </c>
      <c r="S67" s="15">
        <v>10</v>
      </c>
    </row>
    <row r="68" spans="1:19" x14ac:dyDescent="0.15">
      <c r="A68" s="15">
        <v>1</v>
      </c>
      <c r="B68" s="15" t="s">
        <v>10</v>
      </c>
      <c r="C68" s="46" t="str">
        <f>IF(B68="Smartphone", "Electronics", IF(B68="Laptop", "Computing", IF(B68="Tablet", "Mobile", IF(B68="Smartwatch", "Wearables", IF(B68="Headphones", "Audio", "Photography")))))</f>
        <v>Electronics</v>
      </c>
      <c r="D68" s="47">
        <v>43800</v>
      </c>
      <c r="E68" s="48" t="str">
        <f t="shared" si="1"/>
        <v>Summer</v>
      </c>
      <c r="F68" s="15">
        <v>15</v>
      </c>
      <c r="G68" s="15">
        <v>264</v>
      </c>
      <c r="H68" s="46">
        <f>F68+G68</f>
        <v>279</v>
      </c>
      <c r="I68" s="15">
        <v>192</v>
      </c>
      <c r="J68" s="15">
        <v>72</v>
      </c>
      <c r="K68" s="63">
        <f>F68+G68-I68</f>
        <v>87</v>
      </c>
      <c r="L68" s="63">
        <f>J68-K68</f>
        <v>-15</v>
      </c>
      <c r="M68" s="51">
        <f>I68/((F68+J68)/2)</f>
        <v>4.4137931034482758</v>
      </c>
      <c r="N68" s="15">
        <v>15</v>
      </c>
      <c r="O68" s="15">
        <v>0.80375941610186596</v>
      </c>
      <c r="P68" s="52">
        <v>40.453491693959698</v>
      </c>
      <c r="R68" s="15">
        <v>4</v>
      </c>
      <c r="S68" s="15">
        <v>6</v>
      </c>
    </row>
    <row r="69" spans="1:19" x14ac:dyDescent="0.15">
      <c r="A69" s="15">
        <v>2</v>
      </c>
      <c r="B69" s="15" t="s">
        <v>11</v>
      </c>
      <c r="C69" s="46" t="str">
        <f>IF(B69="Smartphone", "Electronics", IF(B69="Laptop", "Computing", IF(B69="Tablet", "Mobile", IF(B69="Smartwatch", "Wearables", IF(B69="Headphones", "Audio", "Photography")))))</f>
        <v>Computing</v>
      </c>
      <c r="D69" s="47">
        <v>43800</v>
      </c>
      <c r="E69" s="48" t="str">
        <f t="shared" si="1"/>
        <v>Summer</v>
      </c>
      <c r="F69" s="15">
        <v>80</v>
      </c>
      <c r="G69" s="15">
        <v>221</v>
      </c>
      <c r="H69" s="46">
        <f>F69+G69</f>
        <v>301</v>
      </c>
      <c r="I69" s="15">
        <v>206</v>
      </c>
      <c r="J69" s="15">
        <v>15</v>
      </c>
      <c r="K69" s="63">
        <f>F69+G69-I69</f>
        <v>95</v>
      </c>
      <c r="L69" s="63">
        <f>J69-K69</f>
        <v>-80</v>
      </c>
      <c r="M69" s="51">
        <f>I69/((F69+J69)/2)</f>
        <v>4.3368421052631581</v>
      </c>
      <c r="N69" s="15">
        <v>8</v>
      </c>
      <c r="O69" s="15">
        <v>0.896069118072925</v>
      </c>
      <c r="P69" s="52">
        <v>37.307139158770198</v>
      </c>
      <c r="R69" s="15">
        <v>15</v>
      </c>
      <c r="S69" s="15">
        <v>14</v>
      </c>
    </row>
    <row r="70" spans="1:19" x14ac:dyDescent="0.15">
      <c r="A70" s="15">
        <v>3</v>
      </c>
      <c r="B70" s="15" t="s">
        <v>12</v>
      </c>
      <c r="C70" s="46" t="str">
        <f>IF(B70="Smartphone", "Electronics", IF(B70="Laptop", "Computing", IF(B70="Tablet", "Mobile", IF(B70="Smartwatch", "Wearables", IF(B70="Headphones", "Audio", "Photography")))))</f>
        <v>Mobile</v>
      </c>
      <c r="D70" s="47">
        <v>43800</v>
      </c>
      <c r="E70" s="48" t="str">
        <f t="shared" si="1"/>
        <v>Summer</v>
      </c>
      <c r="F70" s="15">
        <v>115</v>
      </c>
      <c r="G70" s="15">
        <v>307</v>
      </c>
      <c r="H70" s="46">
        <f>F70+G70</f>
        <v>422</v>
      </c>
      <c r="I70" s="15">
        <v>217</v>
      </c>
      <c r="J70" s="15">
        <v>90</v>
      </c>
      <c r="K70" s="63">
        <f>F70+G70-I70</f>
        <v>205</v>
      </c>
      <c r="L70" s="63">
        <f>J70-K70</f>
        <v>-115</v>
      </c>
      <c r="M70" s="51">
        <f>I70/((F70+J70)/2)</f>
        <v>2.1170731707317074</v>
      </c>
      <c r="N70" s="15">
        <v>10</v>
      </c>
      <c r="O70" s="15">
        <v>1</v>
      </c>
      <c r="P70" s="52">
        <v>81.655166828979404</v>
      </c>
      <c r="R70" s="15">
        <v>29</v>
      </c>
      <c r="S70" s="15">
        <v>4</v>
      </c>
    </row>
    <row r="71" spans="1:19" x14ac:dyDescent="0.15">
      <c r="A71" s="15">
        <v>4</v>
      </c>
      <c r="B71" s="15" t="s">
        <v>13</v>
      </c>
      <c r="C71" s="46" t="str">
        <f>IF(B71="Smartphone", "Electronics", IF(B71="Laptop", "Computing", IF(B71="Tablet", "Mobile", IF(B71="Smartwatch", "Wearables", IF(B71="Headphones", "Audio", "Photography")))))</f>
        <v>Wearables</v>
      </c>
      <c r="D71" s="47">
        <v>43800</v>
      </c>
      <c r="E71" s="48" t="str">
        <f t="shared" si="1"/>
        <v>Summer</v>
      </c>
      <c r="F71" s="15">
        <v>95</v>
      </c>
      <c r="G71" s="15">
        <v>151</v>
      </c>
      <c r="H71" s="46">
        <f>F71+G71</f>
        <v>246</v>
      </c>
      <c r="I71" s="15">
        <v>103</v>
      </c>
      <c r="J71" s="15">
        <v>48</v>
      </c>
      <c r="K71" s="63">
        <f>F71+G71-I71</f>
        <v>143</v>
      </c>
      <c r="L71" s="63">
        <f>J71-K71</f>
        <v>-95</v>
      </c>
      <c r="M71" s="51">
        <f>I71/((F71+J71)/2)</f>
        <v>1.4405594405594406</v>
      </c>
      <c r="N71" s="15">
        <v>26</v>
      </c>
      <c r="O71" s="15">
        <v>0.83777708000810802</v>
      </c>
      <c r="P71" s="52">
        <v>96.285501756584594</v>
      </c>
      <c r="R71" s="15">
        <v>4</v>
      </c>
      <c r="S71" s="15">
        <v>28</v>
      </c>
    </row>
    <row r="72" spans="1:19" x14ac:dyDescent="0.15">
      <c r="A72" s="15">
        <v>5</v>
      </c>
      <c r="B72" s="15" t="s">
        <v>14</v>
      </c>
      <c r="C72" s="46" t="str">
        <f>IF(B72="Smartphone", "Electronics", IF(B72="Laptop", "Computing", IF(B72="Tablet", "Mobile", IF(B72="Smartwatch", "Wearables", IF(B72="Headphones", "Audio", "Photography")))))</f>
        <v>Audio</v>
      </c>
      <c r="D72" s="47">
        <v>43800</v>
      </c>
      <c r="E72" s="48" t="str">
        <f t="shared" si="1"/>
        <v>Summer</v>
      </c>
      <c r="F72" s="15">
        <v>35</v>
      </c>
      <c r="G72" s="15">
        <v>258</v>
      </c>
      <c r="H72" s="46">
        <f>F72+G72</f>
        <v>293</v>
      </c>
      <c r="I72" s="15">
        <v>223</v>
      </c>
      <c r="J72" s="15">
        <v>35</v>
      </c>
      <c r="K72" s="63">
        <f>F72+G72-I72</f>
        <v>70</v>
      </c>
      <c r="L72" s="63">
        <f>J72-K72</f>
        <v>-35</v>
      </c>
      <c r="M72" s="51">
        <f>I72/((F72+J72)/2)</f>
        <v>6.371428571428571</v>
      </c>
      <c r="N72" s="15">
        <v>16</v>
      </c>
      <c r="O72" s="15">
        <v>0.80925634778128797</v>
      </c>
      <c r="P72" s="52">
        <v>117.370677901858</v>
      </c>
      <c r="R72" s="15">
        <v>20</v>
      </c>
      <c r="S72" s="15">
        <v>25</v>
      </c>
    </row>
    <row r="73" spans="1:19" x14ac:dyDescent="0.15">
      <c r="A73" s="15">
        <v>6</v>
      </c>
      <c r="B73" s="15" t="s">
        <v>15</v>
      </c>
      <c r="C73" s="46" t="str">
        <f>IF(B73="Smartphone", "Electronics", IF(B73="Laptop", "Computing", IF(B73="Tablet", "Mobile", IF(B73="Smartwatch", "Wearables", IF(B73="Headphones", "Audio", "Photography")))))</f>
        <v>Photography</v>
      </c>
      <c r="D73" s="47">
        <v>43800</v>
      </c>
      <c r="E73" s="48" t="str">
        <f t="shared" si="1"/>
        <v>Summer</v>
      </c>
      <c r="F73" s="15">
        <v>90</v>
      </c>
      <c r="G73" s="15">
        <v>340</v>
      </c>
      <c r="H73" s="46">
        <f>F73+G73</f>
        <v>430</v>
      </c>
      <c r="I73" s="15">
        <v>298</v>
      </c>
      <c r="J73" s="15">
        <v>42</v>
      </c>
      <c r="K73" s="63">
        <f>F73+G73-I73</f>
        <v>132</v>
      </c>
      <c r="L73" s="63">
        <f>J73-K73</f>
        <v>-90</v>
      </c>
      <c r="M73" s="51">
        <f>I73/((F73+J73)/2)</f>
        <v>4.5151515151515156</v>
      </c>
      <c r="N73" s="15">
        <v>8</v>
      </c>
      <c r="O73" s="15">
        <v>0.99681946512844499</v>
      </c>
      <c r="P73" s="52">
        <v>83.574056140398596</v>
      </c>
      <c r="R73" s="15">
        <v>10</v>
      </c>
      <c r="S73" s="15">
        <v>13</v>
      </c>
    </row>
    <row r="74" spans="1:19" x14ac:dyDescent="0.15">
      <c r="A74" s="15">
        <v>1</v>
      </c>
      <c r="B74" s="15" t="s">
        <v>10</v>
      </c>
      <c r="C74" s="46" t="str">
        <f>IF(B74="Smartphone", "Electronics", IF(B74="Laptop", "Computing", IF(B74="Tablet", "Mobile", IF(B74="Smartwatch", "Wearables", IF(B74="Headphones", "Audio", "Photography")))))</f>
        <v>Electronics</v>
      </c>
      <c r="D74" s="47">
        <v>43831</v>
      </c>
      <c r="E74" s="48" t="str">
        <f t="shared" si="1"/>
        <v>Summer</v>
      </c>
      <c r="F74" s="15">
        <v>60</v>
      </c>
      <c r="G74" s="15">
        <v>403</v>
      </c>
      <c r="H74" s="46">
        <f>F74+G74</f>
        <v>463</v>
      </c>
      <c r="I74" s="15">
        <v>315</v>
      </c>
      <c r="J74" s="15">
        <v>88</v>
      </c>
      <c r="K74" s="63">
        <f>F74+G74-I74</f>
        <v>148</v>
      </c>
      <c r="L74" s="63">
        <f>J74-K74</f>
        <v>-60</v>
      </c>
      <c r="M74" s="51">
        <f>I74/((F74+J74)/2)</f>
        <v>4.256756756756757</v>
      </c>
      <c r="N74" s="15">
        <v>1</v>
      </c>
      <c r="O74" s="15">
        <v>0.93710414849346602</v>
      </c>
      <c r="P74" s="52">
        <v>73.449654170874396</v>
      </c>
      <c r="R74" s="15">
        <v>18</v>
      </c>
      <c r="S74" s="15">
        <v>20</v>
      </c>
    </row>
    <row r="75" spans="1:19" x14ac:dyDescent="0.15">
      <c r="A75" s="15">
        <v>2</v>
      </c>
      <c r="B75" s="15" t="s">
        <v>11</v>
      </c>
      <c r="C75" s="46" t="str">
        <f>IF(B75="Smartphone", "Electronics", IF(B75="Laptop", "Computing", IF(B75="Tablet", "Mobile", IF(B75="Smartwatch", "Wearables", IF(B75="Headphones", "Audio", "Photography")))))</f>
        <v>Computing</v>
      </c>
      <c r="D75" s="47">
        <v>43831</v>
      </c>
      <c r="E75" s="48" t="str">
        <f t="shared" si="1"/>
        <v>Summer</v>
      </c>
      <c r="F75" s="15">
        <v>70</v>
      </c>
      <c r="G75" s="15">
        <v>335</v>
      </c>
      <c r="H75" s="46">
        <f>F75+G75</f>
        <v>405</v>
      </c>
      <c r="I75" s="15">
        <v>379</v>
      </c>
      <c r="J75" s="15">
        <v>118</v>
      </c>
      <c r="K75" s="63">
        <f>F75+G75-I75</f>
        <v>26</v>
      </c>
      <c r="L75" s="63">
        <f>J75-K75</f>
        <v>92</v>
      </c>
      <c r="M75" s="51">
        <f>I75/((F75+J75)/2)</f>
        <v>4.0319148936170217</v>
      </c>
      <c r="N75" s="15">
        <v>12</v>
      </c>
      <c r="O75" s="15">
        <v>0.90937099402617105</v>
      </c>
      <c r="P75" s="52">
        <v>124.67498077203599</v>
      </c>
      <c r="R75" s="15">
        <v>19</v>
      </c>
      <c r="S75" s="15">
        <v>17</v>
      </c>
    </row>
    <row r="76" spans="1:19" x14ac:dyDescent="0.15">
      <c r="A76" s="15">
        <v>3</v>
      </c>
      <c r="B76" s="15" t="s">
        <v>12</v>
      </c>
      <c r="C76" s="46" t="str">
        <f>IF(B76="Smartphone", "Electronics", IF(B76="Laptop", "Computing", IF(B76="Tablet", "Mobile", IF(B76="Smartwatch", "Wearables", IF(B76="Headphones", "Audio", "Photography")))))</f>
        <v>Mobile</v>
      </c>
      <c r="D76" s="47">
        <v>43831</v>
      </c>
      <c r="E76" s="48" t="str">
        <f t="shared" si="1"/>
        <v>Summer</v>
      </c>
      <c r="F76" s="15">
        <v>60</v>
      </c>
      <c r="G76" s="15">
        <v>165</v>
      </c>
      <c r="H76" s="46">
        <f>F76+G76</f>
        <v>225</v>
      </c>
      <c r="I76" s="15">
        <v>94</v>
      </c>
      <c r="J76" s="15">
        <v>71</v>
      </c>
      <c r="K76" s="63">
        <f>F76+G76-I76</f>
        <v>131</v>
      </c>
      <c r="L76" s="63">
        <f>J76-K76</f>
        <v>-60</v>
      </c>
      <c r="M76" s="51">
        <f>I76/((F76+J76)/2)</f>
        <v>1.4351145038167938</v>
      </c>
      <c r="N76" s="15">
        <v>5</v>
      </c>
      <c r="O76" s="15">
        <v>0.96813369311835296</v>
      </c>
      <c r="P76" s="52">
        <v>72.333283560589905</v>
      </c>
      <c r="R76" s="15">
        <v>28</v>
      </c>
      <c r="S76" s="15">
        <v>23</v>
      </c>
    </row>
    <row r="77" spans="1:19" x14ac:dyDescent="0.15">
      <c r="A77" s="15">
        <v>4</v>
      </c>
      <c r="B77" s="15" t="s">
        <v>13</v>
      </c>
      <c r="C77" s="46" t="str">
        <f>IF(B77="Smartphone", "Electronics", IF(B77="Laptop", "Computing", IF(B77="Tablet", "Mobile", IF(B77="Smartwatch", "Wearables", IF(B77="Headphones", "Audio", "Photography")))))</f>
        <v>Wearables</v>
      </c>
      <c r="D77" s="47">
        <v>43831</v>
      </c>
      <c r="E77" s="48" t="str">
        <f t="shared" si="1"/>
        <v>Summer</v>
      </c>
      <c r="F77" s="15">
        <v>62</v>
      </c>
      <c r="G77" s="15">
        <v>313</v>
      </c>
      <c r="H77" s="46">
        <f>F77+G77</f>
        <v>375</v>
      </c>
      <c r="I77" s="15">
        <v>273</v>
      </c>
      <c r="J77" s="15">
        <v>40</v>
      </c>
      <c r="K77" s="63">
        <f>F77+G77-I77</f>
        <v>102</v>
      </c>
      <c r="L77" s="63">
        <f>J77-K77</f>
        <v>-62</v>
      </c>
      <c r="M77" s="51">
        <f>I77/((F77+J77)/2)</f>
        <v>5.3529411764705879</v>
      </c>
      <c r="N77" s="15">
        <v>3</v>
      </c>
      <c r="O77" s="15">
        <v>0.85842490285219497</v>
      </c>
      <c r="P77" s="52">
        <v>64.091805424332406</v>
      </c>
      <c r="R77" s="15">
        <v>28</v>
      </c>
      <c r="S77" s="15">
        <v>7</v>
      </c>
    </row>
    <row r="78" spans="1:19" x14ac:dyDescent="0.15">
      <c r="A78" s="15">
        <v>5</v>
      </c>
      <c r="B78" s="15" t="s">
        <v>14</v>
      </c>
      <c r="C78" s="46" t="str">
        <f>IF(B78="Smartphone", "Electronics", IF(B78="Laptop", "Computing", IF(B78="Tablet", "Mobile", IF(B78="Smartwatch", "Wearables", IF(B78="Headphones", "Audio", "Photography")))))</f>
        <v>Audio</v>
      </c>
      <c r="D78" s="47">
        <v>43831</v>
      </c>
      <c r="E78" s="48" t="str">
        <f t="shared" si="1"/>
        <v>Summer</v>
      </c>
      <c r="F78" s="15">
        <v>73</v>
      </c>
      <c r="G78" s="15">
        <v>199</v>
      </c>
      <c r="H78" s="46">
        <f>F78+G78</f>
        <v>272</v>
      </c>
      <c r="I78" s="15">
        <v>127</v>
      </c>
      <c r="J78" s="15">
        <v>72</v>
      </c>
      <c r="K78" s="63">
        <f>F78+G78-I78</f>
        <v>145</v>
      </c>
      <c r="L78" s="63">
        <f>J78-K78</f>
        <v>-73</v>
      </c>
      <c r="M78" s="51">
        <f>I78/((F78+J78)/2)</f>
        <v>1.7517241379310344</v>
      </c>
      <c r="N78" s="15">
        <v>1</v>
      </c>
      <c r="O78" s="15">
        <v>0.89467026195426702</v>
      </c>
      <c r="P78" s="52">
        <v>92.921740974054003</v>
      </c>
      <c r="R78" s="15">
        <v>19</v>
      </c>
      <c r="S78" s="15">
        <v>4</v>
      </c>
    </row>
    <row r="79" spans="1:19" x14ac:dyDescent="0.15">
      <c r="A79" s="15">
        <v>6</v>
      </c>
      <c r="B79" s="15" t="s">
        <v>15</v>
      </c>
      <c r="C79" s="46" t="str">
        <f>IF(B79="Smartphone", "Electronics", IF(B79="Laptop", "Computing", IF(B79="Tablet", "Mobile", IF(B79="Smartwatch", "Wearables", IF(B79="Headphones", "Audio", "Photography")))))</f>
        <v>Photography</v>
      </c>
      <c r="D79" s="47">
        <v>43831</v>
      </c>
      <c r="E79" s="48" t="str">
        <f t="shared" si="1"/>
        <v>Summer</v>
      </c>
      <c r="F79" s="15">
        <v>63</v>
      </c>
      <c r="G79" s="15">
        <v>349</v>
      </c>
      <c r="H79" s="46">
        <f>F79+G79</f>
        <v>412</v>
      </c>
      <c r="I79" s="15">
        <v>253</v>
      </c>
      <c r="J79" s="15">
        <v>96</v>
      </c>
      <c r="K79" s="63">
        <f>F79+G79-I79</f>
        <v>159</v>
      </c>
      <c r="L79" s="63">
        <f>J79-K79</f>
        <v>-63</v>
      </c>
      <c r="M79" s="51">
        <f>I79/((F79+J79)/2)</f>
        <v>3.1823899371069184</v>
      </c>
      <c r="N79" s="15">
        <v>4</v>
      </c>
      <c r="O79" s="15">
        <v>0.94775770584504104</v>
      </c>
      <c r="P79" s="52">
        <v>34.434849234606098</v>
      </c>
      <c r="R79" s="15">
        <v>17</v>
      </c>
      <c r="S79" s="15">
        <v>29</v>
      </c>
    </row>
    <row r="80" spans="1:19" x14ac:dyDescent="0.15">
      <c r="A80" s="15">
        <v>1</v>
      </c>
      <c r="B80" s="15" t="s">
        <v>10</v>
      </c>
      <c r="C80" s="46" t="str">
        <f>IF(B80="Smartphone", "Electronics", IF(B80="Laptop", "Computing", IF(B80="Tablet", "Mobile", IF(B80="Smartwatch", "Wearables", IF(B80="Headphones", "Audio", "Photography")))))</f>
        <v>Electronics</v>
      </c>
      <c r="D80" s="47">
        <v>43862</v>
      </c>
      <c r="E80" s="48" t="str">
        <f t="shared" si="1"/>
        <v>Summer</v>
      </c>
      <c r="F80" s="15">
        <v>83</v>
      </c>
      <c r="G80" s="15">
        <v>491</v>
      </c>
      <c r="H80" s="46">
        <f>F80+G80</f>
        <v>574</v>
      </c>
      <c r="I80" s="15">
        <v>404</v>
      </c>
      <c r="J80" s="15">
        <v>87</v>
      </c>
      <c r="K80" s="63">
        <f>F80+G80-I80</f>
        <v>170</v>
      </c>
      <c r="L80" s="63">
        <f>J80-K80</f>
        <v>-83</v>
      </c>
      <c r="M80" s="51">
        <f>I80/((F80+J80)/2)</f>
        <v>4.7529411764705882</v>
      </c>
      <c r="N80" s="15">
        <v>8</v>
      </c>
      <c r="O80" s="15">
        <v>1</v>
      </c>
      <c r="P80" s="52">
        <v>8.49615763598357</v>
      </c>
      <c r="R80" s="15">
        <v>14</v>
      </c>
      <c r="S80" s="15">
        <v>14</v>
      </c>
    </row>
    <row r="81" spans="1:19" x14ac:dyDescent="0.15">
      <c r="A81" s="15">
        <v>2</v>
      </c>
      <c r="B81" s="15" t="s">
        <v>11</v>
      </c>
      <c r="C81" s="46" t="str">
        <f>IF(B81="Smartphone", "Electronics", IF(B81="Laptop", "Computing", IF(B81="Tablet", "Mobile", IF(B81="Smartwatch", "Wearables", IF(B81="Headphones", "Audio", "Photography")))))</f>
        <v>Computing</v>
      </c>
      <c r="D81" s="47">
        <v>43862</v>
      </c>
      <c r="E81" s="48" t="str">
        <f t="shared" si="1"/>
        <v>Summer</v>
      </c>
      <c r="F81" s="15">
        <v>126</v>
      </c>
      <c r="G81" s="15">
        <v>85</v>
      </c>
      <c r="H81" s="46">
        <f>F81+G81</f>
        <v>211</v>
      </c>
      <c r="I81" s="15">
        <v>188</v>
      </c>
      <c r="J81" s="15">
        <v>80</v>
      </c>
      <c r="K81" s="63">
        <f>F81+G81-I81</f>
        <v>23</v>
      </c>
      <c r="L81" s="63">
        <f>J81-K81</f>
        <v>57</v>
      </c>
      <c r="M81" s="51">
        <f>I81/((F81+J81)/2)</f>
        <v>1.825242718446602</v>
      </c>
      <c r="N81" s="15">
        <v>3</v>
      </c>
      <c r="O81" s="15">
        <v>0.84157278426716897</v>
      </c>
      <c r="P81" s="52">
        <v>38.253515381567901</v>
      </c>
      <c r="R81" s="15">
        <v>19</v>
      </c>
      <c r="S81" s="15">
        <v>3</v>
      </c>
    </row>
    <row r="82" spans="1:19" x14ac:dyDescent="0.15">
      <c r="A82" s="15">
        <v>3</v>
      </c>
      <c r="B82" s="15" t="s">
        <v>12</v>
      </c>
      <c r="C82" s="46" t="str">
        <f>IF(B82="Smartphone", "Electronics", IF(B82="Laptop", "Computing", IF(B82="Tablet", "Mobile", IF(B82="Smartwatch", "Wearables", IF(B82="Headphones", "Audio", "Photography")))))</f>
        <v>Mobile</v>
      </c>
      <c r="D82" s="47">
        <v>43862</v>
      </c>
      <c r="E82" s="48" t="str">
        <f t="shared" si="1"/>
        <v>Summer</v>
      </c>
      <c r="F82" s="15">
        <v>2</v>
      </c>
      <c r="G82" s="15">
        <v>382</v>
      </c>
      <c r="H82" s="46">
        <f>F82+G82</f>
        <v>384</v>
      </c>
      <c r="I82" s="15">
        <v>298</v>
      </c>
      <c r="J82" s="15">
        <v>84</v>
      </c>
      <c r="K82" s="63">
        <f>F82+G82-I82</f>
        <v>86</v>
      </c>
      <c r="L82" s="63">
        <f>J82-K82</f>
        <v>-2</v>
      </c>
      <c r="M82" s="51">
        <f>I82/((F82+J82)/2)</f>
        <v>6.9302325581395348</v>
      </c>
      <c r="N82" s="15">
        <v>10</v>
      </c>
      <c r="O82" s="15">
        <v>0.96403672292801901</v>
      </c>
      <c r="P82" s="52">
        <v>40.052292062218903</v>
      </c>
      <c r="R82" s="15">
        <v>22</v>
      </c>
      <c r="S82" s="15">
        <v>24</v>
      </c>
    </row>
    <row r="83" spans="1:19" x14ac:dyDescent="0.15">
      <c r="A83" s="15">
        <v>4</v>
      </c>
      <c r="B83" s="15" t="s">
        <v>13</v>
      </c>
      <c r="C83" s="46" t="str">
        <f>IF(B83="Smartphone", "Electronics", IF(B83="Laptop", "Computing", IF(B83="Tablet", "Mobile", IF(B83="Smartwatch", "Wearables", IF(B83="Headphones", "Audio", "Photography")))))</f>
        <v>Wearables</v>
      </c>
      <c r="D83" s="47">
        <v>43862</v>
      </c>
      <c r="E83" s="48" t="str">
        <f t="shared" si="1"/>
        <v>Summer</v>
      </c>
      <c r="F83" s="15">
        <v>78</v>
      </c>
      <c r="G83" s="15">
        <v>336</v>
      </c>
      <c r="H83" s="46">
        <f>F83+G83</f>
        <v>414</v>
      </c>
      <c r="I83" s="15">
        <v>261</v>
      </c>
      <c r="J83" s="15">
        <v>75</v>
      </c>
      <c r="K83" s="63">
        <f>F83+G83-I83</f>
        <v>153</v>
      </c>
      <c r="L83" s="63">
        <f>J83-K83</f>
        <v>-78</v>
      </c>
      <c r="M83" s="51">
        <f>I83/((F83+J83)/2)</f>
        <v>3.4117647058823528</v>
      </c>
      <c r="N83" s="15">
        <v>2</v>
      </c>
      <c r="O83" s="15">
        <v>0.91909195304204905</v>
      </c>
      <c r="P83" s="52">
        <v>115.83798136334001</v>
      </c>
      <c r="R83" s="15">
        <v>24</v>
      </c>
      <c r="S83" s="15">
        <v>5</v>
      </c>
    </row>
    <row r="84" spans="1:19" x14ac:dyDescent="0.15">
      <c r="A84" s="15">
        <v>5</v>
      </c>
      <c r="B84" s="15" t="s">
        <v>14</v>
      </c>
      <c r="C84" s="46" t="str">
        <f>IF(B84="Smartphone", "Electronics", IF(B84="Laptop", "Computing", IF(B84="Tablet", "Mobile", IF(B84="Smartwatch", "Wearables", IF(B84="Headphones", "Audio", "Photography")))))</f>
        <v>Audio</v>
      </c>
      <c r="D84" s="47">
        <v>43862</v>
      </c>
      <c r="E84" s="48" t="str">
        <f t="shared" si="1"/>
        <v>Summer</v>
      </c>
      <c r="F84" s="15">
        <v>41</v>
      </c>
      <c r="G84" s="15">
        <v>352</v>
      </c>
      <c r="H84" s="46">
        <f>F84+G84</f>
        <v>393</v>
      </c>
      <c r="I84" s="15">
        <v>324</v>
      </c>
      <c r="J84" s="15">
        <v>28</v>
      </c>
      <c r="K84" s="63">
        <f>F84+G84-I84</f>
        <v>69</v>
      </c>
      <c r="L84" s="63">
        <f>J84-K84</f>
        <v>-41</v>
      </c>
      <c r="M84" s="51">
        <f>I84/((F84+J84)/2)</f>
        <v>9.3913043478260878</v>
      </c>
      <c r="N84" s="15">
        <v>11</v>
      </c>
      <c r="O84" s="15">
        <v>0.90815305337147001</v>
      </c>
      <c r="P84" s="52">
        <v>23.413711494751901</v>
      </c>
      <c r="R84" s="15">
        <v>13</v>
      </c>
      <c r="S84" s="15">
        <v>16</v>
      </c>
    </row>
    <row r="85" spans="1:19" x14ac:dyDescent="0.15">
      <c r="A85" s="15">
        <v>6</v>
      </c>
      <c r="B85" s="15" t="s">
        <v>15</v>
      </c>
      <c r="C85" s="46" t="str">
        <f>IF(B85="Smartphone", "Electronics", IF(B85="Laptop", "Computing", IF(B85="Tablet", "Mobile", IF(B85="Smartwatch", "Wearables", IF(B85="Headphones", "Audio", "Photography")))))</f>
        <v>Photography</v>
      </c>
      <c r="D85" s="47">
        <v>43862</v>
      </c>
      <c r="E85" s="48" t="str">
        <f t="shared" si="1"/>
        <v>Summer</v>
      </c>
      <c r="F85" s="15">
        <v>77</v>
      </c>
      <c r="G85" s="15">
        <v>360</v>
      </c>
      <c r="H85" s="46">
        <f>F85+G85</f>
        <v>437</v>
      </c>
      <c r="I85" s="15">
        <v>309</v>
      </c>
      <c r="J85" s="15">
        <v>51</v>
      </c>
      <c r="K85" s="63">
        <f>F85+G85-I85</f>
        <v>128</v>
      </c>
      <c r="L85" s="63">
        <f>J85-K85</f>
        <v>-77</v>
      </c>
      <c r="M85" s="51">
        <f>I85/((F85+J85)/2)</f>
        <v>4.828125</v>
      </c>
      <c r="N85" s="15">
        <v>25</v>
      </c>
      <c r="O85" s="15">
        <v>0.89961353888726303</v>
      </c>
      <c r="P85" s="52">
        <v>32.029173284210998</v>
      </c>
      <c r="R85" s="15">
        <v>12</v>
      </c>
      <c r="S85" s="15">
        <v>26</v>
      </c>
    </row>
    <row r="86" spans="1:19" x14ac:dyDescent="0.15">
      <c r="A86" s="15">
        <v>1</v>
      </c>
      <c r="B86" s="15" t="s">
        <v>10</v>
      </c>
      <c r="C86" s="46" t="str">
        <f>IF(B86="Smartphone", "Electronics", IF(B86="Laptop", "Computing", IF(B86="Tablet", "Mobile", IF(B86="Smartwatch", "Wearables", IF(B86="Headphones", "Audio", "Photography")))))</f>
        <v>Electronics</v>
      </c>
      <c r="D86" s="47">
        <v>43891</v>
      </c>
      <c r="E86" s="48" t="str">
        <f t="shared" si="1"/>
        <v>Autumn</v>
      </c>
      <c r="F86" s="15">
        <v>95</v>
      </c>
      <c r="G86" s="15">
        <v>257</v>
      </c>
      <c r="H86" s="46">
        <f>F86+G86</f>
        <v>352</v>
      </c>
      <c r="I86" s="15">
        <v>446</v>
      </c>
      <c r="J86" s="15">
        <v>44</v>
      </c>
      <c r="K86" s="63">
        <f>F86+G86-I86</f>
        <v>-94</v>
      </c>
      <c r="L86" s="63">
        <f>J86-K86</f>
        <v>138</v>
      </c>
      <c r="M86" s="51">
        <f>I86/((F86+J86)/2)</f>
        <v>6.4172661870503598</v>
      </c>
      <c r="N86" s="15">
        <v>10</v>
      </c>
      <c r="O86" s="15">
        <v>0.83076766896526899</v>
      </c>
      <c r="P86" s="52">
        <v>45.626086306082797</v>
      </c>
      <c r="R86" s="15">
        <v>26</v>
      </c>
      <c r="S86" s="15">
        <v>23</v>
      </c>
    </row>
    <row r="87" spans="1:19" x14ac:dyDescent="0.15">
      <c r="A87" s="15">
        <v>2</v>
      </c>
      <c r="B87" s="15" t="s">
        <v>11</v>
      </c>
      <c r="C87" s="46" t="str">
        <f>IF(B87="Smartphone", "Electronics", IF(B87="Laptop", "Computing", IF(B87="Tablet", "Mobile", IF(B87="Smartwatch", "Wearables", IF(B87="Headphones", "Audio", "Photography")))))</f>
        <v>Computing</v>
      </c>
      <c r="D87" s="47">
        <v>43891</v>
      </c>
      <c r="E87" s="48" t="str">
        <f t="shared" si="1"/>
        <v>Autumn</v>
      </c>
      <c r="F87" s="15">
        <v>14</v>
      </c>
      <c r="G87" s="15">
        <v>155</v>
      </c>
      <c r="H87" s="46">
        <f>F87+G87</f>
        <v>169</v>
      </c>
      <c r="I87" s="15">
        <v>152</v>
      </c>
      <c r="J87" s="15">
        <v>3</v>
      </c>
      <c r="K87" s="63">
        <f>F87+G87-I87</f>
        <v>17</v>
      </c>
      <c r="L87" s="63">
        <f>J87-K87</f>
        <v>-14</v>
      </c>
      <c r="M87" s="51">
        <f>I87/((F87+J87)/2)</f>
        <v>17.882352941176471</v>
      </c>
      <c r="N87" s="15">
        <v>21</v>
      </c>
      <c r="O87" s="15">
        <v>0.94815444991065101</v>
      </c>
      <c r="P87" s="52">
        <v>63.643639385103498</v>
      </c>
      <c r="R87" s="15">
        <v>6</v>
      </c>
      <c r="S87" s="15">
        <v>20</v>
      </c>
    </row>
    <row r="88" spans="1:19" x14ac:dyDescent="0.15">
      <c r="A88" s="15">
        <v>3</v>
      </c>
      <c r="B88" s="15" t="s">
        <v>12</v>
      </c>
      <c r="C88" s="46" t="str">
        <f>IF(B88="Smartphone", "Electronics", IF(B88="Laptop", "Computing", IF(B88="Tablet", "Mobile", IF(B88="Smartwatch", "Wearables", IF(B88="Headphones", "Audio", "Photography")))))</f>
        <v>Mobile</v>
      </c>
      <c r="D88" s="47">
        <v>43891</v>
      </c>
      <c r="E88" s="48" t="str">
        <f t="shared" si="1"/>
        <v>Autumn</v>
      </c>
      <c r="F88" s="15">
        <v>36</v>
      </c>
      <c r="G88" s="15">
        <v>495</v>
      </c>
      <c r="H88" s="46">
        <f>F88+G88</f>
        <v>531</v>
      </c>
      <c r="I88" s="15">
        <v>343</v>
      </c>
      <c r="J88" s="15">
        <v>152</v>
      </c>
      <c r="K88" s="63">
        <f>F88+G88-I88</f>
        <v>188</v>
      </c>
      <c r="L88" s="63">
        <f>J88-K88</f>
        <v>-36</v>
      </c>
      <c r="M88" s="51">
        <f>I88/((F88+J88)/2)</f>
        <v>3.6489361702127661</v>
      </c>
      <c r="N88" s="15">
        <v>14</v>
      </c>
      <c r="O88" s="15">
        <v>0.860886548983683</v>
      </c>
      <c r="P88" s="52">
        <v>92.544620080080904</v>
      </c>
      <c r="R88" s="15">
        <v>21</v>
      </c>
      <c r="S88" s="15">
        <v>4</v>
      </c>
    </row>
    <row r="89" spans="1:19" x14ac:dyDescent="0.15">
      <c r="A89" s="15">
        <v>4</v>
      </c>
      <c r="B89" s="15" t="s">
        <v>13</v>
      </c>
      <c r="C89" s="46" t="str">
        <f>IF(B89="Smartphone", "Electronics", IF(B89="Laptop", "Computing", IF(B89="Tablet", "Mobile", IF(B89="Smartwatch", "Wearables", IF(B89="Headphones", "Audio", "Photography")))))</f>
        <v>Wearables</v>
      </c>
      <c r="D89" s="47">
        <v>43891</v>
      </c>
      <c r="E89" s="48" t="str">
        <f t="shared" si="1"/>
        <v>Autumn</v>
      </c>
      <c r="F89" s="15">
        <v>60</v>
      </c>
      <c r="G89" s="15">
        <v>207</v>
      </c>
      <c r="H89" s="46">
        <f>F89+G89</f>
        <v>267</v>
      </c>
      <c r="I89" s="15">
        <v>166</v>
      </c>
      <c r="J89" s="15">
        <v>41</v>
      </c>
      <c r="K89" s="63">
        <f>F89+G89-I89</f>
        <v>101</v>
      </c>
      <c r="L89" s="63">
        <f>J89-K89</f>
        <v>-60</v>
      </c>
      <c r="M89" s="51">
        <f>I89/((F89+J89)/2)</f>
        <v>3.2871287128712869</v>
      </c>
      <c r="N89" s="15">
        <v>7</v>
      </c>
      <c r="O89" s="15">
        <v>0.84601546487488199</v>
      </c>
      <c r="P89" s="52">
        <v>30.783134313186601</v>
      </c>
      <c r="R89" s="15">
        <v>4</v>
      </c>
      <c r="S89" s="15">
        <v>24</v>
      </c>
    </row>
    <row r="90" spans="1:19" x14ac:dyDescent="0.15">
      <c r="A90" s="15">
        <v>5</v>
      </c>
      <c r="B90" s="15" t="s">
        <v>14</v>
      </c>
      <c r="C90" s="46" t="str">
        <f>IF(B90="Smartphone", "Electronics", IF(B90="Laptop", "Computing", IF(B90="Tablet", "Mobile", IF(B90="Smartwatch", "Wearables", IF(B90="Headphones", "Audio", "Photography")))))</f>
        <v>Audio</v>
      </c>
      <c r="D90" s="47">
        <v>43891</v>
      </c>
      <c r="E90" s="48" t="str">
        <f t="shared" si="1"/>
        <v>Autumn</v>
      </c>
      <c r="F90" s="15">
        <v>37</v>
      </c>
      <c r="G90" s="15">
        <v>170</v>
      </c>
      <c r="H90" s="46">
        <f>F90+G90</f>
        <v>207</v>
      </c>
      <c r="I90" s="15">
        <v>71</v>
      </c>
      <c r="J90" s="15">
        <v>99</v>
      </c>
      <c r="K90" s="63">
        <f>F90+G90-I90</f>
        <v>136</v>
      </c>
      <c r="L90" s="63">
        <f>J90-K90</f>
        <v>-37</v>
      </c>
      <c r="M90" s="51">
        <f>I90/((F90+J90)/2)</f>
        <v>1.0441176470588236</v>
      </c>
      <c r="N90" s="15">
        <v>27</v>
      </c>
      <c r="O90" s="15">
        <v>0.94427294794501604</v>
      </c>
      <c r="P90" s="52">
        <v>81.901975536303794</v>
      </c>
      <c r="R90" s="15">
        <v>19</v>
      </c>
      <c r="S90" s="15">
        <v>24</v>
      </c>
    </row>
    <row r="91" spans="1:19" x14ac:dyDescent="0.15">
      <c r="A91" s="15">
        <v>6</v>
      </c>
      <c r="B91" s="15" t="s">
        <v>15</v>
      </c>
      <c r="C91" s="46" t="str">
        <f>IF(B91="Smartphone", "Electronics", IF(B91="Laptop", "Computing", IF(B91="Tablet", "Mobile", IF(B91="Smartwatch", "Wearables", IF(B91="Headphones", "Audio", "Photography")))))</f>
        <v>Photography</v>
      </c>
      <c r="D91" s="47">
        <v>43891</v>
      </c>
      <c r="E91" s="48" t="str">
        <f t="shared" si="1"/>
        <v>Autumn</v>
      </c>
      <c r="F91" s="15">
        <v>126</v>
      </c>
      <c r="G91" s="15">
        <v>104</v>
      </c>
      <c r="H91" s="46">
        <f>F91+G91</f>
        <v>230</v>
      </c>
      <c r="I91" s="15">
        <v>220</v>
      </c>
      <c r="J91" s="15">
        <v>15</v>
      </c>
      <c r="K91" s="63">
        <f>F91+G91-I91</f>
        <v>10</v>
      </c>
      <c r="L91" s="63">
        <f>J91-K91</f>
        <v>5</v>
      </c>
      <c r="M91" s="51">
        <f>I91/((F91+J91)/2)</f>
        <v>3.1205673758865249</v>
      </c>
      <c r="N91" s="15">
        <v>27</v>
      </c>
      <c r="O91" s="15">
        <v>0.93945670125733405</v>
      </c>
      <c r="P91" s="52">
        <v>66.044668473207295</v>
      </c>
      <c r="R91" s="15">
        <v>16</v>
      </c>
      <c r="S91" s="15">
        <v>2</v>
      </c>
    </row>
    <row r="92" spans="1:19" x14ac:dyDescent="0.15">
      <c r="A92" s="15">
        <v>1</v>
      </c>
      <c r="B92" s="15" t="s">
        <v>10</v>
      </c>
      <c r="C92" s="46" t="str">
        <f>IF(B92="Smartphone", "Electronics", IF(B92="Laptop", "Computing", IF(B92="Tablet", "Mobile", IF(B92="Smartwatch", "Wearables", IF(B92="Headphones", "Audio", "Photography")))))</f>
        <v>Electronics</v>
      </c>
      <c r="D92" s="47">
        <v>43922</v>
      </c>
      <c r="E92" s="48" t="str">
        <f t="shared" si="1"/>
        <v>Autumn</v>
      </c>
      <c r="F92" s="15">
        <v>52</v>
      </c>
      <c r="G92" s="15">
        <v>449</v>
      </c>
      <c r="H92" s="46">
        <f>F92+G92</f>
        <v>501</v>
      </c>
      <c r="I92" s="15">
        <v>264</v>
      </c>
      <c r="J92" s="15">
        <v>185</v>
      </c>
      <c r="K92" s="63">
        <f>F92+G92-I92</f>
        <v>237</v>
      </c>
      <c r="L92" s="63">
        <f>J92-K92</f>
        <v>-52</v>
      </c>
      <c r="M92" s="51">
        <f>I92/((F92+J92)/2)</f>
        <v>2.2278481012658227</v>
      </c>
      <c r="N92" s="15">
        <v>2</v>
      </c>
      <c r="O92" s="15">
        <v>0.90395000418055305</v>
      </c>
      <c r="P92" s="52">
        <v>142.77522615215301</v>
      </c>
      <c r="R92" s="15">
        <v>13</v>
      </c>
      <c r="S92" s="15">
        <v>1</v>
      </c>
    </row>
    <row r="93" spans="1:19" x14ac:dyDescent="0.15">
      <c r="A93" s="15">
        <v>2</v>
      </c>
      <c r="B93" s="15" t="s">
        <v>11</v>
      </c>
      <c r="C93" s="46" t="str">
        <f>IF(B93="Smartphone", "Electronics", IF(B93="Laptop", "Computing", IF(B93="Tablet", "Mobile", IF(B93="Smartwatch", "Wearables", IF(B93="Headphones", "Audio", "Photography")))))</f>
        <v>Computing</v>
      </c>
      <c r="D93" s="47">
        <v>43922</v>
      </c>
      <c r="E93" s="48" t="str">
        <f t="shared" si="1"/>
        <v>Autumn</v>
      </c>
      <c r="F93" s="15">
        <v>91</v>
      </c>
      <c r="G93" s="15">
        <v>61</v>
      </c>
      <c r="H93" s="46">
        <f>F93+G93</f>
        <v>152</v>
      </c>
      <c r="I93" s="15">
        <v>2</v>
      </c>
      <c r="J93" s="15">
        <v>59</v>
      </c>
      <c r="K93" s="63">
        <f>F93+G93-I93</f>
        <v>150</v>
      </c>
      <c r="L93" s="63">
        <f>J93-K93</f>
        <v>-91</v>
      </c>
      <c r="M93" s="51">
        <f>I93/((F93+J93)/2)</f>
        <v>2.6666666666666668E-2</v>
      </c>
      <c r="N93" s="15">
        <v>9</v>
      </c>
      <c r="O93" s="15">
        <v>0.95397718104058205</v>
      </c>
      <c r="P93" s="52">
        <v>80.017560849593806</v>
      </c>
      <c r="R93" s="15">
        <v>4</v>
      </c>
      <c r="S93" s="15">
        <v>17</v>
      </c>
    </row>
    <row r="94" spans="1:19" x14ac:dyDescent="0.15">
      <c r="A94" s="15">
        <v>3</v>
      </c>
      <c r="B94" s="15" t="s">
        <v>12</v>
      </c>
      <c r="C94" s="46" t="str">
        <f>IF(B94="Smartphone", "Electronics", IF(B94="Laptop", "Computing", IF(B94="Tablet", "Mobile", IF(B94="Smartwatch", "Wearables", IF(B94="Headphones", "Audio", "Photography")))))</f>
        <v>Mobile</v>
      </c>
      <c r="D94" s="47">
        <v>43922</v>
      </c>
      <c r="E94" s="48" t="str">
        <f t="shared" si="1"/>
        <v>Autumn</v>
      </c>
      <c r="F94" s="15">
        <v>89</v>
      </c>
      <c r="G94" s="15">
        <v>194</v>
      </c>
      <c r="H94" s="46">
        <f>F94+G94</f>
        <v>283</v>
      </c>
      <c r="I94" s="15">
        <v>134</v>
      </c>
      <c r="J94" s="15">
        <v>60</v>
      </c>
      <c r="K94" s="63">
        <f>F94+G94-I94</f>
        <v>149</v>
      </c>
      <c r="L94" s="63">
        <f>J94-K94</f>
        <v>-89</v>
      </c>
      <c r="M94" s="51">
        <f>I94/((F94+J94)/2)</f>
        <v>1.7986577181208054</v>
      </c>
      <c r="N94" s="15">
        <v>16</v>
      </c>
      <c r="O94" s="15">
        <v>0.97129682907395498</v>
      </c>
      <c r="P94" s="52">
        <v>231.70100700918999</v>
      </c>
      <c r="R94" s="15">
        <v>23</v>
      </c>
      <c r="S94" s="15">
        <v>6</v>
      </c>
    </row>
    <row r="95" spans="1:19" x14ac:dyDescent="0.15">
      <c r="A95" s="15">
        <v>4</v>
      </c>
      <c r="B95" s="15" t="s">
        <v>13</v>
      </c>
      <c r="C95" s="46" t="str">
        <f>IF(B95="Smartphone", "Electronics", IF(B95="Laptop", "Computing", IF(B95="Tablet", "Mobile", IF(B95="Smartwatch", "Wearables", IF(B95="Headphones", "Audio", "Photography")))))</f>
        <v>Wearables</v>
      </c>
      <c r="D95" s="47">
        <v>43922</v>
      </c>
      <c r="E95" s="48" t="str">
        <f t="shared" si="1"/>
        <v>Autumn</v>
      </c>
      <c r="F95" s="15">
        <v>44</v>
      </c>
      <c r="G95" s="15">
        <v>449</v>
      </c>
      <c r="H95" s="46">
        <f>F95+G95</f>
        <v>493</v>
      </c>
      <c r="I95" s="15">
        <v>415</v>
      </c>
      <c r="J95" s="15">
        <v>34</v>
      </c>
      <c r="K95" s="63">
        <f>F95+G95-I95</f>
        <v>78</v>
      </c>
      <c r="L95" s="63">
        <f>J95-K95</f>
        <v>-44</v>
      </c>
      <c r="M95" s="51">
        <f>I95/((F95+J95)/2)</f>
        <v>10.641025641025641</v>
      </c>
      <c r="N95" s="15">
        <v>13</v>
      </c>
      <c r="O95" s="15">
        <v>0.96541120389127699</v>
      </c>
      <c r="P95" s="52">
        <v>9.2572260359371104</v>
      </c>
      <c r="R95" s="15">
        <v>17</v>
      </c>
      <c r="S95" s="15">
        <v>4</v>
      </c>
    </row>
    <row r="96" spans="1:19" x14ac:dyDescent="0.15">
      <c r="A96" s="15">
        <v>5</v>
      </c>
      <c r="B96" s="15" t="s">
        <v>14</v>
      </c>
      <c r="C96" s="46" t="str">
        <f>IF(B96="Smartphone", "Electronics", IF(B96="Laptop", "Computing", IF(B96="Tablet", "Mobile", IF(B96="Smartwatch", "Wearables", IF(B96="Headphones", "Audio", "Photography")))))</f>
        <v>Audio</v>
      </c>
      <c r="D96" s="47">
        <v>43922</v>
      </c>
      <c r="E96" s="48" t="str">
        <f t="shared" si="1"/>
        <v>Autumn</v>
      </c>
      <c r="F96" s="15">
        <v>88</v>
      </c>
      <c r="G96" s="15">
        <v>445</v>
      </c>
      <c r="H96" s="46">
        <f>F96+G96</f>
        <v>533</v>
      </c>
      <c r="I96" s="15">
        <v>382</v>
      </c>
      <c r="J96" s="15">
        <v>63</v>
      </c>
      <c r="K96" s="63">
        <f>F96+G96-I96</f>
        <v>151</v>
      </c>
      <c r="L96" s="63">
        <f>J96-K96</f>
        <v>-88</v>
      </c>
      <c r="M96" s="51">
        <f>I96/((F96+J96)/2)</f>
        <v>5.0596026490066226</v>
      </c>
      <c r="N96" s="15">
        <v>9</v>
      </c>
      <c r="O96" s="15">
        <v>0.87358605132990097</v>
      </c>
      <c r="P96" s="52">
        <v>51.269356376127497</v>
      </c>
      <c r="R96" s="15">
        <v>23</v>
      </c>
      <c r="S96" s="15">
        <v>20</v>
      </c>
    </row>
    <row r="97" spans="1:19" x14ac:dyDescent="0.15">
      <c r="A97" s="15">
        <v>6</v>
      </c>
      <c r="B97" s="15" t="s">
        <v>15</v>
      </c>
      <c r="C97" s="46" t="str">
        <f>IF(B97="Smartphone", "Electronics", IF(B97="Laptop", "Computing", IF(B97="Tablet", "Mobile", IF(B97="Smartwatch", "Wearables", IF(B97="Headphones", "Audio", "Photography")))))</f>
        <v>Photography</v>
      </c>
      <c r="D97" s="47">
        <v>43922</v>
      </c>
      <c r="E97" s="48" t="str">
        <f t="shared" si="1"/>
        <v>Autumn</v>
      </c>
      <c r="F97" s="15">
        <v>27</v>
      </c>
      <c r="G97" s="15">
        <v>185</v>
      </c>
      <c r="H97" s="46">
        <f>F97+G97</f>
        <v>212</v>
      </c>
      <c r="I97" s="15">
        <v>176</v>
      </c>
      <c r="J97" s="15">
        <v>9</v>
      </c>
      <c r="K97" s="63">
        <f>F97+G97-I97</f>
        <v>36</v>
      </c>
      <c r="L97" s="63">
        <f>J97-K97</f>
        <v>-27</v>
      </c>
      <c r="M97" s="51">
        <f>I97/((F97+J97)/2)</f>
        <v>9.7777777777777786</v>
      </c>
      <c r="N97" s="15">
        <v>20</v>
      </c>
      <c r="O97" s="15">
        <v>0.95070524656398503</v>
      </c>
      <c r="P97" s="52">
        <v>49.6869904073558</v>
      </c>
      <c r="R97" s="15">
        <v>1</v>
      </c>
      <c r="S97" s="15">
        <v>16</v>
      </c>
    </row>
    <row r="98" spans="1:19" x14ac:dyDescent="0.15">
      <c r="A98" s="15">
        <v>1</v>
      </c>
      <c r="B98" s="15" t="s">
        <v>10</v>
      </c>
      <c r="C98" s="46" t="str">
        <f>IF(B98="Smartphone", "Electronics", IF(B98="Laptop", "Computing", IF(B98="Tablet", "Mobile", IF(B98="Smartwatch", "Wearables", IF(B98="Headphones", "Audio", "Photography")))))</f>
        <v>Electronics</v>
      </c>
      <c r="D98" s="47">
        <v>43952</v>
      </c>
      <c r="E98" s="48" t="str">
        <f t="shared" si="1"/>
        <v>Autumn</v>
      </c>
      <c r="F98" s="15">
        <v>2</v>
      </c>
      <c r="G98" s="15">
        <v>52</v>
      </c>
      <c r="H98" s="46">
        <f>F98+G98</f>
        <v>54</v>
      </c>
      <c r="I98" s="15">
        <v>0</v>
      </c>
      <c r="J98" s="15">
        <v>52</v>
      </c>
      <c r="K98" s="63">
        <f>F98+G98-I98</f>
        <v>54</v>
      </c>
      <c r="L98" s="63">
        <f>J98-K98</f>
        <v>-2</v>
      </c>
      <c r="M98" s="51">
        <f>I98/((F98+J98)/2)</f>
        <v>0</v>
      </c>
      <c r="N98" s="15">
        <v>4</v>
      </c>
      <c r="O98" s="15">
        <v>0.91058204887543204</v>
      </c>
      <c r="P98" s="52">
        <v>71.755905806463005</v>
      </c>
      <c r="R98" s="15">
        <v>18</v>
      </c>
      <c r="S98" s="15">
        <v>15</v>
      </c>
    </row>
    <row r="99" spans="1:19" x14ac:dyDescent="0.15">
      <c r="A99" s="15">
        <v>2</v>
      </c>
      <c r="B99" s="15" t="s">
        <v>11</v>
      </c>
      <c r="C99" s="46" t="str">
        <f>IF(B99="Smartphone", "Electronics", IF(B99="Laptop", "Computing", IF(B99="Tablet", "Mobile", IF(B99="Smartwatch", "Wearables", IF(B99="Headphones", "Audio", "Photography")))))</f>
        <v>Computing</v>
      </c>
      <c r="D99" s="47">
        <v>43952</v>
      </c>
      <c r="E99" s="48" t="str">
        <f t="shared" si="1"/>
        <v>Autumn</v>
      </c>
      <c r="F99" s="15">
        <v>7</v>
      </c>
      <c r="G99" s="15">
        <v>193</v>
      </c>
      <c r="H99" s="46">
        <f>F99+G99</f>
        <v>200</v>
      </c>
      <c r="I99" s="15">
        <v>161</v>
      </c>
      <c r="J99" s="15">
        <v>32</v>
      </c>
      <c r="K99" s="63">
        <f>F99+G99-I99</f>
        <v>39</v>
      </c>
      <c r="L99" s="63">
        <f>J99-K99</f>
        <v>-7</v>
      </c>
      <c r="M99" s="51">
        <f>I99/((F99+J99)/2)</f>
        <v>8.2564102564102573</v>
      </c>
      <c r="N99" s="15">
        <v>22</v>
      </c>
      <c r="O99" s="15">
        <v>0.986295388517618</v>
      </c>
      <c r="P99" s="52">
        <v>137.48359877874699</v>
      </c>
      <c r="R99" s="15">
        <v>20</v>
      </c>
      <c r="S99" s="15">
        <v>27</v>
      </c>
    </row>
    <row r="100" spans="1:19" x14ac:dyDescent="0.15">
      <c r="A100" s="15">
        <v>3</v>
      </c>
      <c r="B100" s="15" t="s">
        <v>12</v>
      </c>
      <c r="C100" s="46" t="str">
        <f>IF(B100="Smartphone", "Electronics", IF(B100="Laptop", "Computing", IF(B100="Tablet", "Mobile", IF(B100="Smartwatch", "Wearables", IF(B100="Headphones", "Audio", "Photography")))))</f>
        <v>Mobile</v>
      </c>
      <c r="D100" s="47">
        <v>43952</v>
      </c>
      <c r="E100" s="48" t="str">
        <f t="shared" si="1"/>
        <v>Autumn</v>
      </c>
      <c r="F100" s="15">
        <v>4</v>
      </c>
      <c r="G100" s="15">
        <v>79</v>
      </c>
      <c r="H100" s="46">
        <f>F100+G100</f>
        <v>83</v>
      </c>
      <c r="I100" s="15">
        <v>126</v>
      </c>
      <c r="J100" s="15">
        <v>5</v>
      </c>
      <c r="K100" s="63">
        <f>F100+G100-I100</f>
        <v>-43</v>
      </c>
      <c r="L100" s="63">
        <f>J100-K100</f>
        <v>48</v>
      </c>
      <c r="M100" s="51">
        <f>I100/((F100+J100)/2)</f>
        <v>28</v>
      </c>
      <c r="N100" s="15">
        <v>10</v>
      </c>
      <c r="O100" s="15">
        <v>0.89381358318664095</v>
      </c>
      <c r="P100" s="52">
        <v>333.69087311309602</v>
      </c>
      <c r="R100" s="15">
        <v>17</v>
      </c>
      <c r="S100" s="15">
        <v>15</v>
      </c>
    </row>
    <row r="101" spans="1:19" x14ac:dyDescent="0.15">
      <c r="A101" s="15">
        <v>4</v>
      </c>
      <c r="B101" s="15" t="s">
        <v>13</v>
      </c>
      <c r="C101" s="46" t="str">
        <f>IF(B101="Smartphone", "Electronics", IF(B101="Laptop", "Computing", IF(B101="Tablet", "Mobile", IF(B101="Smartwatch", "Wearables", IF(B101="Headphones", "Audio", "Photography")))))</f>
        <v>Wearables</v>
      </c>
      <c r="D101" s="47">
        <v>43952</v>
      </c>
      <c r="E101" s="48" t="str">
        <f t="shared" si="1"/>
        <v>Autumn</v>
      </c>
      <c r="F101" s="15">
        <v>15</v>
      </c>
      <c r="G101" s="15">
        <v>286</v>
      </c>
      <c r="H101" s="46">
        <f>F101+G101</f>
        <v>301</v>
      </c>
      <c r="I101" s="15">
        <v>200</v>
      </c>
      <c r="J101" s="15">
        <v>86</v>
      </c>
      <c r="K101" s="63">
        <f>F101+G101-I101</f>
        <v>101</v>
      </c>
      <c r="L101" s="63">
        <f>J101-K101</f>
        <v>-15</v>
      </c>
      <c r="M101" s="51">
        <f>I101/((F101+J101)/2)</f>
        <v>3.9603960396039604</v>
      </c>
      <c r="N101" s="15">
        <v>26</v>
      </c>
      <c r="O101" s="15">
        <v>0.88217641813158298</v>
      </c>
      <c r="P101" s="52">
        <v>233.903699161758</v>
      </c>
      <c r="R101" s="15">
        <v>27</v>
      </c>
      <c r="S101" s="15">
        <v>6</v>
      </c>
    </row>
    <row r="102" spans="1:19" x14ac:dyDescent="0.15">
      <c r="A102" s="15">
        <v>5</v>
      </c>
      <c r="B102" s="15" t="s">
        <v>14</v>
      </c>
      <c r="C102" s="46" t="str">
        <f>IF(B102="Smartphone", "Electronics", IF(B102="Laptop", "Computing", IF(B102="Tablet", "Mobile", IF(B102="Smartwatch", "Wearables", IF(B102="Headphones", "Audio", "Photography")))))</f>
        <v>Audio</v>
      </c>
      <c r="D102" s="47">
        <v>43952</v>
      </c>
      <c r="E102" s="48" t="str">
        <f t="shared" si="1"/>
        <v>Autumn</v>
      </c>
      <c r="F102" s="15">
        <v>86</v>
      </c>
      <c r="G102" s="15">
        <v>328</v>
      </c>
      <c r="H102" s="46">
        <f>F102+G102</f>
        <v>414</v>
      </c>
      <c r="I102" s="15">
        <v>237</v>
      </c>
      <c r="J102" s="15">
        <v>91</v>
      </c>
      <c r="K102" s="63">
        <f>F102+G102-I102</f>
        <v>177</v>
      </c>
      <c r="L102" s="63">
        <f>J102-K102</f>
        <v>-86</v>
      </c>
      <c r="M102" s="51">
        <f>I102/((F102+J102)/2)</f>
        <v>2.6779661016949152</v>
      </c>
      <c r="N102" s="15">
        <v>26</v>
      </c>
      <c r="O102" s="15">
        <v>0.86931015615785601</v>
      </c>
      <c r="P102" s="52">
        <v>167.07415842139099</v>
      </c>
      <c r="R102" s="15">
        <v>28</v>
      </c>
      <c r="S102" s="15">
        <v>15</v>
      </c>
    </row>
    <row r="103" spans="1:19" x14ac:dyDescent="0.15">
      <c r="A103" s="15">
        <v>6</v>
      </c>
      <c r="B103" s="15" t="s">
        <v>15</v>
      </c>
      <c r="C103" s="46" t="str">
        <f>IF(B103="Smartphone", "Electronics", IF(B103="Laptop", "Computing", IF(B103="Tablet", "Mobile", IF(B103="Smartwatch", "Wearables", IF(B103="Headphones", "Audio", "Photography")))))</f>
        <v>Photography</v>
      </c>
      <c r="D103" s="47">
        <v>43952</v>
      </c>
      <c r="E103" s="48" t="str">
        <f t="shared" si="1"/>
        <v>Autumn</v>
      </c>
      <c r="F103" s="15">
        <v>29</v>
      </c>
      <c r="G103" s="15">
        <v>397</v>
      </c>
      <c r="H103" s="46">
        <f>F103+G103</f>
        <v>426</v>
      </c>
      <c r="I103" s="15">
        <v>374</v>
      </c>
      <c r="J103" s="15">
        <v>23</v>
      </c>
      <c r="K103" s="63">
        <f>F103+G103-I103</f>
        <v>52</v>
      </c>
      <c r="L103" s="63">
        <f>J103-K103</f>
        <v>-29</v>
      </c>
      <c r="M103" s="51">
        <f>I103/((F103+J103)/2)</f>
        <v>14.384615384615385</v>
      </c>
      <c r="N103" s="15">
        <v>22</v>
      </c>
      <c r="O103" s="15">
        <v>0.90946439471177698</v>
      </c>
      <c r="P103" s="52">
        <v>155.67122555973901</v>
      </c>
      <c r="R103" s="15">
        <v>27</v>
      </c>
      <c r="S103" s="15">
        <v>14</v>
      </c>
    </row>
    <row r="104" spans="1:19" x14ac:dyDescent="0.15">
      <c r="A104" s="15">
        <v>1</v>
      </c>
      <c r="B104" s="15" t="s">
        <v>10</v>
      </c>
      <c r="C104" s="46" t="str">
        <f>IF(B104="Smartphone", "Electronics", IF(B104="Laptop", "Computing", IF(B104="Tablet", "Mobile", IF(B104="Smartwatch", "Wearables", IF(B104="Headphones", "Audio", "Photography")))))</f>
        <v>Electronics</v>
      </c>
      <c r="D104" s="47">
        <v>43983</v>
      </c>
      <c r="E104" s="48" t="str">
        <f t="shared" si="1"/>
        <v>Winter</v>
      </c>
      <c r="F104" s="15">
        <v>2</v>
      </c>
      <c r="G104" s="15">
        <v>164</v>
      </c>
      <c r="H104" s="46">
        <f>F104+G104</f>
        <v>166</v>
      </c>
      <c r="I104" s="15">
        <v>76</v>
      </c>
      <c r="J104" s="15">
        <v>88</v>
      </c>
      <c r="K104" s="63">
        <f>F104+G104-I104</f>
        <v>90</v>
      </c>
      <c r="L104" s="63">
        <f>J104-K104</f>
        <v>-2</v>
      </c>
      <c r="M104" s="51">
        <f>I104/((F104+J104)/2)</f>
        <v>1.6888888888888889</v>
      </c>
      <c r="N104" s="15">
        <v>12</v>
      </c>
      <c r="O104" s="15">
        <v>0.923336273379605</v>
      </c>
      <c r="P104" s="52">
        <v>59.493305043019099</v>
      </c>
      <c r="R104" s="15">
        <v>15</v>
      </c>
      <c r="S104" s="15">
        <v>28</v>
      </c>
    </row>
    <row r="105" spans="1:19" x14ac:dyDescent="0.15">
      <c r="A105" s="15">
        <v>2</v>
      </c>
      <c r="B105" s="15" t="s">
        <v>11</v>
      </c>
      <c r="C105" s="46" t="str">
        <f>IF(B105="Smartphone", "Electronics", IF(B105="Laptop", "Computing", IF(B105="Tablet", "Mobile", IF(B105="Smartwatch", "Wearables", IF(B105="Headphones", "Audio", "Photography")))))</f>
        <v>Computing</v>
      </c>
      <c r="D105" s="47">
        <v>43983</v>
      </c>
      <c r="E105" s="48" t="str">
        <f t="shared" si="1"/>
        <v>Winter</v>
      </c>
      <c r="F105" s="15">
        <v>55</v>
      </c>
      <c r="G105" s="15">
        <v>153</v>
      </c>
      <c r="H105" s="46">
        <f>F105+G105</f>
        <v>208</v>
      </c>
      <c r="I105" s="15">
        <v>89</v>
      </c>
      <c r="J105" s="15">
        <v>64</v>
      </c>
      <c r="K105" s="63">
        <f>F105+G105-I105</f>
        <v>119</v>
      </c>
      <c r="L105" s="63">
        <f>J105-K105</f>
        <v>-55</v>
      </c>
      <c r="M105" s="51">
        <f>I105/((F105+J105)/2)</f>
        <v>1.4957983193277311</v>
      </c>
      <c r="N105" s="15">
        <v>17</v>
      </c>
      <c r="O105" s="15">
        <v>0.92429811414636298</v>
      </c>
      <c r="P105" s="52">
        <v>6.28795822700486</v>
      </c>
      <c r="R105" s="15">
        <v>11</v>
      </c>
      <c r="S105" s="15">
        <v>11</v>
      </c>
    </row>
    <row r="106" spans="1:19" x14ac:dyDescent="0.15">
      <c r="A106" s="15">
        <v>3</v>
      </c>
      <c r="B106" s="15" t="s">
        <v>12</v>
      </c>
      <c r="C106" s="46" t="str">
        <f>IF(B106="Smartphone", "Electronics", IF(B106="Laptop", "Computing", IF(B106="Tablet", "Mobile", IF(B106="Smartwatch", "Wearables", IF(B106="Headphones", "Audio", "Photography")))))</f>
        <v>Mobile</v>
      </c>
      <c r="D106" s="47">
        <v>43983</v>
      </c>
      <c r="E106" s="48" t="str">
        <f t="shared" si="1"/>
        <v>Winter</v>
      </c>
      <c r="F106" s="15">
        <v>35</v>
      </c>
      <c r="G106" s="15">
        <v>167</v>
      </c>
      <c r="H106" s="46">
        <f>F106+G106</f>
        <v>202</v>
      </c>
      <c r="I106" s="15">
        <v>89</v>
      </c>
      <c r="J106" s="15">
        <v>78</v>
      </c>
      <c r="K106" s="63">
        <f>F106+G106-I106</f>
        <v>113</v>
      </c>
      <c r="L106" s="63">
        <f>J106-K106</f>
        <v>-35</v>
      </c>
      <c r="M106" s="51">
        <f>I106/((F106+J106)/2)</f>
        <v>1.5752212389380531</v>
      </c>
      <c r="N106" s="15">
        <v>14</v>
      </c>
      <c r="O106" s="15">
        <v>0.917458627015592</v>
      </c>
      <c r="P106" s="52">
        <v>212.249850327274</v>
      </c>
      <c r="R106" s="15">
        <v>25</v>
      </c>
      <c r="S106" s="15">
        <v>7</v>
      </c>
    </row>
    <row r="107" spans="1:19" x14ac:dyDescent="0.15">
      <c r="A107" s="15">
        <v>4</v>
      </c>
      <c r="B107" s="15" t="s">
        <v>13</v>
      </c>
      <c r="C107" s="46" t="str">
        <f>IF(B107="Smartphone", "Electronics", IF(B107="Laptop", "Computing", IF(B107="Tablet", "Mobile", IF(B107="Smartwatch", "Wearables", IF(B107="Headphones", "Audio", "Photography")))))</f>
        <v>Wearables</v>
      </c>
      <c r="D107" s="47">
        <v>43983</v>
      </c>
      <c r="E107" s="48" t="str">
        <f t="shared" si="1"/>
        <v>Winter</v>
      </c>
      <c r="F107" s="15">
        <v>24</v>
      </c>
      <c r="G107" s="15">
        <v>54</v>
      </c>
      <c r="H107" s="46">
        <f>F107+G107</f>
        <v>78</v>
      </c>
      <c r="I107" s="15">
        <v>28</v>
      </c>
      <c r="J107" s="15">
        <v>26</v>
      </c>
      <c r="K107" s="63">
        <f>F107+G107-I107</f>
        <v>50</v>
      </c>
      <c r="L107" s="63">
        <f>J107-K107</f>
        <v>-24</v>
      </c>
      <c r="M107" s="51">
        <f>I107/((F107+J107)/2)</f>
        <v>1.1200000000000001</v>
      </c>
      <c r="N107" s="15">
        <v>14</v>
      </c>
      <c r="O107" s="15">
        <v>0.93355185063399004</v>
      </c>
      <c r="P107" s="52">
        <v>107.670401316786</v>
      </c>
      <c r="R107" s="15">
        <v>28</v>
      </c>
      <c r="S107" s="15">
        <v>9</v>
      </c>
    </row>
    <row r="108" spans="1:19" x14ac:dyDescent="0.15">
      <c r="A108" s="15">
        <v>5</v>
      </c>
      <c r="B108" s="15" t="s">
        <v>14</v>
      </c>
      <c r="C108" s="46" t="str">
        <f>IF(B108="Smartphone", "Electronics", IF(B108="Laptop", "Computing", IF(B108="Tablet", "Mobile", IF(B108="Smartwatch", "Wearables", IF(B108="Headphones", "Audio", "Photography")))))</f>
        <v>Audio</v>
      </c>
      <c r="D108" s="47">
        <v>43983</v>
      </c>
      <c r="E108" s="48" t="str">
        <f t="shared" si="1"/>
        <v>Winter</v>
      </c>
      <c r="F108" s="15">
        <v>23</v>
      </c>
      <c r="G108" s="15">
        <v>409</v>
      </c>
      <c r="H108" s="46">
        <f>F108+G108</f>
        <v>432</v>
      </c>
      <c r="I108" s="15">
        <v>347</v>
      </c>
      <c r="J108" s="15">
        <v>62</v>
      </c>
      <c r="K108" s="63">
        <f>F108+G108-I108</f>
        <v>85</v>
      </c>
      <c r="L108" s="63">
        <f>J108-K108</f>
        <v>-23</v>
      </c>
      <c r="M108" s="51">
        <f>I108/((F108+J108)/2)</f>
        <v>8.1647058823529406</v>
      </c>
      <c r="N108" s="15">
        <v>25</v>
      </c>
      <c r="O108" s="15">
        <v>0.88887290820428</v>
      </c>
      <c r="P108" s="52">
        <v>66.993160202438503</v>
      </c>
      <c r="R108" s="15">
        <v>22</v>
      </c>
      <c r="S108" s="15">
        <v>26</v>
      </c>
    </row>
    <row r="109" spans="1:19" x14ac:dyDescent="0.15">
      <c r="A109" s="15">
        <v>6</v>
      </c>
      <c r="B109" s="15" t="s">
        <v>15</v>
      </c>
      <c r="C109" s="46" t="str">
        <f>IF(B109="Smartphone", "Electronics", IF(B109="Laptop", "Computing", IF(B109="Tablet", "Mobile", IF(B109="Smartwatch", "Wearables", IF(B109="Headphones", "Audio", "Photography")))))</f>
        <v>Photography</v>
      </c>
      <c r="D109" s="47">
        <v>43983</v>
      </c>
      <c r="E109" s="48" t="str">
        <f t="shared" si="1"/>
        <v>Winter</v>
      </c>
      <c r="F109" s="15">
        <v>23</v>
      </c>
      <c r="G109" s="15">
        <v>297</v>
      </c>
      <c r="H109" s="46">
        <f>F109+G109</f>
        <v>320</v>
      </c>
      <c r="I109" s="15">
        <v>100</v>
      </c>
      <c r="J109" s="15">
        <v>197</v>
      </c>
      <c r="K109" s="63">
        <f>F109+G109-I109</f>
        <v>220</v>
      </c>
      <c r="L109" s="63">
        <f>J109-K109</f>
        <v>-23</v>
      </c>
      <c r="M109" s="51">
        <f>I109/((F109+J109)/2)</f>
        <v>0.90909090909090906</v>
      </c>
      <c r="N109" s="15">
        <v>2</v>
      </c>
      <c r="O109" s="15">
        <v>0.85637423422040604</v>
      </c>
      <c r="P109" s="52">
        <v>609.98941973681099</v>
      </c>
      <c r="R109" s="15">
        <v>13</v>
      </c>
      <c r="S109" s="15">
        <v>16</v>
      </c>
    </row>
    <row r="110" spans="1:19" x14ac:dyDescent="0.15">
      <c r="A110" s="15">
        <v>1</v>
      </c>
      <c r="B110" s="15" t="s">
        <v>10</v>
      </c>
      <c r="C110" s="46" t="str">
        <f>IF(B110="Smartphone", "Electronics", IF(B110="Laptop", "Computing", IF(B110="Tablet", "Mobile", IF(B110="Smartwatch", "Wearables", IF(B110="Headphones", "Audio", "Photography")))))</f>
        <v>Electronics</v>
      </c>
      <c r="D110" s="47">
        <v>44013</v>
      </c>
      <c r="E110" s="48" t="str">
        <f t="shared" si="1"/>
        <v>Winter</v>
      </c>
      <c r="F110" s="15">
        <v>3</v>
      </c>
      <c r="G110" s="15">
        <v>268</v>
      </c>
      <c r="H110" s="46">
        <f>F110+G110</f>
        <v>271</v>
      </c>
      <c r="I110" s="15">
        <v>435</v>
      </c>
      <c r="J110" s="15">
        <v>22</v>
      </c>
      <c r="K110" s="63">
        <f>F110+G110-I110</f>
        <v>-164</v>
      </c>
      <c r="L110" s="63">
        <f>J110-K110</f>
        <v>186</v>
      </c>
      <c r="M110" s="51">
        <f>I110/((F110+J110)/2)</f>
        <v>34.799999999999997</v>
      </c>
      <c r="N110" s="15">
        <v>21</v>
      </c>
      <c r="O110" s="15">
        <v>0.85200860015431701</v>
      </c>
      <c r="P110" s="52">
        <v>67.090763794273002</v>
      </c>
    </row>
    <row r="111" spans="1:19" x14ac:dyDescent="0.15">
      <c r="A111" s="15">
        <v>2</v>
      </c>
      <c r="B111" s="15" t="s">
        <v>11</v>
      </c>
      <c r="C111" s="46" t="str">
        <f>IF(B111="Smartphone", "Electronics", IF(B111="Laptop", "Computing", IF(B111="Tablet", "Mobile", IF(B111="Smartwatch", "Wearables", IF(B111="Headphones", "Audio", "Photography")))))</f>
        <v>Computing</v>
      </c>
      <c r="D111" s="47">
        <v>44013</v>
      </c>
      <c r="E111" s="48" t="str">
        <f t="shared" si="1"/>
        <v>Winter</v>
      </c>
      <c r="F111" s="15">
        <v>56</v>
      </c>
      <c r="G111" s="15">
        <v>370</v>
      </c>
      <c r="H111" s="46">
        <f>F111+G111</f>
        <v>426</v>
      </c>
      <c r="I111" s="15">
        <v>308</v>
      </c>
      <c r="J111" s="15">
        <v>62</v>
      </c>
      <c r="K111" s="63">
        <f>F111+G111-I111</f>
        <v>118</v>
      </c>
      <c r="L111" s="63">
        <f>J111-K111</f>
        <v>-56</v>
      </c>
      <c r="M111" s="51">
        <f>I111/((F111+J111)/2)</f>
        <v>5.2203389830508478</v>
      </c>
      <c r="N111" s="15">
        <v>25</v>
      </c>
      <c r="O111" s="15">
        <v>0.94875255476517295</v>
      </c>
      <c r="P111" s="52">
        <v>51.244305208049497</v>
      </c>
    </row>
    <row r="112" spans="1:19" x14ac:dyDescent="0.15">
      <c r="A112" s="15">
        <v>3</v>
      </c>
      <c r="B112" s="15" t="s">
        <v>12</v>
      </c>
      <c r="C112" s="46" t="str">
        <f>IF(B112="Smartphone", "Electronics", IF(B112="Laptop", "Computing", IF(B112="Tablet", "Mobile", IF(B112="Smartwatch", "Wearables", IF(B112="Headphones", "Audio", "Photography")))))</f>
        <v>Mobile</v>
      </c>
      <c r="D112" s="47">
        <v>44013</v>
      </c>
      <c r="E112" s="48" t="str">
        <f t="shared" si="1"/>
        <v>Winter</v>
      </c>
      <c r="F112" s="15">
        <v>85</v>
      </c>
      <c r="G112" s="15">
        <v>170</v>
      </c>
      <c r="H112" s="46">
        <f>F112+G112</f>
        <v>255</v>
      </c>
      <c r="I112" s="15">
        <v>373</v>
      </c>
      <c r="J112" s="15">
        <v>8</v>
      </c>
      <c r="K112" s="63">
        <f>F112+G112-I112</f>
        <v>-118</v>
      </c>
      <c r="L112" s="63">
        <f>J112-K112</f>
        <v>126</v>
      </c>
      <c r="M112" s="51">
        <f>I112/((F112+J112)/2)</f>
        <v>8.021505376344086</v>
      </c>
      <c r="N112" s="15">
        <v>20</v>
      </c>
      <c r="O112" s="15">
        <v>0.92351611552641399</v>
      </c>
      <c r="P112" s="52">
        <v>53.541457254677198</v>
      </c>
    </row>
    <row r="113" spans="1:16" x14ac:dyDescent="0.15">
      <c r="A113" s="15">
        <v>4</v>
      </c>
      <c r="B113" s="15" t="s">
        <v>13</v>
      </c>
      <c r="C113" s="46" t="str">
        <f>IF(B113="Smartphone", "Electronics", IF(B113="Laptop", "Computing", IF(B113="Tablet", "Mobile", IF(B113="Smartwatch", "Wearables", IF(B113="Headphones", "Audio", "Photography")))))</f>
        <v>Wearables</v>
      </c>
      <c r="D113" s="47">
        <v>44013</v>
      </c>
      <c r="E113" s="48" t="str">
        <f t="shared" si="1"/>
        <v>Winter</v>
      </c>
      <c r="F113" s="15">
        <v>80</v>
      </c>
      <c r="G113" s="15">
        <v>335</v>
      </c>
      <c r="H113" s="46">
        <f>F113+G113</f>
        <v>415</v>
      </c>
      <c r="I113" s="15">
        <v>253</v>
      </c>
      <c r="J113" s="15">
        <v>82</v>
      </c>
      <c r="K113" s="63">
        <f>F113+G113-I113</f>
        <v>162</v>
      </c>
      <c r="L113" s="63">
        <f>J113-K113</f>
        <v>-80</v>
      </c>
      <c r="M113" s="51">
        <f>I113/((F113+J113)/2)</f>
        <v>3.1234567901234569</v>
      </c>
      <c r="N113" s="15">
        <v>11</v>
      </c>
      <c r="O113" s="15">
        <v>0.80720811145248295</v>
      </c>
      <c r="P113" s="52">
        <v>51.8566078897422</v>
      </c>
    </row>
    <row r="114" spans="1:16" x14ac:dyDescent="0.15">
      <c r="A114" s="15">
        <v>5</v>
      </c>
      <c r="B114" s="15" t="s">
        <v>14</v>
      </c>
      <c r="C114" s="46" t="str">
        <f>IF(B114="Smartphone", "Electronics", IF(B114="Laptop", "Computing", IF(B114="Tablet", "Mobile", IF(B114="Smartwatch", "Wearables", IF(B114="Headphones", "Audio", "Photography")))))</f>
        <v>Audio</v>
      </c>
      <c r="D114" s="47">
        <v>44013</v>
      </c>
      <c r="E114" s="48" t="str">
        <f t="shared" si="1"/>
        <v>Winter</v>
      </c>
      <c r="F114" s="15">
        <v>34</v>
      </c>
      <c r="G114" s="15">
        <v>198</v>
      </c>
      <c r="H114" s="46">
        <f>F114+G114</f>
        <v>232</v>
      </c>
      <c r="I114" s="15">
        <v>165</v>
      </c>
      <c r="J114" s="15">
        <v>33</v>
      </c>
      <c r="K114" s="63">
        <f>F114+G114-I114</f>
        <v>67</v>
      </c>
      <c r="L114" s="63">
        <f>J114-K114</f>
        <v>-34</v>
      </c>
      <c r="M114" s="51">
        <f>I114/((F114+J114)/2)</f>
        <v>4.9253731343283578</v>
      </c>
      <c r="N114" s="15">
        <v>16</v>
      </c>
      <c r="O114" s="15">
        <v>0.95483767133999697</v>
      </c>
      <c r="P114" s="52">
        <v>50.6032694128439</v>
      </c>
    </row>
    <row r="115" spans="1:16" x14ac:dyDescent="0.15">
      <c r="A115" s="15">
        <v>6</v>
      </c>
      <c r="B115" s="15" t="s">
        <v>15</v>
      </c>
      <c r="C115" s="46" t="str">
        <f>IF(B115="Smartphone", "Electronics", IF(B115="Laptop", "Computing", IF(B115="Tablet", "Mobile", IF(B115="Smartwatch", "Wearables", IF(B115="Headphones", "Audio", "Photography")))))</f>
        <v>Photography</v>
      </c>
      <c r="D115" s="47">
        <v>44013</v>
      </c>
      <c r="E115" s="48" t="str">
        <f t="shared" si="1"/>
        <v>Winter</v>
      </c>
      <c r="F115" s="15">
        <v>96</v>
      </c>
      <c r="G115" s="15">
        <v>133</v>
      </c>
      <c r="H115" s="46">
        <f>F115+G115</f>
        <v>229</v>
      </c>
      <c r="I115" s="15">
        <v>145</v>
      </c>
      <c r="J115" s="15">
        <v>4</v>
      </c>
      <c r="K115" s="63">
        <f>F115+G115-I115</f>
        <v>84</v>
      </c>
      <c r="L115" s="63">
        <f>J115-K115</f>
        <v>-80</v>
      </c>
      <c r="M115" s="51">
        <f>I115/((F115+J115)/2)</f>
        <v>2.9</v>
      </c>
      <c r="N115" s="15">
        <v>19</v>
      </c>
      <c r="O115" s="15">
        <v>0.99402175732013198</v>
      </c>
      <c r="P115" s="52">
        <v>67.736677653765796</v>
      </c>
    </row>
    <row r="116" spans="1:16" x14ac:dyDescent="0.15">
      <c r="A116" s="15">
        <v>1</v>
      </c>
      <c r="B116" s="15" t="s">
        <v>10</v>
      </c>
      <c r="C116" s="46" t="str">
        <f>IF(B116="Smartphone", "Electronics", IF(B116="Laptop", "Computing", IF(B116="Tablet", "Mobile", IF(B116="Smartwatch", "Wearables", IF(B116="Headphones", "Audio", "Photography")))))</f>
        <v>Electronics</v>
      </c>
      <c r="D116" s="47">
        <v>44044</v>
      </c>
      <c r="E116" s="48" t="str">
        <f t="shared" si="1"/>
        <v>Winter</v>
      </c>
      <c r="F116" s="15">
        <v>16</v>
      </c>
      <c r="G116" s="15">
        <v>455</v>
      </c>
      <c r="H116" s="46">
        <f>F116+G116</f>
        <v>471</v>
      </c>
      <c r="I116" s="15">
        <v>525</v>
      </c>
      <c r="J116" s="15">
        <v>93</v>
      </c>
      <c r="K116" s="63">
        <f>F116+G116-I116</f>
        <v>-54</v>
      </c>
      <c r="L116" s="63">
        <f>J116-K116</f>
        <v>147</v>
      </c>
      <c r="M116" s="51">
        <f>I116/((F116+J116)/2)</f>
        <v>9.6330275229357802</v>
      </c>
      <c r="N116" s="15">
        <v>23</v>
      </c>
      <c r="O116" s="15">
        <v>0.86420415746207302</v>
      </c>
      <c r="P116" s="52">
        <v>36.015415387457402</v>
      </c>
    </row>
    <row r="117" spans="1:16" x14ac:dyDescent="0.15">
      <c r="A117" s="15">
        <v>2</v>
      </c>
      <c r="B117" s="15" t="s">
        <v>11</v>
      </c>
      <c r="C117" s="46" t="str">
        <f>IF(B117="Smartphone", "Electronics", IF(B117="Laptop", "Computing", IF(B117="Tablet", "Mobile", IF(B117="Smartwatch", "Wearables", IF(B117="Headphones", "Audio", "Photography")))))</f>
        <v>Computing</v>
      </c>
      <c r="D117" s="47">
        <v>44044</v>
      </c>
      <c r="E117" s="48" t="str">
        <f t="shared" si="1"/>
        <v>Winter</v>
      </c>
      <c r="F117" s="15">
        <v>92</v>
      </c>
      <c r="G117" s="15">
        <v>280</v>
      </c>
      <c r="H117" s="46">
        <f>F117+G117</f>
        <v>372</v>
      </c>
      <c r="I117" s="15">
        <v>220</v>
      </c>
      <c r="J117" s="15">
        <v>60</v>
      </c>
      <c r="K117" s="63">
        <f>F117+G117-I117</f>
        <v>152</v>
      </c>
      <c r="L117" s="63">
        <f>J117-K117</f>
        <v>-92</v>
      </c>
      <c r="M117" s="51">
        <f>I117/((F117+J117)/2)</f>
        <v>2.8947368421052633</v>
      </c>
      <c r="N117" s="15">
        <v>6</v>
      </c>
      <c r="O117" s="15">
        <v>0.916808002313802</v>
      </c>
      <c r="P117" s="52">
        <v>39.964661014959503</v>
      </c>
    </row>
    <row r="118" spans="1:16" x14ac:dyDescent="0.15">
      <c r="A118" s="15">
        <v>3</v>
      </c>
      <c r="B118" s="15" t="s">
        <v>12</v>
      </c>
      <c r="C118" s="46" t="str">
        <f>IF(B118="Smartphone", "Electronics", IF(B118="Laptop", "Computing", IF(B118="Tablet", "Mobile", IF(B118="Smartwatch", "Wearables", IF(B118="Headphones", "Audio", "Photography")))))</f>
        <v>Mobile</v>
      </c>
      <c r="D118" s="47">
        <v>44044</v>
      </c>
      <c r="E118" s="48" t="str">
        <f t="shared" si="1"/>
        <v>Winter</v>
      </c>
      <c r="F118" s="15">
        <v>9</v>
      </c>
      <c r="G118" s="15">
        <v>337</v>
      </c>
      <c r="H118" s="46">
        <f>F118+G118</f>
        <v>346</v>
      </c>
      <c r="I118" s="15">
        <v>188</v>
      </c>
      <c r="J118" s="15">
        <v>149</v>
      </c>
      <c r="K118" s="63">
        <f>F118+G118-I118</f>
        <v>158</v>
      </c>
      <c r="L118" s="63">
        <f>J118-K118</f>
        <v>-9</v>
      </c>
      <c r="M118" s="51">
        <f>I118/((F118+J118)/2)</f>
        <v>2.3797468354430378</v>
      </c>
      <c r="N118" s="15">
        <v>24</v>
      </c>
      <c r="O118" s="15">
        <v>0.87632709531838204</v>
      </c>
      <c r="P118" s="52">
        <v>166.70621480786599</v>
      </c>
    </row>
    <row r="119" spans="1:16" x14ac:dyDescent="0.15">
      <c r="A119" s="15">
        <v>4</v>
      </c>
      <c r="B119" s="15" t="s">
        <v>13</v>
      </c>
      <c r="C119" s="46" t="str">
        <f>IF(B119="Smartphone", "Electronics", IF(B119="Laptop", "Computing", IF(B119="Tablet", "Mobile", IF(B119="Smartwatch", "Wearables", IF(B119="Headphones", "Audio", "Photography")))))</f>
        <v>Wearables</v>
      </c>
      <c r="D119" s="47">
        <v>44044</v>
      </c>
      <c r="E119" s="48" t="str">
        <f t="shared" si="1"/>
        <v>Winter</v>
      </c>
      <c r="F119" s="15">
        <v>62</v>
      </c>
      <c r="G119" s="15">
        <v>210</v>
      </c>
      <c r="H119" s="46">
        <f>F119+G119</f>
        <v>272</v>
      </c>
      <c r="I119" s="15">
        <v>196</v>
      </c>
      <c r="J119" s="15">
        <v>14</v>
      </c>
      <c r="K119" s="63">
        <f>F119+G119-I119</f>
        <v>76</v>
      </c>
      <c r="L119" s="63">
        <f>J119-K119</f>
        <v>-62</v>
      </c>
      <c r="M119" s="51">
        <f>I119/((F119+J119)/2)</f>
        <v>5.1578947368421053</v>
      </c>
      <c r="N119" s="15">
        <v>19</v>
      </c>
      <c r="O119" s="15">
        <v>0.93141534627355804</v>
      </c>
      <c r="P119" s="52">
        <v>41.263031310170497</v>
      </c>
    </row>
    <row r="120" spans="1:16" x14ac:dyDescent="0.15">
      <c r="A120" s="15">
        <v>5</v>
      </c>
      <c r="B120" s="15" t="s">
        <v>14</v>
      </c>
      <c r="C120" s="46" t="str">
        <f>IF(B120="Smartphone", "Electronics", IF(B120="Laptop", "Computing", IF(B120="Tablet", "Mobile", IF(B120="Smartwatch", "Wearables", IF(B120="Headphones", "Audio", "Photography")))))</f>
        <v>Audio</v>
      </c>
      <c r="D120" s="47">
        <v>44044</v>
      </c>
      <c r="E120" s="48" t="str">
        <f t="shared" si="1"/>
        <v>Winter</v>
      </c>
      <c r="F120" s="15">
        <v>81</v>
      </c>
      <c r="G120" s="15">
        <v>321</v>
      </c>
      <c r="H120" s="46">
        <f>F120+G120</f>
        <v>402</v>
      </c>
      <c r="I120" s="15">
        <v>313</v>
      </c>
      <c r="J120" s="15">
        <v>8</v>
      </c>
      <c r="K120" s="63">
        <f>F120+G120-I120</f>
        <v>89</v>
      </c>
      <c r="L120" s="63">
        <f>J120-K120</f>
        <v>-81</v>
      </c>
      <c r="M120" s="51">
        <f>I120/((F120+J120)/2)</f>
        <v>7.0337078651685392</v>
      </c>
      <c r="N120" s="15">
        <v>5</v>
      </c>
      <c r="O120" s="15">
        <v>0.84169955554623799</v>
      </c>
      <c r="P120" s="52">
        <v>99.048631314318598</v>
      </c>
    </row>
    <row r="121" spans="1:16" x14ac:dyDescent="0.15">
      <c r="A121" s="15">
        <v>6</v>
      </c>
      <c r="B121" s="15" t="s">
        <v>15</v>
      </c>
      <c r="C121" s="46" t="str">
        <f>IF(B121="Smartphone", "Electronics", IF(B121="Laptop", "Computing", IF(B121="Tablet", "Mobile", IF(B121="Smartwatch", "Wearables", IF(B121="Headphones", "Audio", "Photography")))))</f>
        <v>Photography</v>
      </c>
      <c r="D121" s="47">
        <v>44044</v>
      </c>
      <c r="E121" s="48" t="str">
        <f t="shared" si="1"/>
        <v>Winter</v>
      </c>
      <c r="F121" s="15">
        <v>79</v>
      </c>
      <c r="G121" s="15">
        <v>87</v>
      </c>
      <c r="H121" s="46">
        <f>F121+G121</f>
        <v>166</v>
      </c>
      <c r="I121" s="15">
        <v>72</v>
      </c>
      <c r="J121" s="15">
        <v>15</v>
      </c>
      <c r="K121" s="63">
        <f>F121+G121-I121</f>
        <v>94</v>
      </c>
      <c r="L121" s="63">
        <f>J121-K121</f>
        <v>-79</v>
      </c>
      <c r="M121" s="51">
        <f>I121/((F121+J121)/2)</f>
        <v>1.5319148936170213</v>
      </c>
      <c r="N121" s="15">
        <v>26</v>
      </c>
      <c r="O121" s="15">
        <v>0.89642771714506098</v>
      </c>
      <c r="P121" s="52">
        <v>63.189353321870001</v>
      </c>
    </row>
    <row r="122" spans="1:16" x14ac:dyDescent="0.15">
      <c r="A122" s="15">
        <v>1</v>
      </c>
      <c r="B122" s="15" t="s">
        <v>10</v>
      </c>
      <c r="C122" s="46" t="str">
        <f>IF(B122="Smartphone", "Electronics", IF(B122="Laptop", "Computing", IF(B122="Tablet", "Mobile", IF(B122="Smartwatch", "Wearables", IF(B122="Headphones", "Audio", "Photography")))))</f>
        <v>Electronics</v>
      </c>
      <c r="D122" s="47">
        <v>44075</v>
      </c>
      <c r="E122" s="48" t="str">
        <f t="shared" si="1"/>
        <v>Spring</v>
      </c>
      <c r="F122" s="15">
        <v>156</v>
      </c>
      <c r="G122" s="15">
        <v>275</v>
      </c>
      <c r="H122" s="46">
        <f>F122+G122</f>
        <v>431</v>
      </c>
      <c r="I122" s="15">
        <v>404</v>
      </c>
      <c r="J122" s="15">
        <v>89</v>
      </c>
      <c r="K122" s="63">
        <f>F122+G122-I122</f>
        <v>27</v>
      </c>
      <c r="L122" s="63">
        <f>J122-K122</f>
        <v>62</v>
      </c>
      <c r="M122" s="51">
        <f>I122/((F122+J122)/2)</f>
        <v>3.2979591836734694</v>
      </c>
      <c r="N122" s="15">
        <v>4</v>
      </c>
      <c r="O122" s="15">
        <v>0.94906570639993904</v>
      </c>
      <c r="P122" s="52">
        <v>46.117616131499197</v>
      </c>
    </row>
    <row r="123" spans="1:16" x14ac:dyDescent="0.15">
      <c r="A123" s="15">
        <v>2</v>
      </c>
      <c r="B123" s="15" t="s">
        <v>11</v>
      </c>
      <c r="C123" s="46" t="str">
        <f>IF(B123="Smartphone", "Electronics", IF(B123="Laptop", "Computing", IF(B123="Tablet", "Mobile", IF(B123="Smartwatch", "Wearables", IF(B123="Headphones", "Audio", "Photography")))))</f>
        <v>Computing</v>
      </c>
      <c r="D123" s="47">
        <v>44075</v>
      </c>
      <c r="E123" s="48" t="str">
        <f t="shared" si="1"/>
        <v>Spring</v>
      </c>
      <c r="F123" s="15">
        <v>18</v>
      </c>
      <c r="G123" s="15">
        <v>191</v>
      </c>
      <c r="H123" s="46">
        <f>F123+G123</f>
        <v>209</v>
      </c>
      <c r="I123" s="15">
        <v>167</v>
      </c>
      <c r="J123" s="15">
        <v>24</v>
      </c>
      <c r="K123" s="63">
        <f>F123+G123-I123</f>
        <v>42</v>
      </c>
      <c r="L123" s="63">
        <f>J123-K123</f>
        <v>-18</v>
      </c>
      <c r="M123" s="51">
        <f>I123/((F123+J123)/2)</f>
        <v>7.9523809523809526</v>
      </c>
      <c r="N123" s="15">
        <v>15</v>
      </c>
      <c r="O123" s="15">
        <v>0.96178558696494199</v>
      </c>
      <c r="P123" s="52">
        <v>236.57478931033901</v>
      </c>
    </row>
    <row r="124" spans="1:16" x14ac:dyDescent="0.15">
      <c r="A124" s="15">
        <v>3</v>
      </c>
      <c r="B124" s="15" t="s">
        <v>12</v>
      </c>
      <c r="C124" s="46" t="str">
        <f>IF(B124="Smartphone", "Electronics", IF(B124="Laptop", "Computing", IF(B124="Tablet", "Mobile", IF(B124="Smartwatch", "Wearables", IF(B124="Headphones", "Audio", "Photography")))))</f>
        <v>Mobile</v>
      </c>
      <c r="D124" s="47">
        <v>44075</v>
      </c>
      <c r="E124" s="48" t="str">
        <f t="shared" si="1"/>
        <v>Spring</v>
      </c>
      <c r="F124" s="15">
        <v>63</v>
      </c>
      <c r="G124" s="15">
        <v>341</v>
      </c>
      <c r="H124" s="46">
        <f>F124+G124</f>
        <v>404</v>
      </c>
      <c r="I124" s="15">
        <v>337</v>
      </c>
      <c r="J124" s="15">
        <v>18</v>
      </c>
      <c r="K124" s="63">
        <f>F124+G124-I124</f>
        <v>67</v>
      </c>
      <c r="L124" s="63">
        <f>J124-K124</f>
        <v>-49</v>
      </c>
      <c r="M124" s="51">
        <f>I124/((F124+J124)/2)</f>
        <v>8.3209876543209873</v>
      </c>
      <c r="N124" s="15">
        <v>29</v>
      </c>
      <c r="O124" s="15">
        <v>0.92132479094598396</v>
      </c>
      <c r="P124" s="52">
        <v>131.604111548693</v>
      </c>
    </row>
    <row r="125" spans="1:16" x14ac:dyDescent="0.15">
      <c r="A125" s="15">
        <v>4</v>
      </c>
      <c r="B125" s="15" t="s">
        <v>13</v>
      </c>
      <c r="C125" s="46" t="str">
        <f>IF(B125="Smartphone", "Electronics", IF(B125="Laptop", "Computing", IF(B125="Tablet", "Mobile", IF(B125="Smartwatch", "Wearables", IF(B125="Headphones", "Audio", "Photography")))))</f>
        <v>Wearables</v>
      </c>
      <c r="D125" s="47">
        <v>44075</v>
      </c>
      <c r="E125" s="48" t="str">
        <f t="shared" si="1"/>
        <v>Spring</v>
      </c>
      <c r="F125" s="15">
        <v>88</v>
      </c>
      <c r="G125" s="15">
        <v>200</v>
      </c>
      <c r="H125" s="46">
        <f>F125+G125</f>
        <v>288</v>
      </c>
      <c r="I125" s="15">
        <v>199</v>
      </c>
      <c r="J125" s="15">
        <v>1</v>
      </c>
      <c r="K125" s="63">
        <f>F125+G125-I125</f>
        <v>89</v>
      </c>
      <c r="L125" s="63">
        <f>J125-K125</f>
        <v>-88</v>
      </c>
      <c r="M125" s="51">
        <f>I125/((F125+J125)/2)</f>
        <v>4.4719101123595504</v>
      </c>
      <c r="N125" s="15">
        <v>4</v>
      </c>
      <c r="O125" s="15">
        <v>0.88304773483951304</v>
      </c>
      <c r="P125" s="52">
        <v>45.156800021512403</v>
      </c>
    </row>
    <row r="126" spans="1:16" x14ac:dyDescent="0.15">
      <c r="A126" s="15">
        <v>5</v>
      </c>
      <c r="B126" s="15" t="s">
        <v>14</v>
      </c>
      <c r="C126" s="46" t="str">
        <f>IF(B126="Smartphone", "Electronics", IF(B126="Laptop", "Computing", IF(B126="Tablet", "Mobile", IF(B126="Smartwatch", "Wearables", IF(B126="Headphones", "Audio", "Photography")))))</f>
        <v>Audio</v>
      </c>
      <c r="D126" s="47">
        <v>44075</v>
      </c>
      <c r="E126" s="48" t="str">
        <f t="shared" si="1"/>
        <v>Spring</v>
      </c>
      <c r="F126" s="15">
        <v>5</v>
      </c>
      <c r="G126" s="15">
        <v>163</v>
      </c>
      <c r="H126" s="46">
        <f>F126+G126</f>
        <v>168</v>
      </c>
      <c r="I126" s="15">
        <v>73</v>
      </c>
      <c r="J126" s="15">
        <v>90</v>
      </c>
      <c r="K126" s="63">
        <f>F126+G126-I126</f>
        <v>95</v>
      </c>
      <c r="L126" s="63">
        <f>J126-K126</f>
        <v>-5</v>
      </c>
      <c r="M126" s="51">
        <f>I126/((F126+J126)/2)</f>
        <v>1.5368421052631578</v>
      </c>
      <c r="N126" s="15">
        <v>20</v>
      </c>
      <c r="O126" s="15">
        <v>0.82036994578281897</v>
      </c>
      <c r="P126" s="52">
        <v>53.157847709232797</v>
      </c>
    </row>
    <row r="127" spans="1:16" x14ac:dyDescent="0.15">
      <c r="A127" s="15">
        <v>6</v>
      </c>
      <c r="B127" s="15" t="s">
        <v>15</v>
      </c>
      <c r="C127" s="46" t="str">
        <f>IF(B127="Smartphone", "Electronics", IF(B127="Laptop", "Computing", IF(B127="Tablet", "Mobile", IF(B127="Smartwatch", "Wearables", IF(B127="Headphones", "Audio", "Photography")))))</f>
        <v>Photography</v>
      </c>
      <c r="D127" s="47">
        <v>44075</v>
      </c>
      <c r="E127" s="48" t="str">
        <f t="shared" si="1"/>
        <v>Spring</v>
      </c>
      <c r="F127" s="15">
        <v>59</v>
      </c>
      <c r="G127" s="15">
        <v>286</v>
      </c>
      <c r="H127" s="46">
        <f>F127+G127</f>
        <v>345</v>
      </c>
      <c r="I127" s="15">
        <v>200</v>
      </c>
      <c r="J127" s="15">
        <v>86</v>
      </c>
      <c r="K127" s="63">
        <f>F127+G127-I127</f>
        <v>145</v>
      </c>
      <c r="L127" s="63">
        <f>J127-K127</f>
        <v>-59</v>
      </c>
      <c r="M127" s="51">
        <f>I127/((F127+J127)/2)</f>
        <v>2.7586206896551726</v>
      </c>
      <c r="N127" s="15">
        <v>10</v>
      </c>
      <c r="O127" s="15">
        <v>0.862122514438035</v>
      </c>
      <c r="P127" s="52">
        <v>37.435082527065099</v>
      </c>
    </row>
    <row r="128" spans="1:16" x14ac:dyDescent="0.15">
      <c r="A128" s="15">
        <v>1</v>
      </c>
      <c r="B128" s="15" t="s">
        <v>10</v>
      </c>
      <c r="C128" s="46" t="str">
        <f>IF(B128="Smartphone", "Electronics", IF(B128="Laptop", "Computing", IF(B128="Tablet", "Mobile", IF(B128="Smartwatch", "Wearables", IF(B128="Headphones", "Audio", "Photography")))))</f>
        <v>Electronics</v>
      </c>
      <c r="D128" s="47">
        <v>44105</v>
      </c>
      <c r="E128" s="48" t="str">
        <f t="shared" si="1"/>
        <v>Spring</v>
      </c>
      <c r="F128" s="15">
        <v>76</v>
      </c>
      <c r="G128" s="15">
        <v>115</v>
      </c>
      <c r="H128" s="46">
        <f>F128+G128</f>
        <v>191</v>
      </c>
      <c r="I128" s="15">
        <v>57</v>
      </c>
      <c r="J128" s="15">
        <v>58</v>
      </c>
      <c r="K128" s="63">
        <f>F128+G128-I128</f>
        <v>134</v>
      </c>
      <c r="L128" s="63">
        <f>J128-K128</f>
        <v>-76</v>
      </c>
      <c r="M128" s="51">
        <f>I128/((F128+J128)/2)</f>
        <v>0.85074626865671643</v>
      </c>
      <c r="N128" s="15">
        <v>24</v>
      </c>
      <c r="O128" s="15">
        <v>0.87653632976226104</v>
      </c>
      <c r="P128" s="52">
        <v>83.6425321996565</v>
      </c>
    </row>
    <row r="129" spans="1:16" x14ac:dyDescent="0.15">
      <c r="A129" s="15">
        <v>2</v>
      </c>
      <c r="B129" s="15" t="s">
        <v>11</v>
      </c>
      <c r="C129" s="46" t="str">
        <f>IF(B129="Smartphone", "Electronics", IF(B129="Laptop", "Computing", IF(B129="Tablet", "Mobile", IF(B129="Smartwatch", "Wearables", IF(B129="Headphones", "Audio", "Photography")))))</f>
        <v>Computing</v>
      </c>
      <c r="D129" s="47">
        <v>44105</v>
      </c>
      <c r="E129" s="48" t="str">
        <f t="shared" si="1"/>
        <v>Spring</v>
      </c>
      <c r="F129" s="15">
        <v>39</v>
      </c>
      <c r="G129" s="15">
        <v>410</v>
      </c>
      <c r="H129" s="46">
        <f>F129+G129</f>
        <v>449</v>
      </c>
      <c r="I129" s="15">
        <v>100</v>
      </c>
      <c r="J129" s="15">
        <v>310</v>
      </c>
      <c r="K129" s="63">
        <f>F129+G129-I129</f>
        <v>349</v>
      </c>
      <c r="L129" s="63">
        <f>J129-K129</f>
        <v>-39</v>
      </c>
      <c r="M129" s="51">
        <f>I129/((F129+J129)/2)</f>
        <v>0.57306590257879653</v>
      </c>
      <c r="N129" s="15">
        <v>22</v>
      </c>
      <c r="O129" s="15">
        <v>0.86511331083491905</v>
      </c>
      <c r="P129" s="52">
        <v>515.20202377693397</v>
      </c>
    </row>
    <row r="130" spans="1:16" x14ac:dyDescent="0.15">
      <c r="A130" s="15">
        <v>3</v>
      </c>
      <c r="B130" s="15" t="s">
        <v>12</v>
      </c>
      <c r="C130" s="46" t="str">
        <f>IF(B130="Smartphone", "Electronics", IF(B130="Laptop", "Computing", IF(B130="Tablet", "Mobile", IF(B130="Smartwatch", "Wearables", IF(B130="Headphones", "Audio", "Photography")))))</f>
        <v>Mobile</v>
      </c>
      <c r="D130" s="47">
        <v>44105</v>
      </c>
      <c r="E130" s="48" t="str">
        <f t="shared" si="1"/>
        <v>Spring</v>
      </c>
      <c r="F130" s="15">
        <v>179</v>
      </c>
      <c r="G130" s="15">
        <v>390</v>
      </c>
      <c r="H130" s="46">
        <f>F130+G130</f>
        <v>569</v>
      </c>
      <c r="I130" s="15">
        <v>336</v>
      </c>
      <c r="J130" s="15">
        <v>54</v>
      </c>
      <c r="K130" s="63">
        <f>F130+G130-I130</f>
        <v>233</v>
      </c>
      <c r="L130" s="63">
        <f>J130-K130</f>
        <v>-179</v>
      </c>
      <c r="M130" s="51">
        <f>I130/((F130+J130)/2)</f>
        <v>2.8841201716738198</v>
      </c>
      <c r="N130" s="15">
        <v>3</v>
      </c>
      <c r="O130" s="15">
        <v>0.90297764841567996</v>
      </c>
      <c r="P130" s="52">
        <v>13.7048162501011</v>
      </c>
    </row>
    <row r="131" spans="1:16" x14ac:dyDescent="0.15">
      <c r="A131" s="15">
        <v>4</v>
      </c>
      <c r="B131" s="15" t="s">
        <v>13</v>
      </c>
      <c r="C131" s="46" t="str">
        <f>IF(B131="Smartphone", "Electronics", IF(B131="Laptop", "Computing", IF(B131="Tablet", "Mobile", IF(B131="Smartwatch", "Wearables", IF(B131="Headphones", "Audio", "Photography")))))</f>
        <v>Wearables</v>
      </c>
      <c r="D131" s="47">
        <v>44105</v>
      </c>
      <c r="E131" s="48" t="str">
        <f t="shared" ref="E131:E194" si="2">IF(OR(MONTH(D131)=9, MONTH(D131)=10, MONTH(D131)=11), "Spring",
 IF(OR(MONTH(D131)=12, MONTH(D131)=1, MONTH(D131)=2), "Summer",
 IF(OR(MONTH(D131)=3, MONTH(D131)=4, MONTH(D131)=5), "Autumn",
 IF(OR(MONTH(D131)=6, MONTH(D131)=7, MONTH(D131)=8), "Winter", "Unknown"
))))</f>
        <v>Spring</v>
      </c>
      <c r="F131" s="15">
        <v>71</v>
      </c>
      <c r="G131" s="15">
        <v>307</v>
      </c>
      <c r="H131" s="46">
        <f>F131+G131</f>
        <v>378</v>
      </c>
      <c r="I131" s="15">
        <v>298</v>
      </c>
      <c r="J131" s="15">
        <v>9</v>
      </c>
      <c r="K131" s="63">
        <f>F131+G131-I131</f>
        <v>80</v>
      </c>
      <c r="L131" s="63">
        <f>J131-K131</f>
        <v>-71</v>
      </c>
      <c r="M131" s="51">
        <f>I131/((F131+J131)/2)</f>
        <v>7.45</v>
      </c>
      <c r="N131" s="15">
        <v>26</v>
      </c>
      <c r="O131" s="15">
        <v>0.88290561319143501</v>
      </c>
      <c r="P131" s="52">
        <v>121.309993057863</v>
      </c>
    </row>
    <row r="132" spans="1:16" x14ac:dyDescent="0.15">
      <c r="A132" s="15">
        <v>5</v>
      </c>
      <c r="B132" s="15" t="s">
        <v>14</v>
      </c>
      <c r="C132" s="46" t="str">
        <f>IF(B132="Smartphone", "Electronics", IF(B132="Laptop", "Computing", IF(B132="Tablet", "Mobile", IF(B132="Smartwatch", "Wearables", IF(B132="Headphones", "Audio", "Photography")))))</f>
        <v>Audio</v>
      </c>
      <c r="D132" s="47">
        <v>44105</v>
      </c>
      <c r="E132" s="48" t="str">
        <f t="shared" si="2"/>
        <v>Spring</v>
      </c>
      <c r="F132" s="15">
        <v>78</v>
      </c>
      <c r="G132" s="15">
        <v>268</v>
      </c>
      <c r="H132" s="46">
        <f>F132+G132</f>
        <v>346</v>
      </c>
      <c r="I132" s="15">
        <v>295</v>
      </c>
      <c r="J132" s="15">
        <v>3</v>
      </c>
      <c r="K132" s="63">
        <f>F132+G132-I132</f>
        <v>51</v>
      </c>
      <c r="L132" s="63">
        <f>J132-K132</f>
        <v>-48</v>
      </c>
      <c r="M132" s="51">
        <f>I132/((F132+J132)/2)</f>
        <v>7.283950617283951</v>
      </c>
      <c r="N132" s="15">
        <v>5</v>
      </c>
      <c r="O132" s="15">
        <v>0.90860606861677196</v>
      </c>
      <c r="P132" s="52">
        <v>57.736836990382699</v>
      </c>
    </row>
    <row r="133" spans="1:16" x14ac:dyDescent="0.15">
      <c r="A133" s="15">
        <v>6</v>
      </c>
      <c r="B133" s="15" t="s">
        <v>15</v>
      </c>
      <c r="C133" s="46" t="str">
        <f>IF(B133="Smartphone", "Electronics", IF(B133="Laptop", "Computing", IF(B133="Tablet", "Mobile", IF(B133="Smartwatch", "Wearables", IF(B133="Headphones", "Audio", "Photography")))))</f>
        <v>Photography</v>
      </c>
      <c r="D133" s="47">
        <v>44105</v>
      </c>
      <c r="E133" s="48" t="str">
        <f t="shared" si="2"/>
        <v>Spring</v>
      </c>
      <c r="F133" s="15">
        <v>32</v>
      </c>
      <c r="G133" s="15">
        <v>498</v>
      </c>
      <c r="H133" s="46">
        <f>F133+G133</f>
        <v>530</v>
      </c>
      <c r="I133" s="15">
        <v>369</v>
      </c>
      <c r="J133" s="15">
        <v>129</v>
      </c>
      <c r="K133" s="63">
        <f>F133+G133-I133</f>
        <v>161</v>
      </c>
      <c r="L133" s="63">
        <f>J133-K133</f>
        <v>-32</v>
      </c>
      <c r="M133" s="51">
        <f>I133/((F133+J133)/2)</f>
        <v>4.5838509316770191</v>
      </c>
      <c r="N133" s="15">
        <v>6</v>
      </c>
      <c r="O133" s="15">
        <v>0.96013136505238295</v>
      </c>
      <c r="P133" s="52">
        <v>100.219389199962</v>
      </c>
    </row>
    <row r="134" spans="1:16" x14ac:dyDescent="0.15">
      <c r="A134" s="15">
        <v>1</v>
      </c>
      <c r="B134" s="15" t="s">
        <v>10</v>
      </c>
      <c r="C134" s="46" t="str">
        <f>IF(B134="Smartphone", "Electronics", IF(B134="Laptop", "Computing", IF(B134="Tablet", "Mobile", IF(B134="Smartwatch", "Wearables", IF(B134="Headphones", "Audio", "Photography")))))</f>
        <v>Electronics</v>
      </c>
      <c r="D134" s="47">
        <v>44136</v>
      </c>
      <c r="E134" s="48" t="str">
        <f t="shared" si="2"/>
        <v>Spring</v>
      </c>
      <c r="F134" s="15">
        <v>60</v>
      </c>
      <c r="G134" s="15">
        <v>380</v>
      </c>
      <c r="H134" s="46">
        <f>F134+G134</f>
        <v>440</v>
      </c>
      <c r="I134" s="15">
        <v>359</v>
      </c>
      <c r="J134" s="15">
        <v>21</v>
      </c>
      <c r="K134" s="63">
        <f>F134+G134-I134</f>
        <v>81</v>
      </c>
      <c r="L134" s="63">
        <f>J134-K134</f>
        <v>-60</v>
      </c>
      <c r="M134" s="51">
        <f>I134/((F134+J134)/2)</f>
        <v>8.8641975308641978</v>
      </c>
      <c r="N134" s="15">
        <v>21</v>
      </c>
      <c r="O134" s="15">
        <v>0.87967688893853102</v>
      </c>
      <c r="P134" s="52">
        <v>10.1358394126928</v>
      </c>
    </row>
    <row r="135" spans="1:16" x14ac:dyDescent="0.15">
      <c r="A135" s="15">
        <v>2</v>
      </c>
      <c r="B135" s="15" t="s">
        <v>11</v>
      </c>
      <c r="C135" s="46" t="str">
        <f>IF(B135="Smartphone", "Electronics", IF(B135="Laptop", "Computing", IF(B135="Tablet", "Mobile", IF(B135="Smartwatch", "Wearables", IF(B135="Headphones", "Audio", "Photography")))))</f>
        <v>Computing</v>
      </c>
      <c r="D135" s="47">
        <v>44136</v>
      </c>
      <c r="E135" s="48" t="str">
        <f t="shared" si="2"/>
        <v>Spring</v>
      </c>
      <c r="F135" s="15">
        <v>7</v>
      </c>
      <c r="G135" s="15">
        <v>372</v>
      </c>
      <c r="H135" s="46">
        <f>F135+G135</f>
        <v>379</v>
      </c>
      <c r="I135" s="15">
        <v>440</v>
      </c>
      <c r="J135" s="15">
        <v>59</v>
      </c>
      <c r="K135" s="63">
        <f>F135+G135-I135</f>
        <v>-61</v>
      </c>
      <c r="L135" s="63">
        <f>J135-K135</f>
        <v>120</v>
      </c>
      <c r="M135" s="51">
        <f>I135/((F135+J135)/2)</f>
        <v>13.333333333333334</v>
      </c>
      <c r="N135" s="15">
        <v>22</v>
      </c>
      <c r="O135" s="15">
        <v>0.83085665113728802</v>
      </c>
      <c r="P135" s="52">
        <v>18.642116854687298</v>
      </c>
    </row>
    <row r="136" spans="1:16" x14ac:dyDescent="0.15">
      <c r="A136" s="15">
        <v>3</v>
      </c>
      <c r="B136" s="15" t="s">
        <v>12</v>
      </c>
      <c r="C136" s="46" t="str">
        <f>IF(B136="Smartphone", "Electronics", IF(B136="Laptop", "Computing", IF(B136="Tablet", "Mobile", IF(B136="Smartwatch", "Wearables", IF(B136="Headphones", "Audio", "Photography")))))</f>
        <v>Mobile</v>
      </c>
      <c r="D136" s="47">
        <v>44136</v>
      </c>
      <c r="E136" s="48" t="str">
        <f t="shared" si="2"/>
        <v>Spring</v>
      </c>
      <c r="F136" s="15">
        <v>54</v>
      </c>
      <c r="G136" s="15">
        <v>229</v>
      </c>
      <c r="H136" s="46">
        <f>F136+G136</f>
        <v>283</v>
      </c>
      <c r="I136" s="15">
        <v>225</v>
      </c>
      <c r="J136" s="15">
        <v>4</v>
      </c>
      <c r="K136" s="63">
        <f>F136+G136-I136</f>
        <v>58</v>
      </c>
      <c r="L136" s="63">
        <f>J136-K136</f>
        <v>-54</v>
      </c>
      <c r="M136" s="51">
        <f>I136/((F136+J136)/2)</f>
        <v>7.7586206896551726</v>
      </c>
      <c r="N136" s="15">
        <v>8</v>
      </c>
      <c r="O136" s="15">
        <v>0.86491462009375597</v>
      </c>
      <c r="P136" s="52">
        <v>125.735896970879</v>
      </c>
    </row>
    <row r="137" spans="1:16" x14ac:dyDescent="0.15">
      <c r="A137" s="15">
        <v>4</v>
      </c>
      <c r="B137" s="15" t="s">
        <v>13</v>
      </c>
      <c r="C137" s="46" t="str">
        <f>IF(B137="Smartphone", "Electronics", IF(B137="Laptop", "Computing", IF(B137="Tablet", "Mobile", IF(B137="Smartwatch", "Wearables", IF(B137="Headphones", "Audio", "Photography")))))</f>
        <v>Wearables</v>
      </c>
      <c r="D137" s="47">
        <v>44136</v>
      </c>
      <c r="E137" s="48" t="str">
        <f t="shared" si="2"/>
        <v>Spring</v>
      </c>
      <c r="F137" s="15">
        <v>65</v>
      </c>
      <c r="G137" s="15">
        <v>239</v>
      </c>
      <c r="H137" s="46">
        <f>F137+G137</f>
        <v>304</v>
      </c>
      <c r="I137" s="15">
        <v>193</v>
      </c>
      <c r="J137" s="15">
        <v>46</v>
      </c>
      <c r="K137" s="63">
        <f>F137+G137-I137</f>
        <v>111</v>
      </c>
      <c r="L137" s="63">
        <f>J137-K137</f>
        <v>-65</v>
      </c>
      <c r="M137" s="51">
        <f>I137/((F137+J137)/2)</f>
        <v>3.4774774774774775</v>
      </c>
      <c r="N137" s="15">
        <v>7</v>
      </c>
      <c r="O137" s="15">
        <v>0.929179423498663</v>
      </c>
      <c r="P137" s="52">
        <v>167.02903323545701</v>
      </c>
    </row>
    <row r="138" spans="1:16" x14ac:dyDescent="0.15">
      <c r="A138" s="15">
        <v>5</v>
      </c>
      <c r="B138" s="15" t="s">
        <v>14</v>
      </c>
      <c r="C138" s="46" t="str">
        <f>IF(B138="Smartphone", "Electronics", IF(B138="Laptop", "Computing", IF(B138="Tablet", "Mobile", IF(B138="Smartwatch", "Wearables", IF(B138="Headphones", "Audio", "Photography")))))</f>
        <v>Audio</v>
      </c>
      <c r="D138" s="47">
        <v>44136</v>
      </c>
      <c r="E138" s="48" t="str">
        <f t="shared" si="2"/>
        <v>Spring</v>
      </c>
      <c r="F138" s="15">
        <v>65</v>
      </c>
      <c r="G138" s="15">
        <v>456</v>
      </c>
      <c r="H138" s="46">
        <f>F138+G138</f>
        <v>521</v>
      </c>
      <c r="I138" s="15">
        <v>357</v>
      </c>
      <c r="J138" s="15">
        <v>99</v>
      </c>
      <c r="K138" s="63">
        <f>F138+G138-I138</f>
        <v>164</v>
      </c>
      <c r="L138" s="63">
        <f>J138-K138</f>
        <v>-65</v>
      </c>
      <c r="M138" s="51">
        <f>I138/((F138+J138)/2)</f>
        <v>4.3536585365853657</v>
      </c>
      <c r="N138" s="15">
        <v>21</v>
      </c>
      <c r="O138" s="15">
        <v>0.93389718924763299</v>
      </c>
      <c r="P138" s="52">
        <v>54.5520939956142</v>
      </c>
    </row>
    <row r="139" spans="1:16" x14ac:dyDescent="0.15">
      <c r="A139" s="15">
        <v>6</v>
      </c>
      <c r="B139" s="15" t="s">
        <v>15</v>
      </c>
      <c r="C139" s="46" t="str">
        <f>IF(B139="Smartphone", "Electronics", IF(B139="Laptop", "Computing", IF(B139="Tablet", "Mobile", IF(B139="Smartwatch", "Wearables", IF(B139="Headphones", "Audio", "Photography")))))</f>
        <v>Photography</v>
      </c>
      <c r="D139" s="47">
        <v>44136</v>
      </c>
      <c r="E139" s="48" t="str">
        <f t="shared" si="2"/>
        <v>Spring</v>
      </c>
      <c r="F139" s="15">
        <v>2</v>
      </c>
      <c r="G139" s="15">
        <v>203</v>
      </c>
      <c r="H139" s="46">
        <f>F139+G139</f>
        <v>205</v>
      </c>
      <c r="I139" s="15">
        <v>167</v>
      </c>
      <c r="J139" s="15">
        <v>36</v>
      </c>
      <c r="K139" s="63">
        <f>F139+G139-I139</f>
        <v>38</v>
      </c>
      <c r="L139" s="63">
        <f>J139-K139</f>
        <v>-2</v>
      </c>
      <c r="M139" s="51">
        <f>I139/((F139+J139)/2)</f>
        <v>8.7894736842105257</v>
      </c>
      <c r="N139" s="15">
        <v>10</v>
      </c>
      <c r="O139" s="15">
        <v>0.92030425985081099</v>
      </c>
      <c r="P139" s="52">
        <v>32.5805222479609</v>
      </c>
    </row>
    <row r="140" spans="1:16" x14ac:dyDescent="0.15">
      <c r="A140" s="15">
        <v>1</v>
      </c>
      <c r="B140" s="15" t="s">
        <v>10</v>
      </c>
      <c r="C140" s="46" t="str">
        <f>IF(B140="Smartphone", "Electronics", IF(B140="Laptop", "Computing", IF(B140="Tablet", "Mobile", IF(B140="Smartwatch", "Wearables", IF(B140="Headphones", "Audio", "Photography")))))</f>
        <v>Electronics</v>
      </c>
      <c r="D140" s="47">
        <v>44166</v>
      </c>
      <c r="E140" s="48" t="str">
        <f t="shared" si="2"/>
        <v>Summer</v>
      </c>
      <c r="F140" s="15">
        <v>72</v>
      </c>
      <c r="G140" s="15">
        <v>245</v>
      </c>
      <c r="H140" s="46">
        <f>F140+G140</f>
        <v>317</v>
      </c>
      <c r="I140" s="15">
        <v>184</v>
      </c>
      <c r="J140" s="15">
        <v>61</v>
      </c>
      <c r="K140" s="63">
        <f>F140+G140-I140</f>
        <v>133</v>
      </c>
      <c r="L140" s="63">
        <f>J140-K140</f>
        <v>-72</v>
      </c>
      <c r="M140" s="51">
        <f>I140/((F140+J140)/2)</f>
        <v>2.7669172932330826</v>
      </c>
      <c r="N140" s="15">
        <v>6</v>
      </c>
      <c r="O140" s="15">
        <v>0.96503686529440003</v>
      </c>
      <c r="P140" s="52">
        <v>78.022831992084207</v>
      </c>
    </row>
    <row r="141" spans="1:16" x14ac:dyDescent="0.15">
      <c r="A141" s="15">
        <v>2</v>
      </c>
      <c r="B141" s="15" t="s">
        <v>11</v>
      </c>
      <c r="C141" s="46" t="str">
        <f>IF(B141="Smartphone", "Electronics", IF(B141="Laptop", "Computing", IF(B141="Tablet", "Mobile", IF(B141="Smartwatch", "Wearables", IF(B141="Headphones", "Audio", "Photography")))))</f>
        <v>Computing</v>
      </c>
      <c r="D141" s="47">
        <v>44166</v>
      </c>
      <c r="E141" s="48" t="str">
        <f t="shared" si="2"/>
        <v>Summer</v>
      </c>
      <c r="F141" s="15">
        <v>15</v>
      </c>
      <c r="G141" s="15">
        <v>360</v>
      </c>
      <c r="H141" s="46">
        <f>F141+G141</f>
        <v>375</v>
      </c>
      <c r="I141" s="15">
        <v>298</v>
      </c>
      <c r="J141" s="15">
        <v>62</v>
      </c>
      <c r="K141" s="63">
        <f>F141+G141-I141</f>
        <v>77</v>
      </c>
      <c r="L141" s="63">
        <f>J141-K141</f>
        <v>-15</v>
      </c>
      <c r="M141" s="51">
        <f>I141/((F141+J141)/2)</f>
        <v>7.7402597402597406</v>
      </c>
      <c r="N141" s="15">
        <v>14</v>
      </c>
      <c r="O141" s="15">
        <v>0.89068184650615001</v>
      </c>
      <c r="P141" s="52">
        <v>68.242828477636195</v>
      </c>
    </row>
    <row r="142" spans="1:16" x14ac:dyDescent="0.15">
      <c r="A142" s="15">
        <v>3</v>
      </c>
      <c r="B142" s="15" t="s">
        <v>12</v>
      </c>
      <c r="C142" s="46" t="str">
        <f>IF(B142="Smartphone", "Electronics", IF(B142="Laptop", "Computing", IF(B142="Tablet", "Mobile", IF(B142="Smartwatch", "Wearables", IF(B142="Headphones", "Audio", "Photography")))))</f>
        <v>Mobile</v>
      </c>
      <c r="D142" s="47">
        <v>44166</v>
      </c>
      <c r="E142" s="48" t="str">
        <f t="shared" si="2"/>
        <v>Summer</v>
      </c>
      <c r="F142" s="15">
        <v>90</v>
      </c>
      <c r="G142" s="15">
        <v>311</v>
      </c>
      <c r="H142" s="46">
        <f>F142+G142</f>
        <v>401</v>
      </c>
      <c r="I142" s="15">
        <v>258</v>
      </c>
      <c r="J142" s="15">
        <v>53</v>
      </c>
      <c r="K142" s="63">
        <f>F142+G142-I142</f>
        <v>143</v>
      </c>
      <c r="L142" s="63">
        <f>J142-K142</f>
        <v>-90</v>
      </c>
      <c r="M142" s="51">
        <f>I142/((F142+J142)/2)</f>
        <v>3.6083916083916083</v>
      </c>
      <c r="N142" s="15">
        <v>4</v>
      </c>
      <c r="O142" s="15">
        <v>1</v>
      </c>
      <c r="P142" s="52">
        <v>36.848570779596699</v>
      </c>
    </row>
    <row r="143" spans="1:16" x14ac:dyDescent="0.15">
      <c r="A143" s="15">
        <v>4</v>
      </c>
      <c r="B143" s="15" t="s">
        <v>13</v>
      </c>
      <c r="C143" s="46" t="str">
        <f>IF(B143="Smartphone", "Electronics", IF(B143="Laptop", "Computing", IF(B143="Tablet", "Mobile", IF(B143="Smartwatch", "Wearables", IF(B143="Headphones", "Audio", "Photography")))))</f>
        <v>Wearables</v>
      </c>
      <c r="D143" s="47">
        <v>44166</v>
      </c>
      <c r="E143" s="48" t="str">
        <f t="shared" si="2"/>
        <v>Summer</v>
      </c>
      <c r="F143" s="15">
        <v>48</v>
      </c>
      <c r="G143" s="15">
        <v>468</v>
      </c>
      <c r="H143" s="46">
        <f>F143+G143</f>
        <v>516</v>
      </c>
      <c r="I143" s="15">
        <v>453</v>
      </c>
      <c r="J143" s="15">
        <v>15</v>
      </c>
      <c r="K143" s="63">
        <f>F143+G143-I143</f>
        <v>63</v>
      </c>
      <c r="L143" s="63">
        <f>J143-K143</f>
        <v>-48</v>
      </c>
      <c r="M143" s="51">
        <f>I143/((F143+J143)/2)</f>
        <v>14.380952380952381</v>
      </c>
      <c r="N143" s="15">
        <v>28</v>
      </c>
      <c r="O143" s="15">
        <v>0.94090935680529497</v>
      </c>
      <c r="P143" s="52">
        <v>109.474317110116</v>
      </c>
    </row>
    <row r="144" spans="1:16" x14ac:dyDescent="0.15">
      <c r="A144" s="15">
        <v>5</v>
      </c>
      <c r="B144" s="15" t="s">
        <v>14</v>
      </c>
      <c r="C144" s="46" t="str">
        <f>IF(B144="Smartphone", "Electronics", IF(B144="Laptop", "Computing", IF(B144="Tablet", "Mobile", IF(B144="Smartwatch", "Wearables", IF(B144="Headphones", "Audio", "Photography")))))</f>
        <v>Audio</v>
      </c>
      <c r="D144" s="47">
        <v>44166</v>
      </c>
      <c r="E144" s="48" t="str">
        <f t="shared" si="2"/>
        <v>Summer</v>
      </c>
      <c r="F144" s="15">
        <v>35</v>
      </c>
      <c r="G144" s="15">
        <v>455</v>
      </c>
      <c r="H144" s="46">
        <f>F144+G144</f>
        <v>490</v>
      </c>
      <c r="I144" s="15">
        <v>422</v>
      </c>
      <c r="J144" s="15">
        <v>33</v>
      </c>
      <c r="K144" s="63">
        <f>F144+G144-I144</f>
        <v>68</v>
      </c>
      <c r="L144" s="63">
        <f>J144-K144</f>
        <v>-35</v>
      </c>
      <c r="M144" s="51">
        <f>I144/((F144+J144)/2)</f>
        <v>12.411764705882353</v>
      </c>
      <c r="N144" s="15">
        <v>25</v>
      </c>
      <c r="O144" s="15">
        <v>0.8</v>
      </c>
      <c r="P144" s="52">
        <v>55.858679142285503</v>
      </c>
    </row>
    <row r="145" spans="1:16" x14ac:dyDescent="0.15">
      <c r="A145" s="15">
        <v>6</v>
      </c>
      <c r="B145" s="15" t="s">
        <v>15</v>
      </c>
      <c r="C145" s="46" t="str">
        <f>IF(B145="Smartphone", "Electronics", IF(B145="Laptop", "Computing", IF(B145="Tablet", "Mobile", IF(B145="Smartwatch", "Wearables", IF(B145="Headphones", "Audio", "Photography")))))</f>
        <v>Photography</v>
      </c>
      <c r="D145" s="47">
        <v>44166</v>
      </c>
      <c r="E145" s="48" t="str">
        <f t="shared" si="2"/>
        <v>Summer</v>
      </c>
      <c r="F145" s="15">
        <v>42</v>
      </c>
      <c r="G145" s="15">
        <v>476</v>
      </c>
      <c r="H145" s="46">
        <f>F145+G145</f>
        <v>518</v>
      </c>
      <c r="I145" s="15">
        <v>100</v>
      </c>
      <c r="J145" s="15">
        <v>376</v>
      </c>
      <c r="K145" s="63">
        <f>F145+G145-I145</f>
        <v>418</v>
      </c>
      <c r="L145" s="63">
        <f>J145-K145</f>
        <v>-42</v>
      </c>
      <c r="M145" s="51">
        <f>I145/((F145+J145)/2)</f>
        <v>0.4784688995215311</v>
      </c>
      <c r="N145" s="15">
        <v>13</v>
      </c>
      <c r="O145" s="15">
        <v>0.99003293149817795</v>
      </c>
      <c r="P145" s="52">
        <v>198.97545583846099</v>
      </c>
    </row>
    <row r="146" spans="1:16" x14ac:dyDescent="0.15">
      <c r="A146" s="15">
        <v>1</v>
      </c>
      <c r="B146" s="15" t="s">
        <v>10</v>
      </c>
      <c r="C146" s="46" t="str">
        <f>IF(B146="Smartphone", "Electronics", IF(B146="Laptop", "Computing", IF(B146="Tablet", "Mobile", IF(B146="Smartwatch", "Wearables", IF(B146="Headphones", "Audio", "Photography")))))</f>
        <v>Electronics</v>
      </c>
      <c r="D146" s="47">
        <v>44197</v>
      </c>
      <c r="E146" s="48" t="str">
        <f t="shared" si="2"/>
        <v>Summer</v>
      </c>
      <c r="F146" s="15">
        <v>88</v>
      </c>
      <c r="G146" s="15">
        <v>192</v>
      </c>
      <c r="H146" s="46">
        <f>F146+G146</f>
        <v>280</v>
      </c>
      <c r="I146" s="15">
        <v>168</v>
      </c>
      <c r="J146" s="15">
        <v>24</v>
      </c>
      <c r="K146" s="63">
        <f>F146+G146-I146</f>
        <v>112</v>
      </c>
      <c r="L146" s="63">
        <f>J146-K146</f>
        <v>-88</v>
      </c>
      <c r="M146" s="51">
        <f>I146/((F146+J146)/2)</f>
        <v>3</v>
      </c>
      <c r="N146" s="15">
        <v>20</v>
      </c>
      <c r="O146" s="15">
        <v>0.86165066949321301</v>
      </c>
      <c r="P146" s="52">
        <v>67.532850004412893</v>
      </c>
    </row>
    <row r="147" spans="1:16" x14ac:dyDescent="0.15">
      <c r="A147" s="15">
        <v>2</v>
      </c>
      <c r="B147" s="15" t="s">
        <v>11</v>
      </c>
      <c r="C147" s="46" t="str">
        <f>IF(B147="Smartphone", "Electronics", IF(B147="Laptop", "Computing", IF(B147="Tablet", "Mobile", IF(B147="Smartwatch", "Wearables", IF(B147="Headphones", "Audio", "Photography")))))</f>
        <v>Computing</v>
      </c>
      <c r="D147" s="47">
        <v>44197</v>
      </c>
      <c r="E147" s="48" t="str">
        <f t="shared" si="2"/>
        <v>Summer</v>
      </c>
      <c r="F147" s="15">
        <v>118</v>
      </c>
      <c r="G147" s="15">
        <v>391</v>
      </c>
      <c r="H147" s="46">
        <f>F147+G147</f>
        <v>509</v>
      </c>
      <c r="I147" s="15">
        <v>318</v>
      </c>
      <c r="J147" s="15">
        <v>168</v>
      </c>
      <c r="K147" s="63">
        <f>F147+G147-I147</f>
        <v>191</v>
      </c>
      <c r="L147" s="63">
        <f>J147-K147</f>
        <v>-23</v>
      </c>
      <c r="M147" s="51">
        <f>I147/((F147+J147)/2)</f>
        <v>2.2237762237762237</v>
      </c>
      <c r="N147" s="15">
        <v>17</v>
      </c>
      <c r="O147" s="15">
        <v>0.84829494052715304</v>
      </c>
      <c r="P147" s="52">
        <v>121.039390529896</v>
      </c>
    </row>
    <row r="148" spans="1:16" x14ac:dyDescent="0.15">
      <c r="A148" s="15">
        <v>3</v>
      </c>
      <c r="B148" s="15" t="s">
        <v>12</v>
      </c>
      <c r="C148" s="46" t="str">
        <f>IF(B148="Smartphone", "Electronics", IF(B148="Laptop", "Computing", IF(B148="Tablet", "Mobile", IF(B148="Smartwatch", "Wearables", IF(B148="Headphones", "Audio", "Photography")))))</f>
        <v>Mobile</v>
      </c>
      <c r="D148" s="47">
        <v>44197</v>
      </c>
      <c r="E148" s="48" t="str">
        <f t="shared" si="2"/>
        <v>Summer</v>
      </c>
      <c r="F148" s="15">
        <v>71</v>
      </c>
      <c r="G148" s="15">
        <v>365</v>
      </c>
      <c r="H148" s="46">
        <f>F148+G148</f>
        <v>436</v>
      </c>
      <c r="I148" s="15">
        <v>321</v>
      </c>
      <c r="J148" s="15">
        <v>44</v>
      </c>
      <c r="K148" s="63">
        <f>F148+G148-I148</f>
        <v>115</v>
      </c>
      <c r="L148" s="63">
        <f>J148-K148</f>
        <v>-71</v>
      </c>
      <c r="M148" s="51">
        <f>I148/((F148+J148)/2)</f>
        <v>5.5826086956521737</v>
      </c>
      <c r="N148" s="15">
        <v>23</v>
      </c>
      <c r="O148" s="15">
        <v>0.92618855549164403</v>
      </c>
      <c r="P148" s="52">
        <v>34.3407144615962</v>
      </c>
    </row>
    <row r="149" spans="1:16" x14ac:dyDescent="0.15">
      <c r="A149" s="15">
        <v>4</v>
      </c>
      <c r="B149" s="15" t="s">
        <v>13</v>
      </c>
      <c r="C149" s="46" t="str">
        <f>IF(B149="Smartphone", "Electronics", IF(B149="Laptop", "Computing", IF(B149="Tablet", "Mobile", IF(B149="Smartwatch", "Wearables", IF(B149="Headphones", "Audio", "Photography")))))</f>
        <v>Wearables</v>
      </c>
      <c r="D149" s="47">
        <v>44197</v>
      </c>
      <c r="E149" s="48" t="str">
        <f t="shared" si="2"/>
        <v>Summer</v>
      </c>
      <c r="F149" s="15">
        <v>40</v>
      </c>
      <c r="G149" s="15">
        <v>150</v>
      </c>
      <c r="H149" s="46">
        <f>F149+G149</f>
        <v>190</v>
      </c>
      <c r="I149" s="15">
        <v>92</v>
      </c>
      <c r="J149" s="15">
        <v>85</v>
      </c>
      <c r="K149" s="63">
        <f>F149+G149-I149</f>
        <v>98</v>
      </c>
      <c r="L149" s="63">
        <f>J149-K149</f>
        <v>-13</v>
      </c>
      <c r="M149" s="51">
        <f>I149/((F149+J149)/2)</f>
        <v>1.472</v>
      </c>
      <c r="N149" s="15">
        <v>7</v>
      </c>
      <c r="O149" s="15">
        <v>0.81309097638317196</v>
      </c>
      <c r="P149" s="52">
        <v>64.809087332883706</v>
      </c>
    </row>
    <row r="150" spans="1:16" x14ac:dyDescent="0.15">
      <c r="A150" s="15">
        <v>5</v>
      </c>
      <c r="B150" s="15" t="s">
        <v>14</v>
      </c>
      <c r="C150" s="46" t="str">
        <f>IF(B150="Smartphone", "Electronics", IF(B150="Laptop", "Computing", IF(B150="Tablet", "Mobile", IF(B150="Smartwatch", "Wearables", IF(B150="Headphones", "Audio", "Photography")))))</f>
        <v>Audio</v>
      </c>
      <c r="D150" s="47">
        <v>44197</v>
      </c>
      <c r="E150" s="48" t="str">
        <f t="shared" si="2"/>
        <v>Summer</v>
      </c>
      <c r="F150" s="15">
        <v>72</v>
      </c>
      <c r="G150" s="15">
        <v>293</v>
      </c>
      <c r="H150" s="46">
        <f>F150+G150</f>
        <v>365</v>
      </c>
      <c r="I150" s="15">
        <v>281</v>
      </c>
      <c r="J150" s="15">
        <v>12</v>
      </c>
      <c r="K150" s="63">
        <f>F150+G150-I150</f>
        <v>84</v>
      </c>
      <c r="L150" s="63">
        <f>J150-K150</f>
        <v>-72</v>
      </c>
      <c r="M150" s="51">
        <f>I150/((F150+J150)/2)</f>
        <v>6.6904761904761907</v>
      </c>
      <c r="N150" s="15">
        <v>4</v>
      </c>
      <c r="O150" s="15">
        <v>0.86522653843391895</v>
      </c>
      <c r="P150" s="52">
        <v>66.801345449583593</v>
      </c>
    </row>
    <row r="151" spans="1:16" x14ac:dyDescent="0.15">
      <c r="A151" s="15">
        <v>6</v>
      </c>
      <c r="B151" s="15" t="s">
        <v>15</v>
      </c>
      <c r="C151" s="46" t="str">
        <f>IF(B151="Smartphone", "Electronics", IF(B151="Laptop", "Computing", IF(B151="Tablet", "Mobile", IF(B151="Smartwatch", "Wearables", IF(B151="Headphones", "Audio", "Photography")))))</f>
        <v>Photography</v>
      </c>
      <c r="D151" s="47">
        <v>44197</v>
      </c>
      <c r="E151" s="48" t="str">
        <f t="shared" si="2"/>
        <v>Summer</v>
      </c>
      <c r="F151" s="15">
        <v>96</v>
      </c>
      <c r="G151" s="15">
        <v>61</v>
      </c>
      <c r="H151" s="46">
        <f>F151+G151</f>
        <v>157</v>
      </c>
      <c r="I151" s="15">
        <v>9</v>
      </c>
      <c r="J151" s="15">
        <v>52</v>
      </c>
      <c r="K151" s="63">
        <f>F151+G151-I151</f>
        <v>148</v>
      </c>
      <c r="L151" s="63">
        <f>J151-K151</f>
        <v>-96</v>
      </c>
      <c r="M151" s="51">
        <f>I151/((F151+J151)/2)</f>
        <v>0.12162162162162163</v>
      </c>
      <c r="N151" s="15">
        <v>29</v>
      </c>
      <c r="O151" s="15">
        <v>0.97785492703121002</v>
      </c>
      <c r="P151" s="52">
        <v>44.424320410784397</v>
      </c>
    </row>
    <row r="152" spans="1:16" x14ac:dyDescent="0.15">
      <c r="A152" s="15">
        <v>1</v>
      </c>
      <c r="B152" s="15" t="s">
        <v>10</v>
      </c>
      <c r="C152" s="46" t="str">
        <f>IF(B152="Smartphone", "Electronics", IF(B152="Laptop", "Computing", IF(B152="Tablet", "Mobile", IF(B152="Smartwatch", "Wearables", IF(B152="Headphones", "Audio", "Photography")))))</f>
        <v>Electronics</v>
      </c>
      <c r="D152" s="47">
        <v>44228</v>
      </c>
      <c r="E152" s="48" t="str">
        <f t="shared" si="2"/>
        <v>Summer</v>
      </c>
      <c r="F152" s="15">
        <v>87</v>
      </c>
      <c r="G152" s="15">
        <v>288</v>
      </c>
      <c r="H152" s="46">
        <f>F152+G152</f>
        <v>375</v>
      </c>
      <c r="I152" s="15">
        <v>213</v>
      </c>
      <c r="J152" s="15">
        <v>75</v>
      </c>
      <c r="K152" s="63">
        <f>F152+G152-I152</f>
        <v>162</v>
      </c>
      <c r="L152" s="63">
        <f>J152-K152</f>
        <v>-87</v>
      </c>
      <c r="M152" s="51">
        <f>I152/((F152+J152)/2)</f>
        <v>2.6296296296296298</v>
      </c>
      <c r="N152" s="15">
        <v>14</v>
      </c>
      <c r="O152" s="15">
        <v>0.92781087894987502</v>
      </c>
      <c r="P152" s="52">
        <v>75.4583143191349</v>
      </c>
    </row>
    <row r="153" spans="1:16" x14ac:dyDescent="0.15">
      <c r="A153" s="15">
        <v>2</v>
      </c>
      <c r="B153" s="15" t="s">
        <v>11</v>
      </c>
      <c r="C153" s="46" t="str">
        <f>IF(B153="Smartphone", "Electronics", IF(B153="Laptop", "Computing", IF(B153="Tablet", "Mobile", IF(B153="Smartwatch", "Wearables", IF(B153="Headphones", "Audio", "Photography")))))</f>
        <v>Computing</v>
      </c>
      <c r="D153" s="47">
        <v>44228</v>
      </c>
      <c r="E153" s="48" t="str">
        <f t="shared" si="2"/>
        <v>Summer</v>
      </c>
      <c r="F153" s="15">
        <v>80</v>
      </c>
      <c r="G153" s="15">
        <v>98</v>
      </c>
      <c r="H153" s="46">
        <f>F153+G153</f>
        <v>178</v>
      </c>
      <c r="I153" s="15">
        <v>63</v>
      </c>
      <c r="J153" s="15">
        <v>47</v>
      </c>
      <c r="K153" s="63">
        <f>F153+G153-I153</f>
        <v>115</v>
      </c>
      <c r="L153" s="63">
        <f>J153-K153</f>
        <v>-68</v>
      </c>
      <c r="M153" s="51">
        <f>I153/((F153+J153)/2)</f>
        <v>0.99212598425196852</v>
      </c>
      <c r="N153" s="15">
        <v>3</v>
      </c>
      <c r="O153" s="15">
        <v>0.94061198904696097</v>
      </c>
      <c r="P153" s="52">
        <v>141.38193603373</v>
      </c>
    </row>
    <row r="154" spans="1:16" x14ac:dyDescent="0.15">
      <c r="A154" s="15">
        <v>3</v>
      </c>
      <c r="B154" s="15" t="s">
        <v>12</v>
      </c>
      <c r="C154" s="46" t="str">
        <f>IF(B154="Smartphone", "Electronics", IF(B154="Laptop", "Computing", IF(B154="Tablet", "Mobile", IF(B154="Smartwatch", "Wearables", IF(B154="Headphones", "Audio", "Photography")))))</f>
        <v>Mobile</v>
      </c>
      <c r="D154" s="47">
        <v>44228</v>
      </c>
      <c r="E154" s="48" t="str">
        <f t="shared" si="2"/>
        <v>Summer</v>
      </c>
      <c r="F154" s="15">
        <v>84</v>
      </c>
      <c r="G154" s="15">
        <v>91</v>
      </c>
      <c r="H154" s="46">
        <f>F154+G154</f>
        <v>175</v>
      </c>
      <c r="I154" s="15">
        <v>28</v>
      </c>
      <c r="J154" s="15">
        <v>92</v>
      </c>
      <c r="K154" s="63">
        <f>F154+G154-I154</f>
        <v>147</v>
      </c>
      <c r="L154" s="63">
        <f>J154-K154</f>
        <v>-55</v>
      </c>
      <c r="M154" s="51">
        <f>I154/((F154+J154)/2)</f>
        <v>0.31818181818181818</v>
      </c>
      <c r="N154" s="15">
        <v>24</v>
      </c>
      <c r="O154" s="15">
        <v>0.86715446997512602</v>
      </c>
      <c r="P154" s="52">
        <v>89.501818690247106</v>
      </c>
    </row>
    <row r="155" spans="1:16" x14ac:dyDescent="0.15">
      <c r="A155" s="15">
        <v>4</v>
      </c>
      <c r="B155" s="15" t="s">
        <v>13</v>
      </c>
      <c r="C155" s="46" t="str">
        <f>IF(B155="Smartphone", "Electronics", IF(B155="Laptop", "Computing", IF(B155="Tablet", "Mobile", IF(B155="Smartwatch", "Wearables", IF(B155="Headphones", "Audio", "Photography")))))</f>
        <v>Wearables</v>
      </c>
      <c r="D155" s="47">
        <v>44228</v>
      </c>
      <c r="E155" s="48" t="str">
        <f t="shared" si="2"/>
        <v>Summer</v>
      </c>
      <c r="F155" s="15">
        <v>75</v>
      </c>
      <c r="G155" s="15">
        <v>215</v>
      </c>
      <c r="H155" s="46">
        <f>F155+G155</f>
        <v>290</v>
      </c>
      <c r="I155" s="15">
        <v>261</v>
      </c>
      <c r="J155" s="15">
        <v>87</v>
      </c>
      <c r="K155" s="63">
        <f>F155+G155-I155</f>
        <v>29</v>
      </c>
      <c r="L155" s="63">
        <f>J155-K155</f>
        <v>58</v>
      </c>
      <c r="M155" s="51">
        <f>I155/((F155+J155)/2)</f>
        <v>3.2222222222222223</v>
      </c>
      <c r="N155" s="15">
        <v>5</v>
      </c>
      <c r="O155" s="15">
        <v>0.82308150005159397</v>
      </c>
      <c r="P155" s="52">
        <v>47.894323331075803</v>
      </c>
    </row>
    <row r="156" spans="1:16" x14ac:dyDescent="0.15">
      <c r="A156" s="15">
        <v>5</v>
      </c>
      <c r="B156" s="15" t="s">
        <v>14</v>
      </c>
      <c r="C156" s="46" t="str">
        <f>IF(B156="Smartphone", "Electronics", IF(B156="Laptop", "Computing", IF(B156="Tablet", "Mobile", IF(B156="Smartwatch", "Wearables", IF(B156="Headphones", "Audio", "Photography")))))</f>
        <v>Audio</v>
      </c>
      <c r="D156" s="47">
        <v>44228</v>
      </c>
      <c r="E156" s="48" t="str">
        <f t="shared" si="2"/>
        <v>Summer</v>
      </c>
      <c r="F156" s="15">
        <v>28</v>
      </c>
      <c r="G156" s="15">
        <v>131</v>
      </c>
      <c r="H156" s="46">
        <f>F156+G156</f>
        <v>159</v>
      </c>
      <c r="I156" s="15">
        <v>124</v>
      </c>
      <c r="J156" s="15">
        <v>7</v>
      </c>
      <c r="K156" s="63">
        <f>F156+G156-I156</f>
        <v>35</v>
      </c>
      <c r="L156" s="63">
        <f>J156-K156</f>
        <v>-28</v>
      </c>
      <c r="M156" s="51">
        <f>I156/((F156+J156)/2)</f>
        <v>7.0857142857142854</v>
      </c>
      <c r="N156" s="15">
        <v>16</v>
      </c>
      <c r="O156" s="15">
        <v>0.93534087146568601</v>
      </c>
      <c r="P156" s="52">
        <v>29.698729868128002</v>
      </c>
    </row>
    <row r="157" spans="1:16" x14ac:dyDescent="0.15">
      <c r="A157" s="15">
        <v>6</v>
      </c>
      <c r="B157" s="15" t="s">
        <v>15</v>
      </c>
      <c r="C157" s="46" t="str">
        <f>IF(B157="Smartphone", "Electronics", IF(B157="Laptop", "Computing", IF(B157="Tablet", "Mobile", IF(B157="Smartwatch", "Wearables", IF(B157="Headphones", "Audio", "Photography")))))</f>
        <v>Photography</v>
      </c>
      <c r="D157" s="47">
        <v>44228</v>
      </c>
      <c r="E157" s="48" t="str">
        <f t="shared" si="2"/>
        <v>Summer</v>
      </c>
      <c r="F157" s="15">
        <v>51</v>
      </c>
      <c r="G157" s="15">
        <v>478</v>
      </c>
      <c r="H157" s="46">
        <f>F157+G157</f>
        <v>529</v>
      </c>
      <c r="I157" s="15">
        <v>443</v>
      </c>
      <c r="J157" s="15">
        <v>35</v>
      </c>
      <c r="K157" s="63">
        <f>F157+G157-I157</f>
        <v>86</v>
      </c>
      <c r="L157" s="63">
        <f>J157-K157</f>
        <v>-51</v>
      </c>
      <c r="M157" s="51">
        <f>I157/((F157+J157)/2)</f>
        <v>10.302325581395349</v>
      </c>
      <c r="N157" s="15">
        <v>26</v>
      </c>
      <c r="O157" s="15">
        <v>0.94651280781209701</v>
      </c>
      <c r="P157" s="52">
        <v>59.190266063401303</v>
      </c>
    </row>
    <row r="158" spans="1:16" x14ac:dyDescent="0.15">
      <c r="A158" s="15">
        <v>1</v>
      </c>
      <c r="B158" s="15" t="s">
        <v>10</v>
      </c>
      <c r="C158" s="46" t="str">
        <f>IF(B158="Smartphone", "Electronics", IF(B158="Laptop", "Computing", IF(B158="Tablet", "Mobile", IF(B158="Smartwatch", "Wearables", IF(B158="Headphones", "Audio", "Photography")))))</f>
        <v>Electronics</v>
      </c>
      <c r="D158" s="47">
        <v>44256</v>
      </c>
      <c r="E158" s="48" t="str">
        <f t="shared" si="2"/>
        <v>Autumn</v>
      </c>
      <c r="F158" s="15">
        <v>44</v>
      </c>
      <c r="G158" s="15">
        <v>340</v>
      </c>
      <c r="H158" s="46">
        <f>F158+G158</f>
        <v>384</v>
      </c>
      <c r="I158" s="15">
        <v>302</v>
      </c>
      <c r="J158" s="15">
        <v>38</v>
      </c>
      <c r="K158" s="63">
        <f>F158+G158-I158</f>
        <v>82</v>
      </c>
      <c r="L158" s="63">
        <f>J158-K158</f>
        <v>-44</v>
      </c>
      <c r="M158" s="51">
        <f>I158/((F158+J158)/2)</f>
        <v>7.3658536585365857</v>
      </c>
      <c r="N158" s="15">
        <v>23</v>
      </c>
      <c r="O158" s="15">
        <v>0.94424966930405496</v>
      </c>
      <c r="P158" s="52">
        <v>95.132957793332494</v>
      </c>
    </row>
    <row r="159" spans="1:16" x14ac:dyDescent="0.15">
      <c r="A159" s="15">
        <v>2</v>
      </c>
      <c r="B159" s="15" t="s">
        <v>11</v>
      </c>
      <c r="C159" s="46" t="str">
        <f>IF(B159="Smartphone", "Electronics", IF(B159="Laptop", "Computing", IF(B159="Tablet", "Mobile", IF(B159="Smartwatch", "Wearables", IF(B159="Headphones", "Audio", "Photography")))))</f>
        <v>Computing</v>
      </c>
      <c r="D159" s="47">
        <v>44256</v>
      </c>
      <c r="E159" s="48" t="str">
        <f t="shared" si="2"/>
        <v>Autumn</v>
      </c>
      <c r="F159" s="15">
        <v>3</v>
      </c>
      <c r="G159" s="15">
        <v>207</v>
      </c>
      <c r="H159" s="46">
        <f>F159+G159</f>
        <v>210</v>
      </c>
      <c r="I159" s="15">
        <v>156</v>
      </c>
      <c r="J159" s="15">
        <v>51</v>
      </c>
      <c r="K159" s="63">
        <f>F159+G159-I159</f>
        <v>54</v>
      </c>
      <c r="L159" s="63">
        <f>J159-K159</f>
        <v>-3</v>
      </c>
      <c r="M159" s="51">
        <f>I159/((F159+J159)/2)</f>
        <v>5.7777777777777777</v>
      </c>
      <c r="N159" s="15">
        <v>20</v>
      </c>
      <c r="O159" s="15">
        <v>0.91045346150589301</v>
      </c>
      <c r="P159" s="52">
        <v>46.3109528624218</v>
      </c>
    </row>
    <row r="160" spans="1:16" x14ac:dyDescent="0.15">
      <c r="A160" s="15">
        <v>3</v>
      </c>
      <c r="B160" s="15" t="s">
        <v>12</v>
      </c>
      <c r="C160" s="46" t="str">
        <f>IF(B160="Smartphone", "Electronics", IF(B160="Laptop", "Computing", IF(B160="Tablet", "Mobile", IF(B160="Smartwatch", "Wearables", IF(B160="Headphones", "Audio", "Photography")))))</f>
        <v>Mobile</v>
      </c>
      <c r="D160" s="47">
        <v>44256</v>
      </c>
      <c r="E160" s="48" t="str">
        <f t="shared" si="2"/>
        <v>Autumn</v>
      </c>
      <c r="F160" s="15">
        <v>152</v>
      </c>
      <c r="G160" s="15">
        <v>265</v>
      </c>
      <c r="H160" s="46">
        <f>F160+G160</f>
        <v>417</v>
      </c>
      <c r="I160" s="15">
        <v>464</v>
      </c>
      <c r="J160" s="15">
        <v>50</v>
      </c>
      <c r="K160" s="63">
        <f>F160+G160-I160</f>
        <v>-47</v>
      </c>
      <c r="L160" s="63">
        <f>J160-K160</f>
        <v>97</v>
      </c>
      <c r="M160" s="51">
        <f>I160/((F160+J160)/2)</f>
        <v>4.5940594059405937</v>
      </c>
      <c r="N160" s="15">
        <v>4</v>
      </c>
      <c r="O160" s="15">
        <v>0.85164658782639602</v>
      </c>
      <c r="P160" s="52">
        <v>77.333980467971898</v>
      </c>
    </row>
    <row r="161" spans="1:16" x14ac:dyDescent="0.15">
      <c r="A161" s="15">
        <v>4</v>
      </c>
      <c r="B161" s="15" t="s">
        <v>13</v>
      </c>
      <c r="C161" s="46" t="str">
        <f>IF(B161="Smartphone", "Electronics", IF(B161="Laptop", "Computing", IF(B161="Tablet", "Mobile", IF(B161="Smartwatch", "Wearables", IF(B161="Headphones", "Audio", "Photography")))))</f>
        <v>Wearables</v>
      </c>
      <c r="D161" s="47">
        <v>44256</v>
      </c>
      <c r="E161" s="48" t="str">
        <f t="shared" si="2"/>
        <v>Autumn</v>
      </c>
      <c r="F161" s="15">
        <v>41</v>
      </c>
      <c r="G161" s="15">
        <v>207</v>
      </c>
      <c r="H161" s="46">
        <f>F161+G161</f>
        <v>248</v>
      </c>
      <c r="I161" s="15">
        <v>178</v>
      </c>
      <c r="J161" s="15">
        <v>29</v>
      </c>
      <c r="K161" s="63">
        <f>F161+G161-I161</f>
        <v>70</v>
      </c>
      <c r="L161" s="63">
        <f>J161-K161</f>
        <v>-41</v>
      </c>
      <c r="M161" s="51">
        <f>I161/((F161+J161)/2)</f>
        <v>5.0857142857142854</v>
      </c>
      <c r="N161" s="15">
        <v>24</v>
      </c>
      <c r="O161" s="15">
        <v>1</v>
      </c>
      <c r="P161" s="52">
        <v>50.6281303575972</v>
      </c>
    </row>
    <row r="162" spans="1:16" x14ac:dyDescent="0.15">
      <c r="A162" s="15">
        <v>5</v>
      </c>
      <c r="B162" s="15" t="s">
        <v>14</v>
      </c>
      <c r="C162" s="46" t="str">
        <f>IF(B162="Smartphone", "Electronics", IF(B162="Laptop", "Computing", IF(B162="Tablet", "Mobile", IF(B162="Smartwatch", "Wearables", IF(B162="Headphones", "Audio", "Photography")))))</f>
        <v>Audio</v>
      </c>
      <c r="D162" s="47">
        <v>44256</v>
      </c>
      <c r="E162" s="48" t="str">
        <f t="shared" si="2"/>
        <v>Autumn</v>
      </c>
      <c r="F162" s="15">
        <v>99</v>
      </c>
      <c r="G162" s="15">
        <v>183</v>
      </c>
      <c r="H162" s="46">
        <f>F162+G162</f>
        <v>282</v>
      </c>
      <c r="I162" s="15">
        <v>139</v>
      </c>
      <c r="J162" s="15">
        <v>44</v>
      </c>
      <c r="K162" s="63">
        <f>F162+G162-I162</f>
        <v>143</v>
      </c>
      <c r="L162" s="63">
        <f>J162-K162</f>
        <v>-99</v>
      </c>
      <c r="M162" s="51">
        <f>I162/((F162+J162)/2)</f>
        <v>1.944055944055944</v>
      </c>
      <c r="N162" s="15">
        <v>24</v>
      </c>
      <c r="O162" s="15">
        <v>0.92398937214920795</v>
      </c>
      <c r="P162" s="52">
        <v>25.367471795186798</v>
      </c>
    </row>
    <row r="163" spans="1:16" x14ac:dyDescent="0.15">
      <c r="A163" s="15">
        <v>6</v>
      </c>
      <c r="B163" s="15" t="s">
        <v>15</v>
      </c>
      <c r="C163" s="46" t="str">
        <f>IF(B163="Smartphone", "Electronics", IF(B163="Laptop", "Computing", IF(B163="Tablet", "Mobile", IF(B163="Smartwatch", "Wearables", IF(B163="Headphones", "Audio", "Photography")))))</f>
        <v>Photography</v>
      </c>
      <c r="D163" s="47">
        <v>44256</v>
      </c>
      <c r="E163" s="48" t="str">
        <f t="shared" si="2"/>
        <v>Autumn</v>
      </c>
      <c r="F163" s="15">
        <v>15</v>
      </c>
      <c r="G163" s="15">
        <v>116</v>
      </c>
      <c r="H163" s="46">
        <f>F163+G163</f>
        <v>131</v>
      </c>
      <c r="I163" s="15">
        <v>73</v>
      </c>
      <c r="J163" s="15">
        <v>43</v>
      </c>
      <c r="K163" s="63">
        <f>F163+G163-I163</f>
        <v>58</v>
      </c>
      <c r="L163" s="63">
        <f>J163-K163</f>
        <v>-15</v>
      </c>
      <c r="M163" s="51">
        <f>I163/((F163+J163)/2)</f>
        <v>2.5172413793103448</v>
      </c>
      <c r="N163" s="15">
        <v>2</v>
      </c>
      <c r="O163" s="15">
        <v>0.891305667920541</v>
      </c>
      <c r="P163" s="52">
        <v>24.171766521637501</v>
      </c>
    </row>
    <row r="164" spans="1:16" x14ac:dyDescent="0.15">
      <c r="A164" s="15">
        <v>1</v>
      </c>
      <c r="B164" s="15" t="s">
        <v>10</v>
      </c>
      <c r="C164" s="46" t="str">
        <f>IF(B164="Smartphone", "Electronics", IF(B164="Laptop", "Computing", IF(B164="Tablet", "Mobile", IF(B164="Smartwatch", "Wearables", IF(B164="Headphones", "Audio", "Photography")))))</f>
        <v>Electronics</v>
      </c>
      <c r="D164" s="47">
        <v>44287</v>
      </c>
      <c r="E164" s="48" t="str">
        <f t="shared" si="2"/>
        <v>Autumn</v>
      </c>
      <c r="F164" s="15">
        <v>185</v>
      </c>
      <c r="G164" s="15">
        <v>385</v>
      </c>
      <c r="H164" s="46">
        <f>F164+G164</f>
        <v>570</v>
      </c>
      <c r="I164" s="15">
        <v>473</v>
      </c>
      <c r="J164" s="15">
        <v>239</v>
      </c>
      <c r="K164" s="63">
        <f>F164+G164-I164</f>
        <v>97</v>
      </c>
      <c r="L164" s="63">
        <f>J164-K164</f>
        <v>142</v>
      </c>
      <c r="M164" s="51">
        <f>I164/((F164+J164)/2)</f>
        <v>2.2311320754716979</v>
      </c>
      <c r="N164" s="15">
        <v>18</v>
      </c>
      <c r="O164" s="15">
        <v>0.89152753812583097</v>
      </c>
      <c r="P164" s="52">
        <v>16.3765348559605</v>
      </c>
    </row>
    <row r="165" spans="1:16" x14ac:dyDescent="0.15">
      <c r="A165" s="15">
        <v>2</v>
      </c>
      <c r="B165" s="15" t="s">
        <v>11</v>
      </c>
      <c r="C165" s="46" t="str">
        <f>IF(B165="Smartphone", "Electronics", IF(B165="Laptop", "Computing", IF(B165="Tablet", "Mobile", IF(B165="Smartwatch", "Wearables", IF(B165="Headphones", "Audio", "Photography")))))</f>
        <v>Computing</v>
      </c>
      <c r="D165" s="47">
        <v>44287</v>
      </c>
      <c r="E165" s="48" t="str">
        <f t="shared" si="2"/>
        <v>Autumn</v>
      </c>
      <c r="F165" s="15">
        <v>59</v>
      </c>
      <c r="G165" s="15">
        <v>56</v>
      </c>
      <c r="H165" s="46">
        <f>F165+G165</f>
        <v>115</v>
      </c>
      <c r="I165" s="15">
        <v>14</v>
      </c>
      <c r="J165" s="15">
        <v>42</v>
      </c>
      <c r="K165" s="63">
        <f>F165+G165-I165</f>
        <v>101</v>
      </c>
      <c r="L165" s="63">
        <f>J165-K165</f>
        <v>-59</v>
      </c>
      <c r="M165" s="51">
        <f>I165/((F165+J165)/2)</f>
        <v>0.27722772277227725</v>
      </c>
      <c r="N165" s="15">
        <v>19</v>
      </c>
      <c r="O165" s="15">
        <v>0.90747987390367701</v>
      </c>
      <c r="P165" s="52">
        <v>41.509458509858497</v>
      </c>
    </row>
    <row r="166" spans="1:16" x14ac:dyDescent="0.15">
      <c r="A166" s="15">
        <v>3</v>
      </c>
      <c r="B166" s="15" t="s">
        <v>12</v>
      </c>
      <c r="C166" s="46" t="str">
        <f>IF(B166="Smartphone", "Electronics", IF(B166="Laptop", "Computing", IF(B166="Tablet", "Mobile", IF(B166="Smartwatch", "Wearables", IF(B166="Headphones", "Audio", "Photography")))))</f>
        <v>Mobile</v>
      </c>
      <c r="D166" s="47">
        <v>44287</v>
      </c>
      <c r="E166" s="48" t="str">
        <f t="shared" si="2"/>
        <v>Autumn</v>
      </c>
      <c r="F166" s="15">
        <v>60</v>
      </c>
      <c r="G166" s="15">
        <v>485</v>
      </c>
      <c r="H166" s="46">
        <f>F166+G166</f>
        <v>545</v>
      </c>
      <c r="I166" s="15">
        <v>471</v>
      </c>
      <c r="J166" s="15">
        <v>14</v>
      </c>
      <c r="K166" s="63">
        <f>F166+G166-I166</f>
        <v>74</v>
      </c>
      <c r="L166" s="63">
        <f>J166-K166</f>
        <v>-60</v>
      </c>
      <c r="M166" s="51">
        <f>I166/((F166+J166)/2)</f>
        <v>12.72972972972973</v>
      </c>
      <c r="N166" s="15">
        <v>28</v>
      </c>
      <c r="O166" s="15">
        <v>0.95348041310789899</v>
      </c>
      <c r="P166" s="52">
        <v>48.196564936772702</v>
      </c>
    </row>
    <row r="167" spans="1:16" x14ac:dyDescent="0.15">
      <c r="A167" s="15">
        <v>4</v>
      </c>
      <c r="B167" s="15" t="s">
        <v>13</v>
      </c>
      <c r="C167" s="46" t="str">
        <f>IF(B167="Smartphone", "Electronics", IF(B167="Laptop", "Computing", IF(B167="Tablet", "Mobile", IF(B167="Smartwatch", "Wearables", IF(B167="Headphones", "Audio", "Photography")))))</f>
        <v>Wearables</v>
      </c>
      <c r="D167" s="47">
        <v>44287</v>
      </c>
      <c r="E167" s="48" t="str">
        <f t="shared" si="2"/>
        <v>Autumn</v>
      </c>
      <c r="F167" s="15">
        <v>34</v>
      </c>
      <c r="G167" s="15">
        <v>63</v>
      </c>
      <c r="H167" s="46">
        <f>F167+G167</f>
        <v>97</v>
      </c>
      <c r="I167" s="15">
        <v>0</v>
      </c>
      <c r="J167" s="15">
        <v>63</v>
      </c>
      <c r="K167" s="63">
        <f>F167+G167-I167</f>
        <v>97</v>
      </c>
      <c r="L167" s="63">
        <f>J167-K167</f>
        <v>-34</v>
      </c>
      <c r="M167" s="51">
        <f>I167/((F167+J167)/2)</f>
        <v>0</v>
      </c>
      <c r="N167" s="15">
        <v>28</v>
      </c>
      <c r="O167" s="15">
        <v>0.90948140616527196</v>
      </c>
      <c r="P167" s="52">
        <v>69.494627002111102</v>
      </c>
    </row>
    <row r="168" spans="1:16" x14ac:dyDescent="0.15">
      <c r="A168" s="15">
        <v>5</v>
      </c>
      <c r="B168" s="15" t="s">
        <v>14</v>
      </c>
      <c r="C168" s="46" t="str">
        <f>IF(B168="Smartphone", "Electronics", IF(B168="Laptop", "Computing", IF(B168="Tablet", "Mobile", IF(B168="Smartwatch", "Wearables", IF(B168="Headphones", "Audio", "Photography")))))</f>
        <v>Audio</v>
      </c>
      <c r="D168" s="47">
        <v>44287</v>
      </c>
      <c r="E168" s="48" t="str">
        <f t="shared" si="2"/>
        <v>Autumn</v>
      </c>
      <c r="F168" s="15">
        <v>63</v>
      </c>
      <c r="G168" s="15">
        <v>122</v>
      </c>
      <c r="H168" s="46">
        <f>F168+G168</f>
        <v>185</v>
      </c>
      <c r="I168" s="15">
        <v>111</v>
      </c>
      <c r="J168" s="15">
        <v>11</v>
      </c>
      <c r="K168" s="63">
        <f>F168+G168-I168</f>
        <v>74</v>
      </c>
      <c r="L168" s="63">
        <f>J168-K168</f>
        <v>-63</v>
      </c>
      <c r="M168" s="51">
        <f>I168/((F168+J168)/2)</f>
        <v>3</v>
      </c>
      <c r="N168" s="15">
        <v>19</v>
      </c>
      <c r="O168" s="15">
        <v>0.94292565767237402</v>
      </c>
      <c r="P168" s="52">
        <v>39.328348386585198</v>
      </c>
    </row>
    <row r="169" spans="1:16" x14ac:dyDescent="0.15">
      <c r="A169" s="15">
        <v>6</v>
      </c>
      <c r="B169" s="15" t="s">
        <v>15</v>
      </c>
      <c r="C169" s="46" t="str">
        <f>IF(B169="Smartphone", "Electronics", IF(B169="Laptop", "Computing", IF(B169="Tablet", "Mobile", IF(B169="Smartwatch", "Wearables", IF(B169="Headphones", "Audio", "Photography")))))</f>
        <v>Photography</v>
      </c>
      <c r="D169" s="47">
        <v>44287</v>
      </c>
      <c r="E169" s="48" t="str">
        <f t="shared" si="2"/>
        <v>Autumn</v>
      </c>
      <c r="F169" s="15">
        <v>9</v>
      </c>
      <c r="G169" s="15">
        <v>448</v>
      </c>
      <c r="H169" s="46">
        <f>F169+G169</f>
        <v>457</v>
      </c>
      <c r="I169" s="15">
        <v>431</v>
      </c>
      <c r="J169" s="15">
        <v>17</v>
      </c>
      <c r="K169" s="63">
        <f>F169+G169-I169</f>
        <v>26</v>
      </c>
      <c r="L169" s="63">
        <f>J169-K169</f>
        <v>-9</v>
      </c>
      <c r="M169" s="51">
        <f>I169/((F169+J169)/2)</f>
        <v>33.153846153846153</v>
      </c>
      <c r="N169" s="15">
        <v>17</v>
      </c>
      <c r="O169" s="15">
        <v>0.90756988439466002</v>
      </c>
      <c r="P169" s="52">
        <v>114.03048179450199</v>
      </c>
    </row>
    <row r="170" spans="1:16" x14ac:dyDescent="0.15">
      <c r="A170" s="15">
        <v>1</v>
      </c>
      <c r="B170" s="15" t="s">
        <v>10</v>
      </c>
      <c r="C170" s="46" t="str">
        <f>IF(B170="Smartphone", "Electronics", IF(B170="Laptop", "Computing", IF(B170="Tablet", "Mobile", IF(B170="Smartwatch", "Wearables", IF(B170="Headphones", "Audio", "Photography")))))</f>
        <v>Electronics</v>
      </c>
      <c r="D170" s="47">
        <v>44317</v>
      </c>
      <c r="E170" s="48" t="str">
        <f t="shared" si="2"/>
        <v>Autumn</v>
      </c>
      <c r="F170" s="15">
        <v>52</v>
      </c>
      <c r="G170" s="15">
        <v>454</v>
      </c>
      <c r="H170" s="46">
        <f>F170+G170</f>
        <v>506</v>
      </c>
      <c r="I170" s="15">
        <v>451</v>
      </c>
      <c r="J170" s="15">
        <v>3</v>
      </c>
      <c r="K170" s="63">
        <f>F170+G170-I170</f>
        <v>55</v>
      </c>
      <c r="L170" s="63">
        <f>J170-K170</f>
        <v>-52</v>
      </c>
      <c r="M170" s="51">
        <f>I170/((F170+J170)/2)</f>
        <v>16.399999999999999</v>
      </c>
      <c r="N170" s="15">
        <v>14</v>
      </c>
      <c r="O170" s="15">
        <v>0.89438230542648101</v>
      </c>
      <c r="P170" s="52">
        <v>87.155573940035794</v>
      </c>
    </row>
    <row r="171" spans="1:16" x14ac:dyDescent="0.15">
      <c r="A171" s="15">
        <v>2</v>
      </c>
      <c r="B171" s="15" t="s">
        <v>11</v>
      </c>
      <c r="C171" s="46" t="str">
        <f>IF(B171="Smartphone", "Electronics", IF(B171="Laptop", "Computing", IF(B171="Tablet", "Mobile", IF(B171="Smartwatch", "Wearables", IF(B171="Headphones", "Audio", "Photography")))))</f>
        <v>Computing</v>
      </c>
      <c r="D171" s="47">
        <v>44317</v>
      </c>
      <c r="E171" s="48" t="str">
        <f t="shared" si="2"/>
        <v>Autumn</v>
      </c>
      <c r="F171" s="15">
        <v>32</v>
      </c>
      <c r="G171" s="15">
        <v>212</v>
      </c>
      <c r="H171" s="46">
        <f>F171+G171</f>
        <v>244</v>
      </c>
      <c r="I171" s="15">
        <v>309</v>
      </c>
      <c r="J171" s="15">
        <v>21</v>
      </c>
      <c r="K171" s="63">
        <f>F171+G171-I171</f>
        <v>-65</v>
      </c>
      <c r="L171" s="63">
        <f>J171-K171</f>
        <v>86</v>
      </c>
      <c r="M171" s="51">
        <f>I171/((F171+J171)/2)</f>
        <v>11.660377358490566</v>
      </c>
      <c r="N171" s="15">
        <v>19</v>
      </c>
      <c r="O171" s="15">
        <v>0.93206251966641895</v>
      </c>
      <c r="P171" s="52">
        <v>88.369807386620806</v>
      </c>
    </row>
    <row r="172" spans="1:16" x14ac:dyDescent="0.15">
      <c r="A172" s="15">
        <v>3</v>
      </c>
      <c r="B172" s="15" t="s">
        <v>12</v>
      </c>
      <c r="C172" s="46" t="str">
        <f>IF(B172="Smartphone", "Electronics", IF(B172="Laptop", "Computing", IF(B172="Tablet", "Mobile", IF(B172="Smartwatch", "Wearables", IF(B172="Headphones", "Audio", "Photography")))))</f>
        <v>Mobile</v>
      </c>
      <c r="D172" s="47">
        <v>44317</v>
      </c>
      <c r="E172" s="48" t="str">
        <f t="shared" si="2"/>
        <v>Autumn</v>
      </c>
      <c r="F172" s="15">
        <v>2</v>
      </c>
      <c r="G172" s="15">
        <v>115</v>
      </c>
      <c r="H172" s="46">
        <f>F172+G172</f>
        <v>117</v>
      </c>
      <c r="I172" s="15">
        <v>150</v>
      </c>
      <c r="J172" s="15">
        <v>6</v>
      </c>
      <c r="K172" s="63">
        <f>F172+G172-I172</f>
        <v>-33</v>
      </c>
      <c r="L172" s="63">
        <f>J172-K172</f>
        <v>39</v>
      </c>
      <c r="M172" s="51">
        <f>I172/((F172+J172)/2)</f>
        <v>37.5</v>
      </c>
      <c r="N172" s="15">
        <v>22</v>
      </c>
      <c r="O172" s="15">
        <v>0.93016430168368902</v>
      </c>
      <c r="P172" s="52">
        <v>52.193070106154899</v>
      </c>
    </row>
    <row r="173" spans="1:16" x14ac:dyDescent="0.15">
      <c r="A173" s="15">
        <v>4</v>
      </c>
      <c r="B173" s="15" t="s">
        <v>13</v>
      </c>
      <c r="C173" s="46" t="str">
        <f>IF(B173="Smartphone", "Electronics", IF(B173="Laptop", "Computing", IF(B173="Tablet", "Mobile", IF(B173="Smartwatch", "Wearables", IF(B173="Headphones", "Audio", "Photography")))))</f>
        <v>Wearables</v>
      </c>
      <c r="D173" s="47">
        <v>44317</v>
      </c>
      <c r="E173" s="48" t="str">
        <f t="shared" si="2"/>
        <v>Autumn</v>
      </c>
      <c r="F173" s="15">
        <v>86</v>
      </c>
      <c r="G173" s="15">
        <v>396</v>
      </c>
      <c r="H173" s="46">
        <f>F173+G173</f>
        <v>482</v>
      </c>
      <c r="I173" s="15">
        <v>530</v>
      </c>
      <c r="J173" s="15">
        <v>45</v>
      </c>
      <c r="K173" s="63">
        <f>F173+G173-I173</f>
        <v>-48</v>
      </c>
      <c r="L173" s="63">
        <f>J173-K173</f>
        <v>93</v>
      </c>
      <c r="M173" s="51">
        <f>I173/((F173+J173)/2)</f>
        <v>8.0916030534351151</v>
      </c>
      <c r="N173" s="15">
        <v>24</v>
      </c>
      <c r="O173" s="15">
        <v>0.89151829404524197</v>
      </c>
      <c r="P173" s="52">
        <v>9.9556138180666505</v>
      </c>
    </row>
    <row r="174" spans="1:16" x14ac:dyDescent="0.15">
      <c r="A174" s="15">
        <v>5</v>
      </c>
      <c r="B174" s="15" t="s">
        <v>14</v>
      </c>
      <c r="C174" s="46" t="str">
        <f>IF(B174="Smartphone", "Electronics", IF(B174="Laptop", "Computing", IF(B174="Tablet", "Mobile", IF(B174="Smartwatch", "Wearables", IF(B174="Headphones", "Audio", "Photography")))))</f>
        <v>Audio</v>
      </c>
      <c r="D174" s="47">
        <v>44317</v>
      </c>
      <c r="E174" s="48" t="str">
        <f t="shared" si="2"/>
        <v>Autumn</v>
      </c>
      <c r="F174" s="15">
        <v>91</v>
      </c>
      <c r="G174" s="15">
        <v>179</v>
      </c>
      <c r="H174" s="46">
        <f>F174+G174</f>
        <v>270</v>
      </c>
      <c r="I174" s="15">
        <v>144</v>
      </c>
      <c r="J174" s="15">
        <v>35</v>
      </c>
      <c r="K174" s="63">
        <f>F174+G174-I174</f>
        <v>126</v>
      </c>
      <c r="L174" s="63">
        <f>J174-K174</f>
        <v>-91</v>
      </c>
      <c r="M174" s="51">
        <f>I174/((F174+J174)/2)</f>
        <v>2.2857142857142856</v>
      </c>
      <c r="N174" s="15">
        <v>13</v>
      </c>
      <c r="O174" s="15">
        <v>0.86253965211428696</v>
      </c>
      <c r="P174" s="52">
        <v>80.959597461381094</v>
      </c>
    </row>
    <row r="175" spans="1:16" x14ac:dyDescent="0.15">
      <c r="A175" s="15">
        <v>6</v>
      </c>
      <c r="B175" s="15" t="s">
        <v>15</v>
      </c>
      <c r="C175" s="46" t="str">
        <f>IF(B175="Smartphone", "Electronics", IF(B175="Laptop", "Computing", IF(B175="Tablet", "Mobile", IF(B175="Smartwatch", "Wearables", IF(B175="Headphones", "Audio", "Photography")))))</f>
        <v>Photography</v>
      </c>
      <c r="D175" s="47">
        <v>44317</v>
      </c>
      <c r="E175" s="48" t="str">
        <f t="shared" si="2"/>
        <v>Autumn</v>
      </c>
      <c r="F175" s="15">
        <v>23</v>
      </c>
      <c r="G175" s="15">
        <v>468</v>
      </c>
      <c r="H175" s="46">
        <f>F175+G175</f>
        <v>491</v>
      </c>
      <c r="I175" s="15">
        <v>214</v>
      </c>
      <c r="J175" s="15">
        <v>341</v>
      </c>
      <c r="K175" s="63">
        <f>F175+G175-I175</f>
        <v>277</v>
      </c>
      <c r="L175" s="63">
        <f>J175-K175</f>
        <v>64</v>
      </c>
      <c r="M175" s="51">
        <f>I175/((F175+J175)/2)</f>
        <v>1.1758241758241759</v>
      </c>
      <c r="N175" s="15">
        <v>12</v>
      </c>
      <c r="O175" s="15">
        <v>0.91708644573702103</v>
      </c>
      <c r="P175" s="52">
        <v>241.24697991992301</v>
      </c>
    </row>
    <row r="176" spans="1:16" x14ac:dyDescent="0.15">
      <c r="A176" s="15">
        <v>1</v>
      </c>
      <c r="B176" s="15" t="s">
        <v>10</v>
      </c>
      <c r="C176" s="46" t="str">
        <f>IF(B176="Smartphone", "Electronics", IF(B176="Laptop", "Computing", IF(B176="Tablet", "Mobile", IF(B176="Smartwatch", "Wearables", IF(B176="Headphones", "Audio", "Photography")))))</f>
        <v>Electronics</v>
      </c>
      <c r="D176" s="47">
        <v>44348</v>
      </c>
      <c r="E176" s="48" t="str">
        <f t="shared" si="2"/>
        <v>Winter</v>
      </c>
      <c r="F176" s="15">
        <v>88</v>
      </c>
      <c r="G176" s="15">
        <v>255</v>
      </c>
      <c r="H176" s="46">
        <f>F176+G176</f>
        <v>343</v>
      </c>
      <c r="I176" s="15">
        <v>225</v>
      </c>
      <c r="J176" s="15">
        <v>30</v>
      </c>
      <c r="K176" s="63">
        <f>F176+G176-I176</f>
        <v>118</v>
      </c>
      <c r="L176" s="63">
        <f>J176-K176</f>
        <v>-88</v>
      </c>
      <c r="M176" s="51">
        <f>I176/((F176+J176)/2)</f>
        <v>3.8135593220338984</v>
      </c>
      <c r="N176" s="15">
        <v>26</v>
      </c>
      <c r="O176" s="15">
        <v>0.90391743344812903</v>
      </c>
      <c r="P176" s="52">
        <v>90.583392352666195</v>
      </c>
    </row>
    <row r="177" spans="1:16" x14ac:dyDescent="0.15">
      <c r="A177" s="15">
        <v>2</v>
      </c>
      <c r="B177" s="15" t="s">
        <v>11</v>
      </c>
      <c r="C177" s="46" t="str">
        <f>IF(B177="Smartphone", "Electronics", IF(B177="Laptop", "Computing", IF(B177="Tablet", "Mobile", IF(B177="Smartwatch", "Wearables", IF(B177="Headphones", "Audio", "Photography")))))</f>
        <v>Computing</v>
      </c>
      <c r="D177" s="47">
        <v>44348</v>
      </c>
      <c r="E177" s="48" t="str">
        <f t="shared" si="2"/>
        <v>Winter</v>
      </c>
      <c r="F177" s="15">
        <v>64</v>
      </c>
      <c r="G177" s="15">
        <v>325</v>
      </c>
      <c r="H177" s="46">
        <f>F177+G177</f>
        <v>389</v>
      </c>
      <c r="I177" s="15">
        <v>209</v>
      </c>
      <c r="J177" s="15">
        <v>116</v>
      </c>
      <c r="K177" s="63">
        <f>F177+G177-I177</f>
        <v>180</v>
      </c>
      <c r="L177" s="63">
        <f>J177-K177</f>
        <v>-64</v>
      </c>
      <c r="M177" s="51">
        <f>I177/((F177+J177)/2)</f>
        <v>2.3222222222222224</v>
      </c>
      <c r="N177" s="15">
        <v>6</v>
      </c>
      <c r="O177" s="15">
        <v>0.87225641436146195</v>
      </c>
      <c r="P177" s="52">
        <v>297.027193901749</v>
      </c>
    </row>
    <row r="178" spans="1:16" x14ac:dyDescent="0.15">
      <c r="A178" s="15">
        <v>3</v>
      </c>
      <c r="B178" s="15" t="s">
        <v>12</v>
      </c>
      <c r="C178" s="46" t="str">
        <f>IF(B178="Smartphone", "Electronics", IF(B178="Laptop", "Computing", IF(B178="Tablet", "Mobile", IF(B178="Smartwatch", "Wearables", IF(B178="Headphones", "Audio", "Photography")))))</f>
        <v>Mobile</v>
      </c>
      <c r="D178" s="47">
        <v>44348</v>
      </c>
      <c r="E178" s="48" t="str">
        <f t="shared" si="2"/>
        <v>Winter</v>
      </c>
      <c r="F178" s="15">
        <v>78</v>
      </c>
      <c r="G178" s="15">
        <v>305</v>
      </c>
      <c r="H178" s="46">
        <f>F178+G178</f>
        <v>383</v>
      </c>
      <c r="I178" s="15">
        <v>297</v>
      </c>
      <c r="J178" s="15">
        <v>81</v>
      </c>
      <c r="K178" s="63">
        <f>F178+G178-I178</f>
        <v>86</v>
      </c>
      <c r="L178" s="63">
        <f>J178-K178</f>
        <v>-5</v>
      </c>
      <c r="M178" s="51">
        <f>I178/((F178+J178)/2)</f>
        <v>3.7358490566037736</v>
      </c>
      <c r="N178" s="15">
        <v>21</v>
      </c>
      <c r="O178" s="15">
        <v>0.85787997587316001</v>
      </c>
      <c r="P178" s="52">
        <v>18.0158523308973</v>
      </c>
    </row>
    <row r="179" spans="1:16" x14ac:dyDescent="0.15">
      <c r="A179" s="15">
        <v>4</v>
      </c>
      <c r="B179" s="15" t="s">
        <v>13</v>
      </c>
      <c r="C179" s="46" t="str">
        <f>IF(B179="Smartphone", "Electronics", IF(B179="Laptop", "Computing", IF(B179="Tablet", "Mobile", IF(B179="Smartwatch", "Wearables", IF(B179="Headphones", "Audio", "Photography")))))</f>
        <v>Wearables</v>
      </c>
      <c r="D179" s="47">
        <v>44348</v>
      </c>
      <c r="E179" s="48" t="str">
        <f t="shared" si="2"/>
        <v>Winter</v>
      </c>
      <c r="F179" s="15">
        <v>26</v>
      </c>
      <c r="G179" s="15">
        <v>315</v>
      </c>
      <c r="H179" s="46">
        <f>F179+G179</f>
        <v>341</v>
      </c>
      <c r="I179" s="15">
        <v>226</v>
      </c>
      <c r="J179" s="15">
        <v>89</v>
      </c>
      <c r="K179" s="63">
        <f>F179+G179-I179</f>
        <v>115</v>
      </c>
      <c r="L179" s="63">
        <f>J179-K179</f>
        <v>-26</v>
      </c>
      <c r="M179" s="51">
        <f>I179/((F179+J179)/2)</f>
        <v>3.9304347826086956</v>
      </c>
      <c r="N179" s="15">
        <v>4</v>
      </c>
      <c r="O179" s="15">
        <v>0.92052379219472202</v>
      </c>
      <c r="P179" s="52">
        <v>59.522487254195298</v>
      </c>
    </row>
    <row r="180" spans="1:16" x14ac:dyDescent="0.15">
      <c r="A180" s="15">
        <v>5</v>
      </c>
      <c r="B180" s="15" t="s">
        <v>14</v>
      </c>
      <c r="C180" s="46" t="str">
        <f>IF(B180="Smartphone", "Electronics", IF(B180="Laptop", "Computing", IF(B180="Tablet", "Mobile", IF(B180="Smartwatch", "Wearables", IF(B180="Headphones", "Audio", "Photography")))))</f>
        <v>Audio</v>
      </c>
      <c r="D180" s="47">
        <v>44348</v>
      </c>
      <c r="E180" s="48" t="str">
        <f t="shared" si="2"/>
        <v>Winter</v>
      </c>
      <c r="F180" s="15">
        <v>62</v>
      </c>
      <c r="G180" s="15">
        <v>74</v>
      </c>
      <c r="H180" s="46">
        <f>F180+G180</f>
        <v>136</v>
      </c>
      <c r="I180" s="15">
        <v>0</v>
      </c>
      <c r="J180" s="15">
        <v>74</v>
      </c>
      <c r="K180" s="63">
        <f>F180+G180-I180</f>
        <v>136</v>
      </c>
      <c r="L180" s="63">
        <f>J180-K180</f>
        <v>-62</v>
      </c>
      <c r="M180" s="51">
        <f>I180/((F180+J180)/2)</f>
        <v>0</v>
      </c>
      <c r="N180" s="15">
        <v>19</v>
      </c>
      <c r="O180" s="15">
        <v>0.92750475285138401</v>
      </c>
      <c r="P180" s="52">
        <v>68.159526396595098</v>
      </c>
    </row>
    <row r="181" spans="1:16" x14ac:dyDescent="0.15">
      <c r="A181" s="15">
        <v>6</v>
      </c>
      <c r="B181" s="15" t="s">
        <v>15</v>
      </c>
      <c r="C181" s="46" t="str">
        <f>IF(B181="Smartphone", "Electronics", IF(B181="Laptop", "Computing", IF(B181="Tablet", "Mobile", IF(B181="Smartwatch", "Wearables", IF(B181="Headphones", "Audio", "Photography")))))</f>
        <v>Photography</v>
      </c>
      <c r="D181" s="47">
        <v>44348</v>
      </c>
      <c r="E181" s="48" t="str">
        <f t="shared" si="2"/>
        <v>Winter</v>
      </c>
      <c r="F181" s="15">
        <v>197</v>
      </c>
      <c r="G181" s="15">
        <v>499</v>
      </c>
      <c r="H181" s="46">
        <f>F181+G181</f>
        <v>696</v>
      </c>
      <c r="I181" s="15">
        <v>509</v>
      </c>
      <c r="J181" s="15">
        <v>279</v>
      </c>
      <c r="K181" s="63">
        <f>F181+G181-I181</f>
        <v>187</v>
      </c>
      <c r="L181" s="63">
        <f>J181-K181</f>
        <v>92</v>
      </c>
      <c r="M181" s="51">
        <f>I181/((F181+J181)/2)</f>
        <v>2.1386554621848739</v>
      </c>
      <c r="N181" s="15">
        <v>16</v>
      </c>
      <c r="O181" s="15">
        <v>0.88199839426725701</v>
      </c>
      <c r="P181" s="52">
        <v>59.428070307739603</v>
      </c>
    </row>
    <row r="182" spans="1:16" x14ac:dyDescent="0.15">
      <c r="A182" s="15">
        <v>1</v>
      </c>
      <c r="B182" s="15" t="s">
        <v>10</v>
      </c>
      <c r="C182" s="46" t="str">
        <f>IF(B182="Smartphone", "Electronics", IF(B182="Laptop", "Computing", IF(B182="Tablet", "Mobile", IF(B182="Smartwatch", "Wearables", IF(B182="Headphones", "Audio", "Photography")))))</f>
        <v>Electronics</v>
      </c>
      <c r="D182" s="47">
        <v>44378</v>
      </c>
      <c r="E182" s="48" t="str">
        <f t="shared" si="2"/>
        <v>Winter</v>
      </c>
      <c r="F182" s="15">
        <v>22</v>
      </c>
      <c r="G182" s="15">
        <v>330</v>
      </c>
      <c r="H182" s="46">
        <f>F182+G182</f>
        <v>352</v>
      </c>
      <c r="I182" s="15">
        <v>277</v>
      </c>
      <c r="J182" s="15">
        <v>53</v>
      </c>
      <c r="K182" s="63">
        <f>F182+G182-I182</f>
        <v>75</v>
      </c>
      <c r="L182" s="63">
        <f>J182-K182</f>
        <v>-22</v>
      </c>
      <c r="M182" s="51">
        <f>I182/((F182+J182)/2)</f>
        <v>7.3866666666666667</v>
      </c>
      <c r="N182" s="15">
        <v>13</v>
      </c>
      <c r="O182" s="15">
        <v>0.87100314820435298</v>
      </c>
      <c r="P182" s="52">
        <v>53.884403269264602</v>
      </c>
    </row>
    <row r="183" spans="1:16" x14ac:dyDescent="0.15">
      <c r="A183" s="15">
        <v>2</v>
      </c>
      <c r="B183" s="15" t="s">
        <v>11</v>
      </c>
      <c r="C183" s="46" t="str">
        <f>IF(B183="Smartphone", "Electronics", IF(B183="Laptop", "Computing", IF(B183="Tablet", "Mobile", IF(B183="Smartwatch", "Wearables", IF(B183="Headphones", "Audio", "Photography")))))</f>
        <v>Computing</v>
      </c>
      <c r="D183" s="47">
        <v>44378</v>
      </c>
      <c r="E183" s="48" t="str">
        <f t="shared" si="2"/>
        <v>Winter</v>
      </c>
      <c r="F183" s="15">
        <v>62</v>
      </c>
      <c r="G183" s="15">
        <v>302</v>
      </c>
      <c r="H183" s="46">
        <f>F183+G183</f>
        <v>364</v>
      </c>
      <c r="I183" s="15">
        <v>251</v>
      </c>
      <c r="J183" s="15">
        <v>51</v>
      </c>
      <c r="K183" s="63">
        <f>F183+G183-I183</f>
        <v>113</v>
      </c>
      <c r="L183" s="63">
        <f>J183-K183</f>
        <v>-62</v>
      </c>
      <c r="M183" s="51">
        <f>I183/((F183+J183)/2)</f>
        <v>4.4424778761061949</v>
      </c>
      <c r="N183" s="15">
        <v>4</v>
      </c>
      <c r="O183" s="15">
        <v>0.85848724054813996</v>
      </c>
      <c r="P183" s="52">
        <v>68.652666110072204</v>
      </c>
    </row>
    <row r="184" spans="1:16" x14ac:dyDescent="0.15">
      <c r="A184" s="15">
        <v>3</v>
      </c>
      <c r="B184" s="15" t="s">
        <v>12</v>
      </c>
      <c r="C184" s="46" t="str">
        <f>IF(B184="Smartphone", "Electronics", IF(B184="Laptop", "Computing", IF(B184="Tablet", "Mobile", IF(B184="Smartwatch", "Wearables", IF(B184="Headphones", "Audio", "Photography")))))</f>
        <v>Mobile</v>
      </c>
      <c r="D184" s="47">
        <v>44378</v>
      </c>
      <c r="E184" s="48" t="str">
        <f t="shared" si="2"/>
        <v>Winter</v>
      </c>
      <c r="F184" s="15">
        <v>8</v>
      </c>
      <c r="G184" s="15">
        <v>359</v>
      </c>
      <c r="H184" s="46">
        <f>F184+G184</f>
        <v>367</v>
      </c>
      <c r="I184" s="15">
        <v>312</v>
      </c>
      <c r="J184" s="15">
        <v>47</v>
      </c>
      <c r="K184" s="63">
        <f>F184+G184-I184</f>
        <v>55</v>
      </c>
      <c r="L184" s="63">
        <f>J184-K184</f>
        <v>-8</v>
      </c>
      <c r="M184" s="51">
        <f>I184/((F184+J184)/2)</f>
        <v>11.345454545454546</v>
      </c>
      <c r="N184" s="15">
        <v>23</v>
      </c>
      <c r="O184" s="15">
        <v>0.91911274695724599</v>
      </c>
      <c r="P184" s="52">
        <v>105.38041628419499</v>
      </c>
    </row>
    <row r="185" spans="1:16" x14ac:dyDescent="0.15">
      <c r="A185" s="15">
        <v>4</v>
      </c>
      <c r="B185" s="15" t="s">
        <v>13</v>
      </c>
      <c r="C185" s="46" t="str">
        <f>IF(B185="Smartphone", "Electronics", IF(B185="Laptop", "Computing", IF(B185="Tablet", "Mobile", IF(B185="Smartwatch", "Wearables", IF(B185="Headphones", "Audio", "Photography")))))</f>
        <v>Wearables</v>
      </c>
      <c r="D185" s="47">
        <v>44378</v>
      </c>
      <c r="E185" s="48" t="str">
        <f t="shared" si="2"/>
        <v>Winter</v>
      </c>
      <c r="F185" s="15">
        <v>82</v>
      </c>
      <c r="G185" s="15">
        <v>338</v>
      </c>
      <c r="H185" s="46">
        <f>F185+G185</f>
        <v>420</v>
      </c>
      <c r="I185" s="15">
        <v>285</v>
      </c>
      <c r="J185" s="15">
        <v>53</v>
      </c>
      <c r="K185" s="63">
        <f>F185+G185-I185</f>
        <v>135</v>
      </c>
      <c r="L185" s="63">
        <f>J185-K185</f>
        <v>-82</v>
      </c>
      <c r="M185" s="51">
        <f>I185/((F185+J185)/2)</f>
        <v>4.2222222222222223</v>
      </c>
      <c r="N185" s="15">
        <v>17</v>
      </c>
      <c r="O185" s="15">
        <v>0.85980114631796301</v>
      </c>
      <c r="P185" s="52">
        <v>58.6740960577376</v>
      </c>
    </row>
    <row r="186" spans="1:16" x14ac:dyDescent="0.15">
      <c r="A186" s="15">
        <v>5</v>
      </c>
      <c r="B186" s="15" t="s">
        <v>14</v>
      </c>
      <c r="C186" s="46" t="str">
        <f>IF(B186="Smartphone", "Electronics", IF(B186="Laptop", "Computing", IF(B186="Tablet", "Mobile", IF(B186="Smartwatch", "Wearables", IF(B186="Headphones", "Audio", "Photography")))))</f>
        <v>Audio</v>
      </c>
      <c r="D186" s="47">
        <v>44378</v>
      </c>
      <c r="E186" s="48" t="str">
        <f t="shared" si="2"/>
        <v>Winter</v>
      </c>
      <c r="F186" s="15">
        <v>33</v>
      </c>
      <c r="G186" s="15">
        <v>213</v>
      </c>
      <c r="H186" s="46">
        <f>F186+G186</f>
        <v>246</v>
      </c>
      <c r="I186" s="15">
        <v>165</v>
      </c>
      <c r="J186" s="15">
        <v>48</v>
      </c>
      <c r="K186" s="63">
        <f>F186+G186-I186</f>
        <v>81</v>
      </c>
      <c r="L186" s="63">
        <f>J186-K186</f>
        <v>-33</v>
      </c>
      <c r="M186" s="51">
        <f>I186/((F186+J186)/2)</f>
        <v>4.0740740740740744</v>
      </c>
      <c r="N186" s="15">
        <v>23</v>
      </c>
      <c r="O186" s="15">
        <v>1</v>
      </c>
      <c r="P186" s="52">
        <v>69.658116504079999</v>
      </c>
    </row>
    <row r="187" spans="1:16" x14ac:dyDescent="0.15">
      <c r="A187" s="15">
        <v>6</v>
      </c>
      <c r="B187" s="15" t="s">
        <v>15</v>
      </c>
      <c r="C187" s="46" t="str">
        <f>IF(B187="Smartphone", "Electronics", IF(B187="Laptop", "Computing", IF(B187="Tablet", "Mobile", IF(B187="Smartwatch", "Wearables", IF(B187="Headphones", "Audio", "Photography")))))</f>
        <v>Photography</v>
      </c>
      <c r="D187" s="47">
        <v>44378</v>
      </c>
      <c r="E187" s="48" t="str">
        <f t="shared" si="2"/>
        <v>Winter</v>
      </c>
      <c r="F187" s="15">
        <v>4</v>
      </c>
      <c r="G187" s="15">
        <v>144</v>
      </c>
      <c r="H187" s="46">
        <f>F187+G187</f>
        <v>148</v>
      </c>
      <c r="I187" s="15">
        <v>50</v>
      </c>
      <c r="J187" s="15">
        <v>94</v>
      </c>
      <c r="K187" s="63">
        <f>F187+G187-I187</f>
        <v>98</v>
      </c>
      <c r="L187" s="63">
        <f>J187-K187</f>
        <v>-4</v>
      </c>
      <c r="M187" s="51">
        <f>I187/((F187+J187)/2)</f>
        <v>1.0204081632653061</v>
      </c>
      <c r="N187" s="15">
        <v>1</v>
      </c>
      <c r="O187" s="15">
        <v>0.87948592820145</v>
      </c>
      <c r="P187" s="52">
        <v>62.126651015397101</v>
      </c>
    </row>
    <row r="188" spans="1:16" x14ac:dyDescent="0.15">
      <c r="A188" s="15">
        <v>1</v>
      </c>
      <c r="B188" s="15" t="s">
        <v>10</v>
      </c>
      <c r="C188" s="46" t="str">
        <f>IF(B188="Smartphone", "Electronics", IF(B188="Laptop", "Computing", IF(B188="Tablet", "Mobile", IF(B188="Smartwatch", "Wearables", IF(B188="Headphones", "Audio", "Photography")))))</f>
        <v>Electronics</v>
      </c>
      <c r="D188" s="47">
        <v>44409</v>
      </c>
      <c r="E188" s="48" t="str">
        <f t="shared" si="2"/>
        <v>Winter</v>
      </c>
      <c r="F188" s="15">
        <v>93</v>
      </c>
      <c r="G188" s="15">
        <v>319</v>
      </c>
      <c r="H188" s="46">
        <f>F188+G188</f>
        <v>412</v>
      </c>
      <c r="I188" s="15">
        <v>304</v>
      </c>
      <c r="J188" s="15">
        <v>15</v>
      </c>
      <c r="K188" s="63">
        <f>F188+G188-I188</f>
        <v>108</v>
      </c>
      <c r="L188" s="63">
        <f>J188-K188</f>
        <v>-93</v>
      </c>
      <c r="M188" s="51">
        <f>I188/((F188+J188)/2)</f>
        <v>5.6296296296296298</v>
      </c>
      <c r="N188" s="15">
        <v>18</v>
      </c>
      <c r="O188" s="15">
        <v>0.8</v>
      </c>
      <c r="P188" s="52">
        <v>56.5327900111592</v>
      </c>
    </row>
    <row r="189" spans="1:16" x14ac:dyDescent="0.15">
      <c r="A189" s="15">
        <v>2</v>
      </c>
      <c r="B189" s="15" t="s">
        <v>11</v>
      </c>
      <c r="C189" s="46" t="str">
        <f>IF(B189="Smartphone", "Electronics", IF(B189="Laptop", "Computing", IF(B189="Tablet", "Mobile", IF(B189="Smartwatch", "Wearables", IF(B189="Headphones", "Audio", "Photography")))))</f>
        <v>Computing</v>
      </c>
      <c r="D189" s="47">
        <v>44409</v>
      </c>
      <c r="E189" s="48" t="str">
        <f t="shared" si="2"/>
        <v>Winter</v>
      </c>
      <c r="F189" s="15">
        <v>60</v>
      </c>
      <c r="G189" s="15">
        <v>370</v>
      </c>
      <c r="H189" s="46">
        <f>F189+G189</f>
        <v>430</v>
      </c>
      <c r="I189" s="15">
        <v>404</v>
      </c>
      <c r="J189" s="15">
        <v>80</v>
      </c>
      <c r="K189" s="63">
        <f>F189+G189-I189</f>
        <v>26</v>
      </c>
      <c r="L189" s="63">
        <f>J189-K189</f>
        <v>54</v>
      </c>
      <c r="M189" s="51">
        <f>I189/((F189+J189)/2)</f>
        <v>5.7714285714285714</v>
      </c>
      <c r="N189" s="15">
        <v>20</v>
      </c>
      <c r="O189" s="15">
        <v>0.89849141666854304</v>
      </c>
      <c r="P189" s="52">
        <v>33.324794759041701</v>
      </c>
    </row>
    <row r="190" spans="1:16" x14ac:dyDescent="0.15">
      <c r="A190" s="15">
        <v>3</v>
      </c>
      <c r="B190" s="15" t="s">
        <v>12</v>
      </c>
      <c r="C190" s="46" t="str">
        <f>IF(B190="Smartphone", "Electronics", IF(B190="Laptop", "Computing", IF(B190="Tablet", "Mobile", IF(B190="Smartwatch", "Wearables", IF(B190="Headphones", "Audio", "Photography")))))</f>
        <v>Mobile</v>
      </c>
      <c r="D190" s="47">
        <v>44409</v>
      </c>
      <c r="E190" s="48" t="str">
        <f t="shared" si="2"/>
        <v>Winter</v>
      </c>
      <c r="F190" s="15">
        <v>149</v>
      </c>
      <c r="G190" s="15">
        <v>159</v>
      </c>
      <c r="H190" s="46">
        <f>F190+G190</f>
        <v>308</v>
      </c>
      <c r="I190" s="15">
        <v>293</v>
      </c>
      <c r="J190" s="15">
        <v>115</v>
      </c>
      <c r="K190" s="63">
        <f>F190+G190-I190</f>
        <v>15</v>
      </c>
      <c r="L190" s="63">
        <f>J190-K190</f>
        <v>100</v>
      </c>
      <c r="M190" s="51">
        <f>I190/((F190+J190)/2)</f>
        <v>2.2196969696969697</v>
      </c>
      <c r="N190" s="15">
        <v>17</v>
      </c>
      <c r="O190" s="15">
        <v>0.896348326009059</v>
      </c>
      <c r="P190" s="52">
        <v>109.05433648499999</v>
      </c>
    </row>
    <row r="191" spans="1:16" x14ac:dyDescent="0.15">
      <c r="A191" s="15">
        <v>4</v>
      </c>
      <c r="B191" s="15" t="s">
        <v>13</v>
      </c>
      <c r="C191" s="46" t="str">
        <f>IF(B191="Smartphone", "Electronics", IF(B191="Laptop", "Computing", IF(B191="Tablet", "Mobile", IF(B191="Smartwatch", "Wearables", IF(B191="Headphones", "Audio", "Photography")))))</f>
        <v>Wearables</v>
      </c>
      <c r="D191" s="47">
        <v>44409</v>
      </c>
      <c r="E191" s="48" t="str">
        <f t="shared" si="2"/>
        <v>Winter</v>
      </c>
      <c r="F191" s="15">
        <v>14</v>
      </c>
      <c r="G191" s="15">
        <v>385</v>
      </c>
      <c r="H191" s="46">
        <f>F191+G191</f>
        <v>399</v>
      </c>
      <c r="I191" s="15">
        <v>290</v>
      </c>
      <c r="J191" s="15">
        <v>95</v>
      </c>
      <c r="K191" s="63">
        <f>F191+G191-I191</f>
        <v>109</v>
      </c>
      <c r="L191" s="63">
        <f>J191-K191</f>
        <v>-14</v>
      </c>
      <c r="M191" s="51">
        <f>I191/((F191+J191)/2)</f>
        <v>5.3211009174311927</v>
      </c>
      <c r="N191" s="15">
        <v>27</v>
      </c>
      <c r="O191" s="15">
        <v>0.95558592837620904</v>
      </c>
      <c r="P191" s="52">
        <v>10.190156365221</v>
      </c>
    </row>
    <row r="192" spans="1:16" x14ac:dyDescent="0.15">
      <c r="A192" s="15">
        <v>5</v>
      </c>
      <c r="B192" s="15" t="s">
        <v>14</v>
      </c>
      <c r="C192" s="46" t="str">
        <f>IF(B192="Smartphone", "Electronics", IF(B192="Laptop", "Computing", IF(B192="Tablet", "Mobile", IF(B192="Smartwatch", "Wearables", IF(B192="Headphones", "Audio", "Photography")))))</f>
        <v>Audio</v>
      </c>
      <c r="D192" s="47">
        <v>44409</v>
      </c>
      <c r="E192" s="48" t="str">
        <f t="shared" si="2"/>
        <v>Winter</v>
      </c>
      <c r="F192" s="15">
        <v>8</v>
      </c>
      <c r="G192" s="15">
        <v>359</v>
      </c>
      <c r="H192" s="46">
        <f>F192+G192</f>
        <v>367</v>
      </c>
      <c r="I192" s="15">
        <v>324</v>
      </c>
      <c r="J192" s="15">
        <v>35</v>
      </c>
      <c r="K192" s="63">
        <f>F192+G192-I192</f>
        <v>43</v>
      </c>
      <c r="L192" s="63">
        <f>J192-K192</f>
        <v>-8</v>
      </c>
      <c r="M192" s="51">
        <f>I192/((F192+J192)/2)</f>
        <v>15.069767441860465</v>
      </c>
      <c r="N192" s="15">
        <v>28</v>
      </c>
      <c r="O192" s="15">
        <v>0.91440631183638499</v>
      </c>
      <c r="P192" s="52">
        <v>36.476803274869098</v>
      </c>
    </row>
    <row r="193" spans="1:16" x14ac:dyDescent="0.15">
      <c r="A193" s="15">
        <v>6</v>
      </c>
      <c r="B193" s="15" t="s">
        <v>15</v>
      </c>
      <c r="C193" s="46" t="str">
        <f>IF(B193="Smartphone", "Electronics", IF(B193="Laptop", "Computing", IF(B193="Tablet", "Mobile", IF(B193="Smartwatch", "Wearables", IF(B193="Headphones", "Audio", "Photography")))))</f>
        <v>Photography</v>
      </c>
      <c r="D193" s="47">
        <v>44409</v>
      </c>
      <c r="E193" s="48" t="str">
        <f t="shared" si="2"/>
        <v>Winter</v>
      </c>
      <c r="F193" s="15">
        <v>15</v>
      </c>
      <c r="G193" s="15">
        <v>287</v>
      </c>
      <c r="H193" s="46">
        <f>F193+G193</f>
        <v>302</v>
      </c>
      <c r="I193" s="15">
        <v>197</v>
      </c>
      <c r="J193" s="15">
        <v>90</v>
      </c>
      <c r="K193" s="63">
        <f>F193+G193-I193</f>
        <v>105</v>
      </c>
      <c r="L193" s="63">
        <f>J193-K193</f>
        <v>-15</v>
      </c>
      <c r="M193" s="51">
        <f>I193/((F193+J193)/2)</f>
        <v>3.7523809523809524</v>
      </c>
      <c r="N193" s="15">
        <v>27</v>
      </c>
      <c r="O193" s="15">
        <v>0.85830824082800905</v>
      </c>
      <c r="P193" s="52">
        <v>120.243965221918</v>
      </c>
    </row>
    <row r="194" spans="1:16" x14ac:dyDescent="0.15">
      <c r="A194" s="15">
        <v>1</v>
      </c>
      <c r="B194" s="15" t="s">
        <v>10</v>
      </c>
      <c r="C194" s="46" t="str">
        <f>IF(B194="Smartphone", "Electronics", IF(B194="Laptop", "Computing", IF(B194="Tablet", "Mobile", IF(B194="Smartwatch", "Wearables", IF(B194="Headphones", "Audio", "Photography")))))</f>
        <v>Electronics</v>
      </c>
      <c r="D194" s="47">
        <v>44440</v>
      </c>
      <c r="E194" s="48" t="str">
        <f t="shared" si="2"/>
        <v>Spring</v>
      </c>
      <c r="F194" s="15">
        <v>89</v>
      </c>
      <c r="G194" s="15">
        <v>430</v>
      </c>
      <c r="H194" s="46">
        <f>F194+G194</f>
        <v>519</v>
      </c>
      <c r="I194" s="15">
        <v>381</v>
      </c>
      <c r="J194" s="15">
        <v>49</v>
      </c>
      <c r="K194" s="63">
        <f>F194+G194-I194</f>
        <v>138</v>
      </c>
      <c r="L194" s="63">
        <f>J194-K194</f>
        <v>-89</v>
      </c>
      <c r="M194" s="51">
        <f>I194/((F194+J194)/2)</f>
        <v>5.5217391304347823</v>
      </c>
      <c r="N194" s="15">
        <v>15</v>
      </c>
      <c r="O194" s="15">
        <v>0.88568040632516098</v>
      </c>
      <c r="P194" s="52">
        <v>93.759052377770203</v>
      </c>
    </row>
    <row r="195" spans="1:16" x14ac:dyDescent="0.15">
      <c r="A195" s="15">
        <v>2</v>
      </c>
      <c r="B195" s="15" t="s">
        <v>11</v>
      </c>
      <c r="C195" s="46" t="str">
        <f>IF(B195="Smartphone", "Electronics", IF(B195="Laptop", "Computing", IF(B195="Tablet", "Mobile", IF(B195="Smartwatch", "Wearables", IF(B195="Headphones", "Audio", "Photography")))))</f>
        <v>Computing</v>
      </c>
      <c r="D195" s="47">
        <v>44440</v>
      </c>
      <c r="E195" s="48" t="str">
        <f t="shared" ref="E195:E217" si="3">IF(OR(MONTH(D195)=9, MONTH(D195)=10, MONTH(D195)=11), "Spring",
 IF(OR(MONTH(D195)=12, MONTH(D195)=1, MONTH(D195)=2), "Summer",
 IF(OR(MONTH(D195)=3, MONTH(D195)=4, MONTH(D195)=5), "Autumn",
 IF(OR(MONTH(D195)=6, MONTH(D195)=7, MONTH(D195)=8), "Winter", "Unknown"
))))</f>
        <v>Spring</v>
      </c>
      <c r="F195" s="15">
        <v>24</v>
      </c>
      <c r="G195" s="15">
        <v>485</v>
      </c>
      <c r="H195" s="46">
        <f>F195+G195</f>
        <v>509</v>
      </c>
      <c r="I195" s="15">
        <v>640</v>
      </c>
      <c r="J195" s="15">
        <v>4</v>
      </c>
      <c r="K195" s="63">
        <f>F195+G195-I195</f>
        <v>-131</v>
      </c>
      <c r="L195" s="63">
        <f>J195-K195</f>
        <v>135</v>
      </c>
      <c r="M195" s="51">
        <f>I195/((F195+J195)/2)</f>
        <v>45.714285714285715</v>
      </c>
      <c r="N195" s="15">
        <v>11</v>
      </c>
      <c r="O195" s="15">
        <v>0.91637098858254895</v>
      </c>
      <c r="P195" s="52">
        <v>24.202351363579201</v>
      </c>
    </row>
    <row r="196" spans="1:16" x14ac:dyDescent="0.15">
      <c r="A196" s="15">
        <v>3</v>
      </c>
      <c r="B196" s="15" t="s">
        <v>12</v>
      </c>
      <c r="C196" s="46" t="str">
        <f>IF(B196="Smartphone", "Electronics", IF(B196="Laptop", "Computing", IF(B196="Tablet", "Mobile", IF(B196="Smartwatch", "Wearables", IF(B196="Headphones", "Audio", "Photography")))))</f>
        <v>Mobile</v>
      </c>
      <c r="D196" s="47">
        <v>44440</v>
      </c>
      <c r="E196" s="48" t="str">
        <f t="shared" si="3"/>
        <v>Spring</v>
      </c>
      <c r="F196" s="15">
        <v>18</v>
      </c>
      <c r="G196" s="15">
        <v>436</v>
      </c>
      <c r="H196" s="46">
        <f>F196+G196</f>
        <v>454</v>
      </c>
      <c r="I196" s="15">
        <v>346</v>
      </c>
      <c r="J196" s="15">
        <v>90</v>
      </c>
      <c r="K196" s="63">
        <f>F196+G196-I196</f>
        <v>108</v>
      </c>
      <c r="L196" s="63">
        <f>J196-K196</f>
        <v>-18</v>
      </c>
      <c r="M196" s="51">
        <f>I196/((F196+J196)/2)</f>
        <v>6.4074074074074074</v>
      </c>
      <c r="N196" s="15">
        <v>25</v>
      </c>
      <c r="O196" s="15">
        <v>0.8</v>
      </c>
      <c r="P196" s="52">
        <v>54.764481133549602</v>
      </c>
    </row>
    <row r="197" spans="1:16" x14ac:dyDescent="0.15">
      <c r="A197" s="15">
        <v>4</v>
      </c>
      <c r="B197" s="15" t="s">
        <v>13</v>
      </c>
      <c r="C197" s="46" t="str">
        <f>IF(B197="Smartphone", "Electronics", IF(B197="Laptop", "Computing", IF(B197="Tablet", "Mobile", IF(B197="Smartwatch", "Wearables", IF(B197="Headphones", "Audio", "Photography")))))</f>
        <v>Wearables</v>
      </c>
      <c r="D197" s="47">
        <v>44440</v>
      </c>
      <c r="E197" s="48" t="str">
        <f t="shared" si="3"/>
        <v>Spring</v>
      </c>
      <c r="F197" s="15">
        <v>1</v>
      </c>
      <c r="G197" s="15">
        <v>474</v>
      </c>
      <c r="H197" s="46">
        <f>F197+G197</f>
        <v>475</v>
      </c>
      <c r="I197" s="15">
        <v>466</v>
      </c>
      <c r="J197" s="15">
        <v>8</v>
      </c>
      <c r="K197" s="63">
        <f>F197+G197-I197</f>
        <v>9</v>
      </c>
      <c r="L197" s="63">
        <f>J197-K197</f>
        <v>-1</v>
      </c>
      <c r="M197" s="51">
        <f>I197/((F197+J197)/2)</f>
        <v>103.55555555555556</v>
      </c>
      <c r="N197" s="15">
        <v>28</v>
      </c>
      <c r="O197" s="15">
        <v>0.96693108671952199</v>
      </c>
      <c r="P197" s="52">
        <v>46.268139921801001</v>
      </c>
    </row>
    <row r="198" spans="1:16" x14ac:dyDescent="0.15">
      <c r="A198" s="15">
        <v>5</v>
      </c>
      <c r="B198" s="15" t="s">
        <v>14</v>
      </c>
      <c r="C198" s="46" t="str">
        <f>IF(B198="Smartphone", "Electronics", IF(B198="Laptop", "Computing", IF(B198="Tablet", "Mobile", IF(B198="Smartwatch", "Wearables", IF(B198="Headphones", "Audio", "Photography")))))</f>
        <v>Audio</v>
      </c>
      <c r="D198" s="47">
        <v>44440</v>
      </c>
      <c r="E198" s="48" t="str">
        <f t="shared" si="3"/>
        <v>Spring</v>
      </c>
      <c r="F198" s="15">
        <v>90</v>
      </c>
      <c r="G198" s="15">
        <v>439</v>
      </c>
      <c r="H198" s="46">
        <f>F198+G198</f>
        <v>529</v>
      </c>
      <c r="I198" s="15">
        <v>425</v>
      </c>
      <c r="J198" s="15">
        <v>14</v>
      </c>
      <c r="K198" s="63">
        <f>F198+G198-I198</f>
        <v>104</v>
      </c>
      <c r="L198" s="63">
        <f>J198-K198</f>
        <v>-90</v>
      </c>
      <c r="M198" s="51">
        <f>I198/((F198+J198)/2)</f>
        <v>8.1730769230769234</v>
      </c>
      <c r="N198" s="15">
        <v>22</v>
      </c>
      <c r="O198" s="15">
        <v>0.85844150570976596</v>
      </c>
      <c r="P198" s="52">
        <v>47.334920398744103</v>
      </c>
    </row>
    <row r="199" spans="1:16" x14ac:dyDescent="0.15">
      <c r="A199" s="15">
        <v>6</v>
      </c>
      <c r="B199" s="15" t="s">
        <v>15</v>
      </c>
      <c r="C199" s="46" t="str">
        <f>IF(B199="Smartphone", "Electronics", IF(B199="Laptop", "Computing", IF(B199="Tablet", "Mobile", IF(B199="Smartwatch", "Wearables", IF(B199="Headphones", "Audio", "Photography")))))</f>
        <v>Photography</v>
      </c>
      <c r="D199" s="47">
        <v>44440</v>
      </c>
      <c r="E199" s="48" t="str">
        <f t="shared" si="3"/>
        <v>Spring</v>
      </c>
      <c r="F199" s="15">
        <v>86</v>
      </c>
      <c r="G199" s="15">
        <v>74</v>
      </c>
      <c r="H199" s="46">
        <f>F199+G199</f>
        <v>160</v>
      </c>
      <c r="I199" s="15">
        <v>46</v>
      </c>
      <c r="J199" s="15">
        <v>28</v>
      </c>
      <c r="K199" s="63">
        <f>F199+G199-I199</f>
        <v>114</v>
      </c>
      <c r="L199" s="63">
        <f>J199-K199</f>
        <v>-86</v>
      </c>
      <c r="M199" s="51">
        <f>I199/((F199+J199)/2)</f>
        <v>0.80701754385964908</v>
      </c>
      <c r="N199" s="15">
        <v>13</v>
      </c>
      <c r="O199" s="15">
        <v>0.97085219104737996</v>
      </c>
      <c r="P199" s="52">
        <v>118.88114084035401</v>
      </c>
    </row>
    <row r="200" spans="1:16" x14ac:dyDescent="0.15">
      <c r="A200" s="15">
        <v>1</v>
      </c>
      <c r="B200" s="15" t="s">
        <v>10</v>
      </c>
      <c r="C200" s="46" t="str">
        <f>IF(B200="Smartphone", "Electronics", IF(B200="Laptop", "Computing", IF(B200="Tablet", "Mobile", IF(B200="Smartwatch", "Wearables", IF(B200="Headphones", "Audio", "Photography")))))</f>
        <v>Electronics</v>
      </c>
      <c r="D200" s="47">
        <v>44470</v>
      </c>
      <c r="E200" s="48" t="str">
        <f t="shared" si="3"/>
        <v>Spring</v>
      </c>
      <c r="F200" s="15">
        <v>58</v>
      </c>
      <c r="G200" s="15">
        <v>190</v>
      </c>
      <c r="H200" s="46">
        <f>F200+G200</f>
        <v>248</v>
      </c>
      <c r="I200" s="15">
        <v>168</v>
      </c>
      <c r="J200" s="15">
        <v>22</v>
      </c>
      <c r="K200" s="63">
        <f>F200+G200-I200</f>
        <v>80</v>
      </c>
      <c r="L200" s="63">
        <f>J200-K200</f>
        <v>-58</v>
      </c>
      <c r="M200" s="51">
        <f>I200/((F200+J200)/2)</f>
        <v>4.2</v>
      </c>
      <c r="N200" s="15">
        <v>1</v>
      </c>
      <c r="O200" s="15">
        <v>0.91962325705632897</v>
      </c>
      <c r="P200" s="52">
        <v>60.3453059656186</v>
      </c>
    </row>
    <row r="201" spans="1:16" x14ac:dyDescent="0.15">
      <c r="A201" s="15">
        <v>2</v>
      </c>
      <c r="B201" s="15" t="s">
        <v>11</v>
      </c>
      <c r="C201" s="46" t="str">
        <f>IF(B201="Smartphone", "Electronics", IF(B201="Laptop", "Computing", IF(B201="Tablet", "Mobile", IF(B201="Smartwatch", "Wearables", IF(B201="Headphones", "Audio", "Photography")))))</f>
        <v>Computing</v>
      </c>
      <c r="D201" s="47">
        <v>44470</v>
      </c>
      <c r="E201" s="48" t="str">
        <f t="shared" si="3"/>
        <v>Spring</v>
      </c>
      <c r="F201" s="15">
        <v>310</v>
      </c>
      <c r="G201" s="15">
        <v>166</v>
      </c>
      <c r="H201" s="46">
        <f>F201+G201</f>
        <v>476</v>
      </c>
      <c r="I201" s="15">
        <v>460</v>
      </c>
      <c r="J201" s="15">
        <v>92</v>
      </c>
      <c r="K201" s="63">
        <f>F201+G201-I201</f>
        <v>16</v>
      </c>
      <c r="L201" s="63">
        <f>J201-K201</f>
        <v>76</v>
      </c>
      <c r="M201" s="51">
        <f>I201/((F201+J201)/2)</f>
        <v>2.2885572139303481</v>
      </c>
      <c r="N201" s="15">
        <v>17</v>
      </c>
      <c r="O201" s="15">
        <v>0.93147970681969805</v>
      </c>
      <c r="P201" s="52">
        <v>44.896162545966398</v>
      </c>
    </row>
    <row r="202" spans="1:16" x14ac:dyDescent="0.15">
      <c r="A202" s="15">
        <v>3</v>
      </c>
      <c r="B202" s="15" t="s">
        <v>12</v>
      </c>
      <c r="C202" s="46" t="str">
        <f>IF(B202="Smartphone", "Electronics", IF(B202="Laptop", "Computing", IF(B202="Tablet", "Mobile", IF(B202="Smartwatch", "Wearables", IF(B202="Headphones", "Audio", "Photography")))))</f>
        <v>Mobile</v>
      </c>
      <c r="D202" s="47">
        <v>44470</v>
      </c>
      <c r="E202" s="48" t="str">
        <f t="shared" si="3"/>
        <v>Spring</v>
      </c>
      <c r="F202" s="15">
        <v>54</v>
      </c>
      <c r="G202" s="15">
        <v>268</v>
      </c>
      <c r="H202" s="46">
        <f>F202+G202</f>
        <v>322</v>
      </c>
      <c r="I202" s="15">
        <v>348</v>
      </c>
      <c r="J202" s="15">
        <v>93</v>
      </c>
      <c r="K202" s="63">
        <f>F202+G202-I202</f>
        <v>-26</v>
      </c>
      <c r="L202" s="63">
        <f>J202-K202</f>
        <v>119</v>
      </c>
      <c r="M202" s="51">
        <f>I202/((F202+J202)/2)</f>
        <v>4.7346938775510203</v>
      </c>
      <c r="N202" s="15">
        <v>6</v>
      </c>
      <c r="O202" s="15">
        <v>0.95747117180006303</v>
      </c>
      <c r="P202" s="52">
        <v>12.1569248275547</v>
      </c>
    </row>
    <row r="203" spans="1:16" x14ac:dyDescent="0.15">
      <c r="A203" s="15">
        <v>4</v>
      </c>
      <c r="B203" s="15" t="s">
        <v>13</v>
      </c>
      <c r="C203" s="46" t="str">
        <f>IF(B203="Smartphone", "Electronics", IF(B203="Laptop", "Computing", IF(B203="Tablet", "Mobile", IF(B203="Smartwatch", "Wearables", IF(B203="Headphones", "Audio", "Photography")))))</f>
        <v>Wearables</v>
      </c>
      <c r="D203" s="47">
        <v>44470</v>
      </c>
      <c r="E203" s="48" t="str">
        <f t="shared" si="3"/>
        <v>Spring</v>
      </c>
      <c r="F203" s="15">
        <v>9</v>
      </c>
      <c r="G203" s="15">
        <v>454</v>
      </c>
      <c r="H203" s="46">
        <f>F203+G203</f>
        <v>463</v>
      </c>
      <c r="I203" s="15">
        <v>325</v>
      </c>
      <c r="J203" s="15">
        <v>129</v>
      </c>
      <c r="K203" s="63">
        <f>F203+G203-I203</f>
        <v>138</v>
      </c>
      <c r="L203" s="63">
        <f>J203-K203</f>
        <v>-9</v>
      </c>
      <c r="M203" s="51">
        <f>I203/((F203+J203)/2)</f>
        <v>4.7101449275362315</v>
      </c>
      <c r="N203" s="15">
        <v>4</v>
      </c>
      <c r="O203" s="15">
        <v>0.92865660263462402</v>
      </c>
      <c r="P203" s="52">
        <v>38.403486457617298</v>
      </c>
    </row>
    <row r="204" spans="1:16" x14ac:dyDescent="0.15">
      <c r="A204" s="15">
        <v>5</v>
      </c>
      <c r="B204" s="15" t="s">
        <v>14</v>
      </c>
      <c r="C204" s="46" t="str">
        <f>IF(B204="Smartphone", "Electronics", IF(B204="Laptop", "Computing", IF(B204="Tablet", "Mobile", IF(B204="Smartwatch", "Wearables", IF(B204="Headphones", "Audio", "Photography")))))</f>
        <v>Audio</v>
      </c>
      <c r="D204" s="47">
        <v>44470</v>
      </c>
      <c r="E204" s="48" t="str">
        <f t="shared" si="3"/>
        <v>Spring</v>
      </c>
      <c r="F204" s="15">
        <v>3</v>
      </c>
      <c r="G204" s="15">
        <v>74</v>
      </c>
      <c r="H204" s="46">
        <f>F204+G204</f>
        <v>77</v>
      </c>
      <c r="I204" s="15">
        <v>73</v>
      </c>
      <c r="J204" s="15">
        <v>1</v>
      </c>
      <c r="K204" s="63">
        <f>F204+G204-I204</f>
        <v>4</v>
      </c>
      <c r="L204" s="63">
        <f>J204-K204</f>
        <v>-3</v>
      </c>
      <c r="M204" s="51">
        <f>I204/((F204+J204)/2)</f>
        <v>36.5</v>
      </c>
      <c r="N204" s="15">
        <v>20</v>
      </c>
      <c r="O204" s="15">
        <v>0.93364431081587196</v>
      </c>
      <c r="P204" s="52">
        <v>35.008653059620599</v>
      </c>
    </row>
    <row r="205" spans="1:16" x14ac:dyDescent="0.15">
      <c r="A205" s="15">
        <v>6</v>
      </c>
      <c r="B205" s="15" t="s">
        <v>15</v>
      </c>
      <c r="C205" s="46" t="str">
        <f>IF(B205="Smartphone", "Electronics", IF(B205="Laptop", "Computing", IF(B205="Tablet", "Mobile", IF(B205="Smartwatch", "Wearables", IF(B205="Headphones", "Audio", "Photography")))))</f>
        <v>Photography</v>
      </c>
      <c r="D205" s="47">
        <v>44470</v>
      </c>
      <c r="E205" s="48" t="str">
        <f t="shared" si="3"/>
        <v>Spring</v>
      </c>
      <c r="F205" s="15">
        <v>129</v>
      </c>
      <c r="G205" s="15">
        <v>128</v>
      </c>
      <c r="H205" s="46">
        <f>F205+G205</f>
        <v>257</v>
      </c>
      <c r="I205" s="15">
        <v>243</v>
      </c>
      <c r="J205" s="15">
        <v>71</v>
      </c>
      <c r="K205" s="63">
        <f>F205+G205-I205</f>
        <v>14</v>
      </c>
      <c r="L205" s="63">
        <f>J205-K205</f>
        <v>57</v>
      </c>
      <c r="M205" s="51">
        <f>I205/((F205+J205)/2)</f>
        <v>2.4300000000000002</v>
      </c>
      <c r="N205" s="15">
        <v>16</v>
      </c>
      <c r="O205" s="15">
        <v>0.89177917797693096</v>
      </c>
      <c r="P205" s="52">
        <v>10.162026533108699</v>
      </c>
    </row>
    <row r="206" spans="1:16" x14ac:dyDescent="0.15">
      <c r="A206" s="15">
        <v>1</v>
      </c>
      <c r="B206" s="15" t="s">
        <v>10</v>
      </c>
      <c r="C206" s="46" t="str">
        <f>IF(B206="Smartphone", "Electronics", IF(B206="Laptop", "Computing", IF(B206="Tablet", "Mobile", IF(B206="Smartwatch", "Wearables", IF(B206="Headphones", "Audio", "Photography")))))</f>
        <v>Electronics</v>
      </c>
      <c r="D206" s="47">
        <v>44501</v>
      </c>
      <c r="E206" s="48" t="str">
        <f t="shared" si="3"/>
        <v>Spring</v>
      </c>
      <c r="F206" s="15">
        <v>21</v>
      </c>
      <c r="G206" s="15">
        <v>117</v>
      </c>
      <c r="H206" s="46">
        <f>F206+G206</f>
        <v>138</v>
      </c>
      <c r="I206" s="15">
        <v>84</v>
      </c>
      <c r="J206" s="15">
        <v>33</v>
      </c>
      <c r="K206" s="63">
        <f>F206+G206-I206</f>
        <v>54</v>
      </c>
      <c r="L206" s="63">
        <f>J206-K206</f>
        <v>-21</v>
      </c>
      <c r="M206" s="51">
        <f>I206/((F206+J206)/2)</f>
        <v>3.1111111111111112</v>
      </c>
      <c r="N206" s="15">
        <v>15</v>
      </c>
      <c r="O206" s="15">
        <v>0.91860843407360404</v>
      </c>
      <c r="P206" s="52">
        <v>86.868711900739399</v>
      </c>
    </row>
    <row r="207" spans="1:16" x14ac:dyDescent="0.15">
      <c r="A207" s="15">
        <v>2</v>
      </c>
      <c r="B207" s="15" t="s">
        <v>11</v>
      </c>
      <c r="C207" s="46" t="str">
        <f>IF(B207="Smartphone", "Electronics", IF(B207="Laptop", "Computing", IF(B207="Tablet", "Mobile", IF(B207="Smartwatch", "Wearables", IF(B207="Headphones", "Audio", "Photography")))))</f>
        <v>Computing</v>
      </c>
      <c r="D207" s="47">
        <v>44501</v>
      </c>
      <c r="E207" s="48" t="str">
        <f t="shared" si="3"/>
        <v>Spring</v>
      </c>
      <c r="F207" s="15">
        <v>59</v>
      </c>
      <c r="G207" s="15">
        <v>222</v>
      </c>
      <c r="H207" s="46">
        <f>F207+G207</f>
        <v>281</v>
      </c>
      <c r="I207" s="15">
        <v>166</v>
      </c>
      <c r="J207" s="15">
        <v>73</v>
      </c>
      <c r="K207" s="63">
        <f>F207+G207-I207</f>
        <v>115</v>
      </c>
      <c r="L207" s="63">
        <f>J207-K207</f>
        <v>-42</v>
      </c>
      <c r="M207" s="51">
        <f>I207/((F207+J207)/2)</f>
        <v>2.5151515151515151</v>
      </c>
      <c r="N207" s="15">
        <v>27</v>
      </c>
      <c r="O207" s="15">
        <v>0.87062510925141201</v>
      </c>
      <c r="P207" s="52">
        <v>16.941834846070499</v>
      </c>
    </row>
    <row r="208" spans="1:16" x14ac:dyDescent="0.15">
      <c r="A208" s="15">
        <v>3</v>
      </c>
      <c r="B208" s="15" t="s">
        <v>12</v>
      </c>
      <c r="C208" s="46" t="str">
        <f>IF(B208="Smartphone", "Electronics", IF(B208="Laptop", "Computing", IF(B208="Tablet", "Mobile", IF(B208="Smartwatch", "Wearables", IF(B208="Headphones", "Audio", "Photography")))))</f>
        <v>Mobile</v>
      </c>
      <c r="D208" s="47">
        <v>44501</v>
      </c>
      <c r="E208" s="48" t="str">
        <f t="shared" si="3"/>
        <v>Spring</v>
      </c>
      <c r="F208" s="15">
        <v>4</v>
      </c>
      <c r="G208" s="15">
        <v>493</v>
      </c>
      <c r="H208" s="46">
        <f>F208+G208</f>
        <v>497</v>
      </c>
      <c r="I208" s="15">
        <v>197</v>
      </c>
      <c r="J208" s="15">
        <v>346</v>
      </c>
      <c r="K208" s="63">
        <f>F208+G208-I208</f>
        <v>300</v>
      </c>
      <c r="L208" s="63">
        <f>J208-K208</f>
        <v>46</v>
      </c>
      <c r="M208" s="51">
        <f>I208/((F208+J208)/2)</f>
        <v>1.1257142857142857</v>
      </c>
      <c r="N208" s="15">
        <v>15</v>
      </c>
      <c r="O208" s="15">
        <v>0.88282944502060101</v>
      </c>
      <c r="P208" s="52">
        <v>171.95325993788401</v>
      </c>
    </row>
    <row r="209" spans="1:16" x14ac:dyDescent="0.15">
      <c r="A209" s="15">
        <v>4</v>
      </c>
      <c r="B209" s="15" t="s">
        <v>13</v>
      </c>
      <c r="C209" s="46" t="str">
        <f>IF(B209="Smartphone", "Electronics", IF(B209="Laptop", "Computing", IF(B209="Tablet", "Mobile", IF(B209="Smartwatch", "Wearables", IF(B209="Headphones", "Audio", "Photography")))))</f>
        <v>Wearables</v>
      </c>
      <c r="D209" s="47">
        <v>44501</v>
      </c>
      <c r="E209" s="48" t="str">
        <f t="shared" si="3"/>
        <v>Spring</v>
      </c>
      <c r="F209" s="15">
        <v>46</v>
      </c>
      <c r="G209" s="15">
        <v>61</v>
      </c>
      <c r="H209" s="46">
        <f>F209+G209</f>
        <v>107</v>
      </c>
      <c r="I209" s="15">
        <v>85</v>
      </c>
      <c r="J209" s="15">
        <v>89</v>
      </c>
      <c r="K209" s="63">
        <f>F209+G209-I209</f>
        <v>22</v>
      </c>
      <c r="L209" s="63">
        <f>J209-K209</f>
        <v>67</v>
      </c>
      <c r="M209" s="51">
        <f>I209/((F209+J209)/2)</f>
        <v>1.2592592592592593</v>
      </c>
      <c r="N209" s="15">
        <v>6</v>
      </c>
      <c r="O209" s="15">
        <v>0.99823475239844495</v>
      </c>
      <c r="P209" s="52">
        <v>44.038389136708197</v>
      </c>
    </row>
    <row r="210" spans="1:16" x14ac:dyDescent="0.15">
      <c r="A210" s="15">
        <v>5</v>
      </c>
      <c r="B210" s="15" t="s">
        <v>14</v>
      </c>
      <c r="C210" s="46" t="str">
        <f>IF(B210="Smartphone", "Electronics", IF(B210="Laptop", "Computing", IF(B210="Tablet", "Mobile", IF(B210="Smartwatch", "Wearables", IF(B210="Headphones", "Audio", "Photography")))))</f>
        <v>Audio</v>
      </c>
      <c r="D210" s="47">
        <v>44501</v>
      </c>
      <c r="E210" s="48" t="str">
        <f t="shared" si="3"/>
        <v>Spring</v>
      </c>
      <c r="F210" s="15">
        <v>99</v>
      </c>
      <c r="G210" s="15">
        <v>337</v>
      </c>
      <c r="H210" s="46">
        <f>F210+G210</f>
        <v>436</v>
      </c>
      <c r="I210" s="15">
        <v>290</v>
      </c>
      <c r="J210" s="15">
        <v>47</v>
      </c>
      <c r="K210" s="63">
        <f>F210+G210-I210</f>
        <v>146</v>
      </c>
      <c r="L210" s="63">
        <f>J210-K210</f>
        <v>-99</v>
      </c>
      <c r="M210" s="51">
        <f>I210/((F210+J210)/2)</f>
        <v>3.9726027397260273</v>
      </c>
      <c r="N210" s="15">
        <v>15</v>
      </c>
      <c r="O210" s="15">
        <v>0.85959032074747799</v>
      </c>
      <c r="P210" s="52">
        <v>27.6353524234245</v>
      </c>
    </row>
    <row r="211" spans="1:16" x14ac:dyDescent="0.15">
      <c r="A211" s="15">
        <v>6</v>
      </c>
      <c r="B211" s="15" t="s">
        <v>15</v>
      </c>
      <c r="C211" s="46" t="str">
        <f>IF(B211="Smartphone", "Electronics", IF(B211="Laptop", "Computing", IF(B211="Tablet", "Mobile", IF(B211="Smartwatch", "Wearables", IF(B211="Headphones", "Audio", "Photography")))))</f>
        <v>Photography</v>
      </c>
      <c r="D211" s="47">
        <v>44501</v>
      </c>
      <c r="E211" s="48" t="str">
        <f t="shared" si="3"/>
        <v>Spring</v>
      </c>
      <c r="F211" s="15">
        <v>36</v>
      </c>
      <c r="G211" s="15">
        <v>177</v>
      </c>
      <c r="H211" s="46">
        <f>F211+G211</f>
        <v>213</v>
      </c>
      <c r="I211" s="15">
        <v>164</v>
      </c>
      <c r="J211" s="15">
        <v>13</v>
      </c>
      <c r="K211" s="63">
        <f>F211+G211-I211</f>
        <v>49</v>
      </c>
      <c r="L211" s="63">
        <f>J211-K211</f>
        <v>-36</v>
      </c>
      <c r="M211" s="51">
        <f>I211/((F211+J211)/2)</f>
        <v>6.6938775510204085</v>
      </c>
      <c r="N211" s="15">
        <v>14</v>
      </c>
      <c r="O211" s="15">
        <v>0.90771585633181395</v>
      </c>
      <c r="P211" s="52">
        <v>41.542877780843703</v>
      </c>
    </row>
    <row r="212" spans="1:16" x14ac:dyDescent="0.15">
      <c r="A212" s="15">
        <v>1</v>
      </c>
      <c r="B212" s="15" t="s">
        <v>10</v>
      </c>
      <c r="C212" s="46" t="str">
        <f>IF(B212="Smartphone", "Electronics", IF(B212="Laptop", "Computing", IF(B212="Tablet", "Mobile", IF(B212="Smartwatch", "Wearables", IF(B212="Headphones", "Audio", "Photography")))))</f>
        <v>Electronics</v>
      </c>
      <c r="D212" s="47">
        <v>44531</v>
      </c>
      <c r="E212" s="48" t="str">
        <f t="shared" si="3"/>
        <v>Summer</v>
      </c>
      <c r="F212" s="15">
        <v>61</v>
      </c>
      <c r="G212" s="15">
        <v>145</v>
      </c>
      <c r="H212" s="46">
        <f>F212+G212</f>
        <v>206</v>
      </c>
      <c r="I212" s="15">
        <v>124</v>
      </c>
      <c r="J212" s="15">
        <v>21</v>
      </c>
      <c r="K212" s="63">
        <f>F212+G212-I212</f>
        <v>82</v>
      </c>
      <c r="L212" s="63">
        <f>J212-K212</f>
        <v>-61</v>
      </c>
      <c r="M212" s="51">
        <f>I212/((F212+J212)/2)</f>
        <v>3.024390243902439</v>
      </c>
      <c r="N212" s="15">
        <v>28</v>
      </c>
      <c r="O212" s="15">
        <v>0.90567345183577397</v>
      </c>
      <c r="P212" s="52">
        <v>42.640129015191597</v>
      </c>
    </row>
    <row r="213" spans="1:16" x14ac:dyDescent="0.15">
      <c r="A213" s="15">
        <v>2</v>
      </c>
      <c r="B213" s="15" t="s">
        <v>11</v>
      </c>
      <c r="C213" s="46" t="str">
        <f>IF(B213="Smartphone", "Electronics", IF(B213="Laptop", "Computing", IF(B213="Tablet", "Mobile", IF(B213="Smartwatch", "Wearables", IF(B213="Headphones", "Audio", "Photography")))))</f>
        <v>Computing</v>
      </c>
      <c r="D213" s="47">
        <v>44531</v>
      </c>
      <c r="E213" s="48" t="str">
        <f t="shared" si="3"/>
        <v>Summer</v>
      </c>
      <c r="F213" s="15">
        <v>62</v>
      </c>
      <c r="G213" s="15">
        <v>268</v>
      </c>
      <c r="H213" s="46">
        <f>F213+G213</f>
        <v>330</v>
      </c>
      <c r="I213" s="15">
        <v>79</v>
      </c>
      <c r="J213" s="15">
        <v>62</v>
      </c>
      <c r="K213" s="63">
        <f>F213+G213-I213</f>
        <v>251</v>
      </c>
      <c r="L213" s="63">
        <f>J213-K213</f>
        <v>-189</v>
      </c>
      <c r="M213" s="51">
        <f>I213/((F213+J213)/2)</f>
        <v>1.2741935483870968</v>
      </c>
      <c r="N213" s="15">
        <v>11</v>
      </c>
      <c r="O213" s="15">
        <v>0.88446227641095998</v>
      </c>
      <c r="P213" s="52">
        <v>62.443330706435802</v>
      </c>
    </row>
    <row r="214" spans="1:16" x14ac:dyDescent="0.15">
      <c r="A214" s="15">
        <v>3</v>
      </c>
      <c r="B214" s="15" t="s">
        <v>12</v>
      </c>
      <c r="C214" s="46" t="str">
        <f>IF(B214="Smartphone", "Electronics", IF(B214="Laptop", "Computing", IF(B214="Tablet", "Mobile", IF(B214="Smartwatch", "Wearables", IF(B214="Headphones", "Audio", "Photography")))))</f>
        <v>Mobile</v>
      </c>
      <c r="D214" s="47">
        <v>44531</v>
      </c>
      <c r="E214" s="48" t="str">
        <f t="shared" si="3"/>
        <v>Summer</v>
      </c>
      <c r="F214" s="15">
        <v>53</v>
      </c>
      <c r="G214" s="15">
        <v>190</v>
      </c>
      <c r="H214" s="46">
        <f>F214+G214</f>
        <v>243</v>
      </c>
      <c r="I214" s="15">
        <v>100</v>
      </c>
      <c r="J214" s="15">
        <v>90</v>
      </c>
      <c r="K214" s="63">
        <f>F214+G214-I214</f>
        <v>143</v>
      </c>
      <c r="L214" s="63">
        <f>J214-K214</f>
        <v>-53</v>
      </c>
      <c r="M214" s="51">
        <f>I214/((F214+J214)/2)</f>
        <v>1.3986013986013985</v>
      </c>
      <c r="N214" s="15">
        <v>7</v>
      </c>
      <c r="O214" s="15">
        <v>0.92572004682852205</v>
      </c>
      <c r="P214" s="52">
        <v>400.62786852270102</v>
      </c>
    </row>
    <row r="215" spans="1:16" x14ac:dyDescent="0.15">
      <c r="A215" s="15">
        <v>4</v>
      </c>
      <c r="B215" s="15" t="s">
        <v>13</v>
      </c>
      <c r="C215" s="46" t="str">
        <f>IF(B215="Smartphone", "Electronics", IF(B215="Laptop", "Computing", IF(B215="Tablet", "Mobile", IF(B215="Smartwatch", "Wearables", IF(B215="Headphones", "Audio", "Photography")))))</f>
        <v>Wearables</v>
      </c>
      <c r="D215" s="47">
        <v>44531</v>
      </c>
      <c r="E215" s="48" t="str">
        <f t="shared" si="3"/>
        <v>Summer</v>
      </c>
      <c r="F215" s="15">
        <v>15</v>
      </c>
      <c r="G215" s="15">
        <v>80</v>
      </c>
      <c r="H215" s="46">
        <f>F215+G215</f>
        <v>95</v>
      </c>
      <c r="I215" s="15">
        <v>132</v>
      </c>
      <c r="J215" s="15">
        <v>72</v>
      </c>
      <c r="K215" s="63">
        <f>F215+G215-I215</f>
        <v>-37</v>
      </c>
      <c r="L215" s="63">
        <f>J215-K215</f>
        <v>109</v>
      </c>
      <c r="M215" s="51">
        <f>I215/((F215+J215)/2)</f>
        <v>3.0344827586206895</v>
      </c>
      <c r="N215" s="15">
        <v>9</v>
      </c>
      <c r="O215" s="15">
        <v>0.92948610463706904</v>
      </c>
      <c r="P215" s="52">
        <v>119.737911352681</v>
      </c>
    </row>
    <row r="216" spans="1:16" x14ac:dyDescent="0.15">
      <c r="A216" s="15">
        <v>5</v>
      </c>
      <c r="B216" s="15" t="s">
        <v>14</v>
      </c>
      <c r="C216" s="46" t="str">
        <f>IF(B216="Smartphone", "Electronics", IF(B216="Laptop", "Computing", IF(B216="Tablet", "Mobile", IF(B216="Smartwatch", "Wearables", IF(B216="Headphones", "Audio", "Photography")))))</f>
        <v>Audio</v>
      </c>
      <c r="D216" s="47">
        <v>44531</v>
      </c>
      <c r="E216" s="48" t="str">
        <f t="shared" si="3"/>
        <v>Summer</v>
      </c>
      <c r="F216" s="15">
        <v>33</v>
      </c>
      <c r="G216" s="15">
        <v>383</v>
      </c>
      <c r="H216" s="46">
        <f>F216+G216</f>
        <v>416</v>
      </c>
      <c r="I216" s="15">
        <v>378</v>
      </c>
      <c r="J216" s="15">
        <v>5</v>
      </c>
      <c r="K216" s="63">
        <f>F216+G216-I216</f>
        <v>38</v>
      </c>
      <c r="L216" s="63">
        <f>J216-K216</f>
        <v>-33</v>
      </c>
      <c r="M216" s="51">
        <f>I216/((F216+J216)/2)</f>
        <v>19.894736842105264</v>
      </c>
      <c r="N216" s="15">
        <v>26</v>
      </c>
      <c r="O216" s="15">
        <v>0.853709040842621</v>
      </c>
      <c r="P216" s="52">
        <v>49.521782892855697</v>
      </c>
    </row>
    <row r="217" spans="1:16" x14ac:dyDescent="0.15">
      <c r="A217" s="15">
        <v>6</v>
      </c>
      <c r="B217" s="15" t="s">
        <v>15</v>
      </c>
      <c r="C217" s="46" t="str">
        <f>IF(B217="Smartphone", "Electronics", IF(B217="Laptop", "Computing", IF(B217="Tablet", "Mobile", IF(B217="Smartwatch", "Wearables", IF(B217="Headphones", "Audio", "Photography")))))</f>
        <v>Photography</v>
      </c>
      <c r="D217" s="47">
        <v>44531</v>
      </c>
      <c r="E217" s="48" t="str">
        <f t="shared" si="3"/>
        <v>Summer</v>
      </c>
      <c r="F217" s="15">
        <v>376</v>
      </c>
      <c r="G217" s="15">
        <v>69</v>
      </c>
      <c r="H217" s="46">
        <f>F217+G217</f>
        <v>445</v>
      </c>
      <c r="I217" s="15">
        <v>461</v>
      </c>
      <c r="J217" s="15">
        <v>108</v>
      </c>
      <c r="K217" s="63">
        <f>F217+G217-I217</f>
        <v>-16</v>
      </c>
      <c r="L217" s="63">
        <f>J217-K217</f>
        <v>124</v>
      </c>
      <c r="M217" s="51">
        <f>I217/((F217+J217)/2)</f>
        <v>1.9049586776859504</v>
      </c>
      <c r="N217" s="15">
        <v>16</v>
      </c>
      <c r="O217" s="15">
        <v>0.90506783557732695</v>
      </c>
      <c r="P217" s="52">
        <v>93.844434067556605</v>
      </c>
    </row>
  </sheetData>
  <autoFilter ref="A1:P217" xr:uid="{00000000-0001-0000-0000-000000000000}">
    <sortState xmlns:xlrd2="http://schemas.microsoft.com/office/spreadsheetml/2017/richdata2" ref="A2:P217">
      <sortCondition ref="D1:D217"/>
    </sortState>
  </autoFilter>
  <dataValidations count="1">
    <dataValidation type="decimal" allowBlank="1" showInputMessage="1" showErrorMessage="1" sqref="O1:O1048576" xr:uid="{196CEC6C-75CF-0241-AA1D-75317BC585C3}">
      <formula1>0.8</formula1>
      <formula2>1</formula2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4968-393B-5440-AEF7-F7D2ECC05F1C}">
  <sheetPr>
    <tabColor rgb="FF7030A0"/>
  </sheetPr>
  <dimension ref="A1:AH217"/>
  <sheetViews>
    <sheetView topLeftCell="T1" zoomScale="130" zoomScaleNormal="130" workbookViewId="0">
      <pane ySplit="1" topLeftCell="A2" activePane="bottomLeft" state="frozen"/>
      <selection pane="bottomLeft" activeCell="AB2" sqref="AB2"/>
    </sheetView>
  </sheetViews>
  <sheetFormatPr baseColWidth="10" defaultColWidth="8.83203125" defaultRowHeight="14" x14ac:dyDescent="0.15"/>
  <cols>
    <col min="1" max="1" width="3.6640625" style="15" customWidth="1"/>
    <col min="2" max="2" width="11.1640625" style="15" customWidth="1"/>
    <col min="3" max="3" width="11.1640625" style="15" hidden="1" customWidth="1"/>
    <col min="4" max="5" width="7" style="15" hidden="1" customWidth="1"/>
    <col min="6" max="6" width="11.6640625" style="15" customWidth="1"/>
    <col min="7" max="7" width="12.5" style="15" bestFit="1" customWidth="1"/>
    <col min="8" max="8" width="9" style="41" customWidth="1"/>
    <col min="9" max="9" width="7.5" style="41" customWidth="1"/>
    <col min="10" max="10" width="7.83203125" style="41" customWidth="1"/>
    <col min="11" max="12" width="8.83203125" style="15" hidden="1" customWidth="1"/>
    <col min="13" max="16" width="9.6640625" style="15" hidden="1" customWidth="1"/>
    <col min="17" max="17" width="9.1640625" style="15" hidden="1" customWidth="1"/>
    <col min="18" max="18" width="12.83203125" style="15" hidden="1" customWidth="1"/>
    <col min="19" max="19" width="0.33203125" style="52" hidden="1" customWidth="1"/>
    <col min="20" max="20" width="3.33203125" style="15" customWidth="1"/>
    <col min="21" max="21" width="8.1640625" style="53" bestFit="1" customWidth="1"/>
    <col min="22" max="22" width="12" style="53" bestFit="1" customWidth="1"/>
    <col min="23" max="23" width="7.6640625" style="53" bestFit="1" customWidth="1"/>
    <col min="24" max="24" width="12" style="53" bestFit="1" customWidth="1"/>
    <col min="25" max="25" width="11.83203125" style="53" bestFit="1" customWidth="1"/>
    <col min="26" max="26" width="6.83203125" style="53" bestFit="1" customWidth="1"/>
    <col min="27" max="27" width="3.33203125" style="15" customWidth="1"/>
    <col min="28" max="28" width="15.83203125" style="15" customWidth="1"/>
    <col min="29" max="29" width="12.33203125" style="15" bestFit="1" customWidth="1"/>
    <col min="30" max="30" width="11.1640625" style="15" bestFit="1" customWidth="1"/>
    <col min="31" max="31" width="13" style="15" bestFit="1" customWidth="1"/>
    <col min="32" max="32" width="12.5" style="15" bestFit="1" customWidth="1"/>
    <col min="33" max="34" width="12.33203125" style="15" bestFit="1" customWidth="1"/>
    <col min="35" max="16384" width="8.83203125" style="15"/>
  </cols>
  <sheetData>
    <row r="1" spans="1:34" ht="46" x14ac:dyDescent="0.2">
      <c r="A1" s="56" t="s">
        <v>0</v>
      </c>
      <c r="B1" s="56" t="s">
        <v>1</v>
      </c>
      <c r="C1" s="57" t="s">
        <v>31</v>
      </c>
      <c r="D1" s="56" t="s">
        <v>2</v>
      </c>
      <c r="E1" s="57" t="s">
        <v>33</v>
      </c>
      <c r="F1" s="56" t="s">
        <v>3</v>
      </c>
      <c r="G1" s="56" t="s">
        <v>4</v>
      </c>
      <c r="H1" s="44" t="s">
        <v>30</v>
      </c>
      <c r="I1" s="54" t="s">
        <v>80</v>
      </c>
      <c r="J1" s="62" t="s">
        <v>81</v>
      </c>
      <c r="K1" s="56" t="s">
        <v>5</v>
      </c>
      <c r="L1" s="56" t="s">
        <v>79</v>
      </c>
      <c r="M1" s="56" t="s">
        <v>6</v>
      </c>
      <c r="N1" s="58" t="s">
        <v>66</v>
      </c>
      <c r="O1" s="58" t="s">
        <v>65</v>
      </c>
      <c r="P1" s="45" t="s">
        <v>32</v>
      </c>
      <c r="Q1" s="59" t="s">
        <v>7</v>
      </c>
      <c r="R1" s="59" t="s">
        <v>8</v>
      </c>
      <c r="S1" s="60" t="s">
        <v>9</v>
      </c>
      <c r="T1" s="61"/>
      <c r="U1" s="25" t="s">
        <v>15</v>
      </c>
      <c r="V1" s="25" t="s">
        <v>14</v>
      </c>
      <c r="W1" s="25" t="s">
        <v>11</v>
      </c>
      <c r="X1" s="25" t="s">
        <v>10</v>
      </c>
      <c r="Y1" s="25" t="s">
        <v>13</v>
      </c>
      <c r="Z1" s="25" t="s">
        <v>12</v>
      </c>
    </row>
    <row r="2" spans="1:34" x14ac:dyDescent="0.15">
      <c r="A2" s="15">
        <v>1</v>
      </c>
      <c r="B2" s="15" t="s">
        <v>10</v>
      </c>
      <c r="C2" s="46" t="str">
        <f>IF(B2="Smartphone", "Electronics", IF(B2="Laptop", "Computing", IF(B2="Tablet", "Mobile", IF(B2="Smartwatch", "Wearables", IF(B2="Headphones", "Audio", "Photography")))))</f>
        <v>Electronics</v>
      </c>
      <c r="D2" s="47">
        <v>43466</v>
      </c>
      <c r="E2" s="48" t="str">
        <f>IF(OR(MONTH(D2)=9, MONTH(D2)=10, MONTH(D2)=11), "Spring",
 IF(OR(MONTH(D2)=12, MONTH(D2)=1, MONTH(D2)=2), "Summer",
 IF(OR(MONTH(D2)=3, MONTH(D2)=4, MONTH(D2)=5), "Autumn",
 IF(OR(MONTH(D2)=6, MONTH(D2)=7, MONTH(D2)=8), "Winter", "Unknown"
))))</f>
        <v>Summer</v>
      </c>
      <c r="F2" s="15">
        <v>75</v>
      </c>
      <c r="G2" s="15">
        <v>60</v>
      </c>
      <c r="H2" s="46">
        <f>F2+G2</f>
        <v>135</v>
      </c>
      <c r="I2" s="49">
        <v>258</v>
      </c>
      <c r="J2" s="46">
        <f>H2-I2</f>
        <v>-123</v>
      </c>
      <c r="K2" s="15">
        <v>0</v>
      </c>
      <c r="L2" s="15">
        <f>H2-K2</f>
        <v>135</v>
      </c>
      <c r="M2" s="15">
        <v>61</v>
      </c>
      <c r="N2" s="50" t="e">
        <f>IF(B2="Camera",#REF!, IF(B2="Headphones",#REF!, IF(B2="Laptop",#REF!, IF(B2="Smartphone",#REF!, IF(B2="Smartwatch",#REF!,#REF!)))))</f>
        <v>#REF!</v>
      </c>
      <c r="O2" s="50" t="e">
        <f>M2-N2</f>
        <v>#REF!</v>
      </c>
      <c r="P2" s="51">
        <f>K2/((F2+M2)/2)</f>
        <v>0</v>
      </c>
      <c r="Q2" s="15">
        <v>20</v>
      </c>
      <c r="R2" s="15">
        <v>0.8</v>
      </c>
      <c r="S2" s="52">
        <v>187.58180521852</v>
      </c>
      <c r="U2" s="41">
        <v>-221</v>
      </c>
      <c r="V2" s="41">
        <v>-133</v>
      </c>
      <c r="W2" s="41">
        <v>117</v>
      </c>
      <c r="X2" s="41">
        <v>-123</v>
      </c>
      <c r="Y2" s="41">
        <v>-22</v>
      </c>
      <c r="Z2" s="41">
        <v>-151</v>
      </c>
    </row>
    <row r="3" spans="1:34" x14ac:dyDescent="0.15">
      <c r="A3" s="15">
        <v>2</v>
      </c>
      <c r="B3" s="15" t="s">
        <v>11</v>
      </c>
      <c r="C3" s="46" t="str">
        <f>IF(B3="Smartphone", "Electronics", IF(B3="Laptop", "Computing", IF(B3="Tablet", "Mobile", IF(B3="Smartwatch", "Wearables", IF(B3="Headphones", "Audio", "Photography")))))</f>
        <v>Computing</v>
      </c>
      <c r="D3" s="47">
        <v>43466</v>
      </c>
      <c r="E3" s="48" t="str">
        <f>IF(OR(MONTH(D3)=9, MONTH(D3)=10, MONTH(D3)=11), "Spring",
 IF(OR(MONTH(D3)=12, MONTH(D3)=1, MONTH(D3)=2), "Summer",
 IF(OR(MONTH(D3)=3, MONTH(D3)=4, MONTH(D3)=5), "Autumn",
 IF(OR(MONTH(D3)=6, MONTH(D3)=7, MONTH(D3)=8), "Winter", "Unknown"
))))</f>
        <v>Summer</v>
      </c>
      <c r="F3" s="15">
        <v>47</v>
      </c>
      <c r="G3" s="15">
        <v>187</v>
      </c>
      <c r="H3" s="46">
        <f>F3+G3</f>
        <v>234</v>
      </c>
      <c r="I3" s="49">
        <v>117</v>
      </c>
      <c r="J3" s="46">
        <f t="shared" ref="J3:J66" si="0">H3-I3</f>
        <v>117</v>
      </c>
      <c r="K3" s="15">
        <v>117</v>
      </c>
      <c r="L3" s="15">
        <f>H3-K3</f>
        <v>117</v>
      </c>
      <c r="M3" s="15">
        <v>70</v>
      </c>
      <c r="N3" s="50" t="e">
        <f>IF(B3="Camera",#REF!, IF(B3="Headphones",#REF!, IF(B3="Laptop",#REF!, IF(B3="Smartphone",#REF!, IF(B3="Smartwatch",#REF!,#REF!)))))</f>
        <v>#REF!</v>
      </c>
      <c r="O3" s="50" t="e">
        <f>M3-N3</f>
        <v>#REF!</v>
      </c>
      <c r="P3" s="51">
        <f>K3/((F3+M3)/2)</f>
        <v>2</v>
      </c>
      <c r="Q3" s="15">
        <v>21</v>
      </c>
      <c r="R3" s="15">
        <v>0.91672496008890603</v>
      </c>
      <c r="S3" s="52">
        <v>381.10319774690299</v>
      </c>
      <c r="U3" s="41">
        <v>-282</v>
      </c>
      <c r="V3" s="41">
        <v>-277</v>
      </c>
      <c r="W3" s="41">
        <v>188</v>
      </c>
      <c r="X3" s="41">
        <v>-72</v>
      </c>
      <c r="Y3" s="41">
        <v>-391</v>
      </c>
      <c r="Z3" s="41">
        <v>-109</v>
      </c>
      <c r="AB3" s="15" t="s">
        <v>34</v>
      </c>
    </row>
    <row r="4" spans="1:34" x14ac:dyDescent="0.15">
      <c r="A4" s="15">
        <v>3</v>
      </c>
      <c r="B4" s="15" t="s">
        <v>12</v>
      </c>
      <c r="C4" s="46" t="str">
        <f>IF(B4="Smartphone", "Electronics", IF(B4="Laptop", "Computing", IF(B4="Tablet", "Mobile", IF(B4="Smartwatch", "Wearables", IF(B4="Headphones", "Audio", "Photography")))))</f>
        <v>Mobile</v>
      </c>
      <c r="D4" s="47">
        <v>43466</v>
      </c>
      <c r="E4" s="48" t="str">
        <f>IF(OR(MONTH(D4)=9, MONTH(D4)=10, MONTH(D4)=11), "Spring",
 IF(OR(MONTH(D4)=12, MONTH(D4)=1, MONTH(D4)=2), "Summer",
 IF(OR(MONTH(D4)=3, MONTH(D4)=4, MONTH(D4)=5), "Autumn",
 IF(OR(MONTH(D4)=6, MONTH(D4)=7, MONTH(D4)=8), "Winter", "Unknown"
))))</f>
        <v>Summer</v>
      </c>
      <c r="F4" s="15">
        <v>92</v>
      </c>
      <c r="G4" s="15">
        <v>127</v>
      </c>
      <c r="H4" s="46">
        <f>F4+G4</f>
        <v>219</v>
      </c>
      <c r="I4" s="49">
        <v>370</v>
      </c>
      <c r="J4" s="46">
        <f t="shared" si="0"/>
        <v>-151</v>
      </c>
      <c r="K4" s="15">
        <v>67</v>
      </c>
      <c r="L4" s="15">
        <f>H4-K4</f>
        <v>152</v>
      </c>
      <c r="M4" s="15">
        <v>60</v>
      </c>
      <c r="N4" s="50" t="e">
        <f>IF(B4="Camera",#REF!, IF(B4="Headphones",#REF!, IF(B4="Laptop",#REF!, IF(B4="Smartphone",#REF!, IF(B4="Smartwatch",#REF!,#REF!)))))</f>
        <v>#REF!</v>
      </c>
      <c r="O4" s="50" t="e">
        <f>M4-N4</f>
        <v>#REF!</v>
      </c>
      <c r="P4" s="51">
        <f>K4/((F4+M4)/2)</f>
        <v>0.88157894736842102</v>
      </c>
      <c r="Q4" s="15">
        <v>12</v>
      </c>
      <c r="R4" s="15">
        <v>0.92182125647465396</v>
      </c>
      <c r="S4" s="52">
        <v>81.324925670598702</v>
      </c>
      <c r="U4" s="41">
        <v>342</v>
      </c>
      <c r="V4" s="41">
        <v>-822</v>
      </c>
      <c r="W4" s="41">
        <v>-45</v>
      </c>
      <c r="X4" s="41">
        <v>125</v>
      </c>
      <c r="Y4" s="41">
        <v>-117</v>
      </c>
      <c r="Z4" s="41">
        <v>-410</v>
      </c>
    </row>
    <row r="5" spans="1:34" ht="15" thickBot="1" x14ac:dyDescent="0.2">
      <c r="A5" s="15">
        <v>4</v>
      </c>
      <c r="B5" s="15" t="s">
        <v>13</v>
      </c>
      <c r="C5" s="46" t="str">
        <f>IF(B5="Smartphone", "Electronics", IF(B5="Laptop", "Computing", IF(B5="Tablet", "Mobile", IF(B5="Smartwatch", "Wearables", IF(B5="Headphones", "Audio", "Photography")))))</f>
        <v>Wearables</v>
      </c>
      <c r="D5" s="47">
        <v>43466</v>
      </c>
      <c r="E5" s="48" t="str">
        <f>IF(OR(MONTH(D5)=9, MONTH(D5)=10, MONTH(D5)=11), "Spring",
 IF(OR(MONTH(D5)=12, MONTH(D5)=1, MONTH(D5)=2), "Summer",
 IF(OR(MONTH(D5)=3, MONTH(D5)=4, MONTH(D5)=5), "Autumn",
 IF(OR(MONTH(D5)=6, MONTH(D5)=7, MONTH(D5)=8), "Winter", "Unknown"
))))</f>
        <v>Summer</v>
      </c>
      <c r="F5" s="15">
        <v>87</v>
      </c>
      <c r="G5" s="15">
        <v>126</v>
      </c>
      <c r="H5" s="46">
        <f>F5+G5</f>
        <v>213</v>
      </c>
      <c r="I5" s="49">
        <v>235</v>
      </c>
      <c r="J5" s="46">
        <f t="shared" si="0"/>
        <v>-22</v>
      </c>
      <c r="K5" s="15">
        <v>64</v>
      </c>
      <c r="L5" s="15">
        <f>H5-K5</f>
        <v>149</v>
      </c>
      <c r="M5" s="15">
        <v>62</v>
      </c>
      <c r="N5" s="50" t="e">
        <f>IF(B5="Camera",#REF!, IF(B5="Headphones",#REF!, IF(B5="Laptop",#REF!, IF(B5="Smartphone",#REF!, IF(B5="Smartwatch",#REF!,#REF!)))))</f>
        <v>#REF!</v>
      </c>
      <c r="O5" s="50" t="e">
        <f>M5-N5</f>
        <v>#REF!</v>
      </c>
      <c r="P5" s="51">
        <f>K5/((F5+M5)/2)</f>
        <v>0.85906040268456374</v>
      </c>
      <c r="Q5" s="15">
        <v>19</v>
      </c>
      <c r="R5" s="15">
        <v>0.96631710989936104</v>
      </c>
      <c r="S5" s="52">
        <v>261.07931804674803</v>
      </c>
      <c r="U5" s="41">
        <v>-387</v>
      </c>
      <c r="V5" s="41">
        <v>-207</v>
      </c>
      <c r="W5" s="41">
        <v>-406</v>
      </c>
      <c r="X5" s="41">
        <v>-18</v>
      </c>
      <c r="Y5" s="41">
        <v>-104</v>
      </c>
      <c r="Z5" s="41">
        <v>-130</v>
      </c>
      <c r="AB5" s="15" t="s">
        <v>35</v>
      </c>
    </row>
    <row r="6" spans="1:34" x14ac:dyDescent="0.15">
      <c r="A6" s="15">
        <v>5</v>
      </c>
      <c r="B6" s="15" t="s">
        <v>14</v>
      </c>
      <c r="C6" s="46" t="str">
        <f>IF(B6="Smartphone", "Electronics", IF(B6="Laptop", "Computing", IF(B6="Tablet", "Mobile", IF(B6="Smartwatch", "Wearables", IF(B6="Headphones", "Audio", "Photography")))))</f>
        <v>Audio</v>
      </c>
      <c r="D6" s="47">
        <v>43466</v>
      </c>
      <c r="E6" s="48" t="str">
        <f>IF(OR(MONTH(D6)=9, MONTH(D6)=10, MONTH(D6)=11), "Spring",
 IF(OR(MONTH(D6)=12, MONTH(D6)=1, MONTH(D6)=2), "Summer",
 IF(OR(MONTH(D6)=3, MONTH(D6)=4, MONTH(D6)=5), "Autumn",
 IF(OR(MONTH(D6)=6, MONTH(D6)=7, MONTH(D6)=8), "Winter", "Unknown"
))))</f>
        <v>Summer</v>
      </c>
      <c r="F6" s="15">
        <v>7</v>
      </c>
      <c r="G6" s="15">
        <v>490</v>
      </c>
      <c r="H6" s="46">
        <f>F6+G6</f>
        <v>497</v>
      </c>
      <c r="I6" s="49">
        <v>630</v>
      </c>
      <c r="J6" s="46">
        <f t="shared" si="0"/>
        <v>-133</v>
      </c>
      <c r="K6" s="15">
        <v>417</v>
      </c>
      <c r="L6" s="15">
        <f>H6-K6</f>
        <v>80</v>
      </c>
      <c r="M6" s="15">
        <v>73</v>
      </c>
      <c r="N6" s="50" t="e">
        <f>IF(B6="Camera",#REF!, IF(B6="Headphones",#REF!, IF(B6="Laptop",#REF!, IF(B6="Smartphone",#REF!, IF(B6="Smartwatch",#REF!,#REF!)))))</f>
        <v>#REF!</v>
      </c>
      <c r="O6" s="50" t="e">
        <f>M6-N6</f>
        <v>#REF!</v>
      </c>
      <c r="P6" s="51">
        <f>K6/((F6+M6)/2)</f>
        <v>10.425000000000001</v>
      </c>
      <c r="Q6" s="15">
        <v>14</v>
      </c>
      <c r="R6" s="15">
        <v>0.96110616511865199</v>
      </c>
      <c r="S6" s="52">
        <v>128.48638734773601</v>
      </c>
      <c r="U6" s="41">
        <v>-343</v>
      </c>
      <c r="V6" s="41">
        <v>-506</v>
      </c>
      <c r="W6" s="41">
        <v>-318</v>
      </c>
      <c r="X6" s="41">
        <v>-544</v>
      </c>
      <c r="Y6" s="41">
        <v>-358</v>
      </c>
      <c r="Z6" s="41">
        <v>-42</v>
      </c>
      <c r="AB6" s="38" t="s">
        <v>36</v>
      </c>
      <c r="AC6" s="38" t="s">
        <v>37</v>
      </c>
      <c r="AD6" s="38" t="s">
        <v>38</v>
      </c>
      <c r="AE6" s="38" t="s">
        <v>39</v>
      </c>
      <c r="AF6" s="38" t="s">
        <v>40</v>
      </c>
    </row>
    <row r="7" spans="1:34" x14ac:dyDescent="0.15">
      <c r="A7" s="15">
        <v>6</v>
      </c>
      <c r="B7" s="15" t="s">
        <v>15</v>
      </c>
      <c r="C7" s="46" t="str">
        <f>IF(B7="Smartphone", "Electronics", IF(B7="Laptop", "Computing", IF(B7="Tablet", "Mobile", IF(B7="Smartwatch", "Wearables", IF(B7="Headphones", "Audio", "Photography")))))</f>
        <v>Photography</v>
      </c>
      <c r="D7" s="47">
        <v>43466</v>
      </c>
      <c r="E7" s="48" t="str">
        <f>IF(OR(MONTH(D7)=9, MONTH(D7)=10, MONTH(D7)=11), "Spring",
 IF(OR(MONTH(D7)=12, MONTH(D7)=1, MONTH(D7)=2), "Summer",
 IF(OR(MONTH(D7)=3, MONTH(D7)=4, MONTH(D7)=5), "Autumn",
 IF(OR(MONTH(D7)=6, MONTH(D7)=7, MONTH(D7)=8), "Winter", "Unknown"
))))</f>
        <v>Summer</v>
      </c>
      <c r="F7" s="15">
        <v>35</v>
      </c>
      <c r="G7" s="15">
        <v>303</v>
      </c>
      <c r="H7" s="46">
        <f>F7+G7</f>
        <v>338</v>
      </c>
      <c r="I7" s="49">
        <v>559</v>
      </c>
      <c r="J7" s="46">
        <f t="shared" si="0"/>
        <v>-221</v>
      </c>
      <c r="K7" s="15">
        <v>366</v>
      </c>
      <c r="L7" s="15">
        <f>H7-K7</f>
        <v>-28</v>
      </c>
      <c r="M7" s="15">
        <v>63</v>
      </c>
      <c r="N7" s="50" t="e">
        <f>IF(B7="Camera",#REF!, IF(B7="Headphones",#REF!, IF(B7="Laptop",#REF!, IF(B7="Smartphone",#REF!, IF(B7="Smartwatch",#REF!,#REF!)))))</f>
        <v>#REF!</v>
      </c>
      <c r="O7" s="50" t="e">
        <f>M7-N7</f>
        <v>#REF!</v>
      </c>
      <c r="P7" s="51">
        <f>K7/((F7+M7)/2)</f>
        <v>7.4693877551020407</v>
      </c>
      <c r="Q7" s="15">
        <v>17</v>
      </c>
      <c r="R7" s="15">
        <v>0.90555860801447596</v>
      </c>
      <c r="S7" s="52">
        <v>33.746451781235997</v>
      </c>
      <c r="U7" s="41">
        <v>-208</v>
      </c>
      <c r="V7" s="41">
        <v>-1112</v>
      </c>
      <c r="W7" s="41">
        <v>-486</v>
      </c>
      <c r="X7" s="41">
        <v>-213</v>
      </c>
      <c r="Y7" s="41">
        <v>-43</v>
      </c>
      <c r="Z7" s="41">
        <v>-331</v>
      </c>
      <c r="AB7" s="39" t="s">
        <v>15</v>
      </c>
      <c r="AC7" s="39">
        <v>36</v>
      </c>
      <c r="AD7" s="42">
        <v>-7202</v>
      </c>
      <c r="AE7" s="42">
        <v>-200.05555555555554</v>
      </c>
      <c r="AF7" s="42">
        <v>90448.511111111118</v>
      </c>
    </row>
    <row r="8" spans="1:34" x14ac:dyDescent="0.15">
      <c r="A8" s="15">
        <v>1</v>
      </c>
      <c r="B8" s="15" t="s">
        <v>10</v>
      </c>
      <c r="C8" s="46" t="str">
        <f>IF(B8="Smartphone", "Electronics", IF(B8="Laptop", "Computing", IF(B8="Tablet", "Mobile", IF(B8="Smartwatch", "Wearables", IF(B8="Headphones", "Audio", "Photography")))))</f>
        <v>Electronics</v>
      </c>
      <c r="D8" s="47">
        <v>43497</v>
      </c>
      <c r="E8" s="48" t="str">
        <f>IF(OR(MONTH(D8)=9, MONTH(D8)=10, MONTH(D8)=11), "Spring",
 IF(OR(MONTH(D8)=12, MONTH(D8)=1, MONTH(D8)=2), "Summer",
 IF(OR(MONTH(D8)=3, MONTH(D8)=4, MONTH(D8)=5), "Autumn",
 IF(OR(MONTH(D8)=6, MONTH(D8)=7, MONTH(D8)=8), "Winter", "Unknown"
))))</f>
        <v>Summer</v>
      </c>
      <c r="F8" s="15">
        <v>21</v>
      </c>
      <c r="G8" s="15">
        <v>458</v>
      </c>
      <c r="H8" s="46">
        <f>F8+G8</f>
        <v>479</v>
      </c>
      <c r="I8" s="49">
        <v>551</v>
      </c>
      <c r="J8" s="46">
        <f t="shared" si="0"/>
        <v>-72</v>
      </c>
      <c r="K8" s="15">
        <v>375</v>
      </c>
      <c r="L8" s="15">
        <f>H8-K8</f>
        <v>104</v>
      </c>
      <c r="M8" s="15">
        <v>83</v>
      </c>
      <c r="N8" s="50" t="e">
        <f>IF(B8="Camera",#REF!, IF(B8="Headphones",#REF!, IF(B8="Laptop",#REF!, IF(B8="Smartphone",#REF!, IF(B8="Smartwatch",#REF!,#REF!)))))</f>
        <v>#REF!</v>
      </c>
      <c r="O8" s="50" t="e">
        <f>M8-N8</f>
        <v>#REF!</v>
      </c>
      <c r="P8" s="51">
        <f>K8/((F8+M8)/2)</f>
        <v>7.2115384615384617</v>
      </c>
      <c r="Q8" s="15">
        <v>24</v>
      </c>
      <c r="R8" s="15">
        <v>0.97573184532901802</v>
      </c>
      <c r="S8" s="52">
        <v>107.22032462713101</v>
      </c>
      <c r="U8" s="41">
        <v>-49</v>
      </c>
      <c r="V8" s="41">
        <v>-1041</v>
      </c>
      <c r="W8" s="41">
        <v>7</v>
      </c>
      <c r="X8" s="41">
        <v>6</v>
      </c>
      <c r="Y8" s="41">
        <v>-12</v>
      </c>
      <c r="Z8" s="41">
        <v>129</v>
      </c>
      <c r="AB8" s="39" t="s">
        <v>14</v>
      </c>
      <c r="AC8" s="39">
        <v>36</v>
      </c>
      <c r="AD8" s="42">
        <v>-33515</v>
      </c>
      <c r="AE8" s="42">
        <v>-930.97222222222217</v>
      </c>
      <c r="AF8" s="42">
        <v>164813.34206349211</v>
      </c>
    </row>
    <row r="9" spans="1:34" x14ac:dyDescent="0.15">
      <c r="A9" s="15">
        <v>2</v>
      </c>
      <c r="B9" s="15" t="s">
        <v>11</v>
      </c>
      <c r="C9" s="46" t="str">
        <f>IF(B9="Smartphone", "Electronics", IF(B9="Laptop", "Computing", IF(B9="Tablet", "Mobile", IF(B9="Smartwatch", "Wearables", IF(B9="Headphones", "Audio", "Photography")))))</f>
        <v>Computing</v>
      </c>
      <c r="D9" s="47">
        <v>43497</v>
      </c>
      <c r="E9" s="48" t="str">
        <f>IF(OR(MONTH(D9)=9, MONTH(D9)=10, MONTH(D9)=11), "Spring",
 IF(OR(MONTH(D9)=12, MONTH(D9)=1, MONTH(D9)=2), "Summer",
 IF(OR(MONTH(D9)=3, MONTH(D9)=4, MONTH(D9)=5), "Autumn",
 IF(OR(MONTH(D9)=6, MONTH(D9)=7, MONTH(D9)=8), "Winter", "Unknown"
))))</f>
        <v>Summer</v>
      </c>
      <c r="F9" s="15">
        <v>62</v>
      </c>
      <c r="G9" s="15">
        <v>307</v>
      </c>
      <c r="H9" s="46">
        <f>F9+G9</f>
        <v>369</v>
      </c>
      <c r="I9" s="49">
        <v>181</v>
      </c>
      <c r="J9" s="46">
        <f t="shared" si="0"/>
        <v>188</v>
      </c>
      <c r="K9" s="15">
        <v>181</v>
      </c>
      <c r="L9" s="15">
        <f>H9-K9</f>
        <v>188</v>
      </c>
      <c r="M9" s="15">
        <v>126</v>
      </c>
      <c r="N9" s="50" t="e">
        <f>IF(B9="Camera",#REF!, IF(B9="Headphones",#REF!, IF(B9="Laptop",#REF!, IF(B9="Smartphone",#REF!, IF(B9="Smartwatch",#REF!,#REF!)))))</f>
        <v>#REF!</v>
      </c>
      <c r="O9" s="50" t="e">
        <f>M9-N9</f>
        <v>#REF!</v>
      </c>
      <c r="P9" s="51">
        <f>K9/((F9+M9)/2)</f>
        <v>1.925531914893617</v>
      </c>
      <c r="Q9" s="15">
        <v>21</v>
      </c>
      <c r="R9" s="15">
        <v>1</v>
      </c>
      <c r="S9" s="52">
        <v>127.091014638804</v>
      </c>
      <c r="U9" s="41">
        <v>-412</v>
      </c>
      <c r="V9" s="41">
        <v>-1538</v>
      </c>
      <c r="W9" s="41">
        <v>-47</v>
      </c>
      <c r="X9" s="41">
        <v>255</v>
      </c>
      <c r="Y9" s="41">
        <v>-223</v>
      </c>
      <c r="Z9" s="41">
        <v>-202</v>
      </c>
      <c r="AB9" s="39" t="s">
        <v>11</v>
      </c>
      <c r="AC9" s="39">
        <v>36</v>
      </c>
      <c r="AD9" s="42">
        <v>-5871</v>
      </c>
      <c r="AE9" s="42">
        <v>-163.08333333333334</v>
      </c>
      <c r="AF9" s="42">
        <v>67957.678571428565</v>
      </c>
    </row>
    <row r="10" spans="1:34" x14ac:dyDescent="0.15">
      <c r="A10" s="15">
        <v>3</v>
      </c>
      <c r="B10" s="15" t="s">
        <v>12</v>
      </c>
      <c r="C10" s="46" t="str">
        <f>IF(B10="Smartphone", "Electronics", IF(B10="Laptop", "Computing", IF(B10="Tablet", "Mobile", IF(B10="Smartwatch", "Wearables", IF(B10="Headphones", "Audio", "Photography")))))</f>
        <v>Mobile</v>
      </c>
      <c r="D10" s="47">
        <v>43497</v>
      </c>
      <c r="E10" s="48" t="str">
        <f>IF(OR(MONTH(D10)=9, MONTH(D10)=10, MONTH(D10)=11), "Spring",
 IF(OR(MONTH(D10)=12, MONTH(D10)=1, MONTH(D10)=2), "Summer",
 IF(OR(MONTH(D10)=3, MONTH(D10)=4, MONTH(D10)=5), "Autumn",
 IF(OR(MONTH(D10)=6, MONTH(D10)=7, MONTH(D10)=8), "Winter", "Unknown"
))))</f>
        <v>Summer</v>
      </c>
      <c r="F10" s="15">
        <v>90</v>
      </c>
      <c r="G10" s="15">
        <v>369</v>
      </c>
      <c r="H10" s="46">
        <f>F10+G10</f>
        <v>459</v>
      </c>
      <c r="I10" s="49">
        <v>568</v>
      </c>
      <c r="J10" s="46">
        <f t="shared" si="0"/>
        <v>-109</v>
      </c>
      <c r="K10" s="15">
        <v>541</v>
      </c>
      <c r="L10" s="15">
        <f>H10-K10</f>
        <v>-82</v>
      </c>
      <c r="M10" s="15">
        <v>2</v>
      </c>
      <c r="N10" s="50" t="e">
        <f>IF(B10="Camera",#REF!, IF(B10="Headphones",#REF!, IF(B10="Laptop",#REF!, IF(B10="Smartphone",#REF!, IF(B10="Smartwatch",#REF!,#REF!)))))</f>
        <v>#REF!</v>
      </c>
      <c r="O10" s="50" t="e">
        <f>M10-N10</f>
        <v>#REF!</v>
      </c>
      <c r="P10" s="51">
        <f>K10/((F10+M10)/2)</f>
        <v>11.760869565217391</v>
      </c>
      <c r="Q10" s="15">
        <v>3</v>
      </c>
      <c r="R10" s="15">
        <v>0.90139757276222299</v>
      </c>
      <c r="S10" s="52">
        <v>130.66634615987499</v>
      </c>
      <c r="U10" s="41">
        <v>-119</v>
      </c>
      <c r="V10" s="41">
        <v>-1439</v>
      </c>
      <c r="W10" s="41">
        <v>-513</v>
      </c>
      <c r="X10" s="41">
        <v>178</v>
      </c>
      <c r="Y10" s="41">
        <v>-218</v>
      </c>
      <c r="Z10" s="41">
        <v>-25</v>
      </c>
      <c r="AB10" s="39" t="s">
        <v>10</v>
      </c>
      <c r="AC10" s="39">
        <v>36</v>
      </c>
      <c r="AD10" s="42">
        <v>-6602</v>
      </c>
      <c r="AE10" s="42">
        <v>-183.38888888888889</v>
      </c>
      <c r="AF10" s="42">
        <v>51162.415873015874</v>
      </c>
    </row>
    <row r="11" spans="1:34" x14ac:dyDescent="0.15">
      <c r="A11" s="15">
        <v>4</v>
      </c>
      <c r="B11" s="15" t="s">
        <v>13</v>
      </c>
      <c r="C11" s="46" t="str">
        <f>IF(B11="Smartphone", "Electronics", IF(B11="Laptop", "Computing", IF(B11="Tablet", "Mobile", IF(B11="Smartwatch", "Wearables", IF(B11="Headphones", "Audio", "Photography")))))</f>
        <v>Wearables</v>
      </c>
      <c r="D11" s="47">
        <v>43497</v>
      </c>
      <c r="E11" s="48" t="str">
        <f>IF(OR(MONTH(D11)=9, MONTH(D11)=10, MONTH(D11)=11), "Spring",
 IF(OR(MONTH(D11)=12, MONTH(D11)=1, MONTH(D11)=2), "Summer",
 IF(OR(MONTH(D11)=3, MONTH(D11)=4, MONTH(D11)=5), "Autumn",
 IF(OR(MONTH(D11)=6, MONTH(D11)=7, MONTH(D11)=8), "Winter", "Unknown"
))))</f>
        <v>Summer</v>
      </c>
      <c r="F11" s="15">
        <v>72</v>
      </c>
      <c r="G11" s="15">
        <v>340</v>
      </c>
      <c r="H11" s="46">
        <f>F11+G11</f>
        <v>412</v>
      </c>
      <c r="I11" s="49">
        <v>803</v>
      </c>
      <c r="J11" s="46">
        <f t="shared" si="0"/>
        <v>-391</v>
      </c>
      <c r="K11" s="15">
        <v>262</v>
      </c>
      <c r="L11" s="15">
        <f>H11-K11</f>
        <v>150</v>
      </c>
      <c r="M11" s="15">
        <v>78</v>
      </c>
      <c r="N11" s="50" t="e">
        <f>IF(B11="Camera",#REF!, IF(B11="Headphones",#REF!, IF(B11="Laptop",#REF!, IF(B11="Smartphone",#REF!, IF(B11="Smartwatch",#REF!,#REF!)))))</f>
        <v>#REF!</v>
      </c>
      <c r="O11" s="50" t="e">
        <f>M11-N11</f>
        <v>#REF!</v>
      </c>
      <c r="P11" s="51">
        <f>K11/((F11+M11)/2)</f>
        <v>3.4933333333333332</v>
      </c>
      <c r="Q11" s="15">
        <v>26</v>
      </c>
      <c r="R11" s="15">
        <v>0.92090935392338702</v>
      </c>
      <c r="S11" s="52">
        <v>45.175079800691201</v>
      </c>
      <c r="U11" s="41">
        <v>-197</v>
      </c>
      <c r="V11" s="41">
        <v>-1231</v>
      </c>
      <c r="W11" s="41">
        <v>-263</v>
      </c>
      <c r="X11" s="41">
        <v>-171</v>
      </c>
      <c r="Y11" s="41">
        <v>-460</v>
      </c>
      <c r="Z11" s="41">
        <v>159</v>
      </c>
      <c r="AB11" s="39" t="s">
        <v>13</v>
      </c>
      <c r="AC11" s="39">
        <v>36</v>
      </c>
      <c r="AD11" s="42">
        <v>-8432</v>
      </c>
      <c r="AE11" s="42">
        <v>-234.22222222222223</v>
      </c>
      <c r="AF11" s="42">
        <v>51337.263492063496</v>
      </c>
    </row>
    <row r="12" spans="1:34" ht="15" thickBot="1" x14ac:dyDescent="0.2">
      <c r="A12" s="15">
        <v>5</v>
      </c>
      <c r="B12" s="15" t="s">
        <v>14</v>
      </c>
      <c r="C12" s="46" t="str">
        <f>IF(B12="Smartphone", "Electronics", IF(B12="Laptop", "Computing", IF(B12="Tablet", "Mobile", IF(B12="Smartwatch", "Wearables", IF(B12="Headphones", "Audio", "Photography")))))</f>
        <v>Audio</v>
      </c>
      <c r="D12" s="47">
        <v>43497</v>
      </c>
      <c r="E12" s="48" t="str">
        <f>IF(OR(MONTH(D12)=9, MONTH(D12)=10, MONTH(D12)=11), "Spring",
 IF(OR(MONTH(D12)=12, MONTH(D12)=1, MONTH(D12)=2), "Summer",
 IF(OR(MONTH(D12)=3, MONTH(D12)=4, MONTH(D12)=5), "Autumn",
 IF(OR(MONTH(D12)=6, MONTH(D12)=7, MONTH(D12)=8), "Winter", "Unknown"
))))</f>
        <v>Summer</v>
      </c>
      <c r="F12" s="15">
        <v>5</v>
      </c>
      <c r="G12" s="15">
        <v>312</v>
      </c>
      <c r="H12" s="46">
        <f>F12+G12</f>
        <v>317</v>
      </c>
      <c r="I12" s="49">
        <v>594</v>
      </c>
      <c r="J12" s="46">
        <f t="shared" si="0"/>
        <v>-277</v>
      </c>
      <c r="K12" s="15">
        <v>271</v>
      </c>
      <c r="L12" s="15">
        <f>H12-K12</f>
        <v>46</v>
      </c>
      <c r="M12" s="15">
        <v>41</v>
      </c>
      <c r="N12" s="50" t="e">
        <f>IF(B12="Camera",#REF!, IF(B12="Headphones",#REF!, IF(B12="Laptop",#REF!, IF(B12="Smartphone",#REF!, IF(B12="Smartwatch",#REF!,#REF!)))))</f>
        <v>#REF!</v>
      </c>
      <c r="O12" s="50" t="e">
        <f>M12-N12</f>
        <v>#REF!</v>
      </c>
      <c r="P12" s="51">
        <f>K12/((F12+M12)/2)</f>
        <v>11.782608695652174</v>
      </c>
      <c r="Q12" s="15">
        <v>23</v>
      </c>
      <c r="R12" s="15">
        <v>0.81163513234447104</v>
      </c>
      <c r="S12" s="52">
        <v>72.220302797218096</v>
      </c>
      <c r="U12" s="41">
        <v>-116</v>
      </c>
      <c r="V12" s="41">
        <v>-1271</v>
      </c>
      <c r="W12" s="41">
        <v>28</v>
      </c>
      <c r="X12" s="41">
        <v>-402</v>
      </c>
      <c r="Y12" s="41">
        <v>-282</v>
      </c>
      <c r="Z12" s="41">
        <v>-243</v>
      </c>
      <c r="AB12" s="40" t="s">
        <v>12</v>
      </c>
      <c r="AC12" s="40">
        <v>36</v>
      </c>
      <c r="AD12" s="43">
        <v>-3962</v>
      </c>
      <c r="AE12" s="43">
        <v>-110.05555555555556</v>
      </c>
      <c r="AF12" s="43">
        <v>37604.168253968259</v>
      </c>
    </row>
    <row r="13" spans="1:34" x14ac:dyDescent="0.15">
      <c r="A13" s="15">
        <v>6</v>
      </c>
      <c r="B13" s="15" t="s">
        <v>15</v>
      </c>
      <c r="C13" s="46" t="str">
        <f>IF(B13="Smartphone", "Electronics", IF(B13="Laptop", "Computing", IF(B13="Tablet", "Mobile", IF(B13="Smartwatch", "Wearables", IF(B13="Headphones", "Audio", "Photography")))))</f>
        <v>Photography</v>
      </c>
      <c r="D13" s="47">
        <v>43497</v>
      </c>
      <c r="E13" s="48" t="str">
        <f>IF(OR(MONTH(D13)=9, MONTH(D13)=10, MONTH(D13)=11), "Spring",
 IF(OR(MONTH(D13)=12, MONTH(D13)=1, MONTH(D13)=2), "Summer",
 IF(OR(MONTH(D13)=3, MONTH(D13)=4, MONTH(D13)=5), "Autumn",
 IF(OR(MONTH(D13)=6, MONTH(D13)=7, MONTH(D13)=8), "Winter", "Unknown"
))))</f>
        <v>Summer</v>
      </c>
      <c r="F13" s="15">
        <v>108</v>
      </c>
      <c r="G13" s="15">
        <v>134</v>
      </c>
      <c r="H13" s="46">
        <f>F13+G13</f>
        <v>242</v>
      </c>
      <c r="I13" s="49">
        <v>524</v>
      </c>
      <c r="J13" s="46">
        <f t="shared" si="0"/>
        <v>-282</v>
      </c>
      <c r="K13" s="15">
        <v>57</v>
      </c>
      <c r="L13" s="15">
        <f>H13-K13</f>
        <v>185</v>
      </c>
      <c r="M13" s="15">
        <v>77</v>
      </c>
      <c r="N13" s="50" t="e">
        <f>IF(B13="Camera",#REF!, IF(B13="Headphones",#REF!, IF(B13="Laptop",#REF!, IF(B13="Smartphone",#REF!, IF(B13="Smartwatch",#REF!,#REF!)))))</f>
        <v>#REF!</v>
      </c>
      <c r="O13" s="50" t="e">
        <f>M13-N13</f>
        <v>#REF!</v>
      </c>
      <c r="P13" s="51">
        <f>K13/((F13+M13)/2)</f>
        <v>0.61621621621621625</v>
      </c>
      <c r="Q13" s="15">
        <v>7</v>
      </c>
      <c r="R13" s="15">
        <v>0.82745133687794503</v>
      </c>
      <c r="S13" s="52">
        <v>76.758486458004697</v>
      </c>
      <c r="U13" s="41">
        <v>-198</v>
      </c>
      <c r="V13" s="41">
        <v>-761</v>
      </c>
      <c r="W13" s="41">
        <v>-481</v>
      </c>
      <c r="X13" s="41">
        <v>-478</v>
      </c>
      <c r="Y13" s="41">
        <v>-18</v>
      </c>
      <c r="Z13" s="41">
        <v>-160</v>
      </c>
    </row>
    <row r="14" spans="1:34" x14ac:dyDescent="0.15">
      <c r="A14" s="15">
        <v>1</v>
      </c>
      <c r="B14" s="15" t="s">
        <v>10</v>
      </c>
      <c r="C14" s="46" t="str">
        <f>IF(B14="Smartphone", "Electronics", IF(B14="Laptop", "Computing", IF(B14="Tablet", "Mobile", IF(B14="Smartwatch", "Wearables", IF(B14="Headphones", "Audio", "Photography")))))</f>
        <v>Electronics</v>
      </c>
      <c r="D14" s="47">
        <v>43525</v>
      </c>
      <c r="E14" s="48" t="str">
        <f>IF(OR(MONTH(D14)=9, MONTH(D14)=10, MONTH(D14)=11), "Spring",
 IF(OR(MONTH(D14)=12, MONTH(D14)=1, MONTH(D14)=2), "Summer",
 IF(OR(MONTH(D14)=3, MONTH(D14)=4, MONTH(D14)=5), "Autumn",
 IF(OR(MONTH(D14)=6, MONTH(D14)=7, MONTH(D14)=8), "Winter", "Unknown"
))))</f>
        <v>Autumn</v>
      </c>
      <c r="F14" s="15">
        <v>30</v>
      </c>
      <c r="G14" s="15">
        <v>195</v>
      </c>
      <c r="H14" s="46">
        <f>F14+G14</f>
        <v>225</v>
      </c>
      <c r="I14" s="49">
        <v>100</v>
      </c>
      <c r="J14" s="46">
        <f t="shared" si="0"/>
        <v>125</v>
      </c>
      <c r="K14" s="15">
        <v>100</v>
      </c>
      <c r="L14" s="15">
        <f>H14-K14</f>
        <v>125</v>
      </c>
      <c r="M14" s="15">
        <v>95</v>
      </c>
      <c r="N14" s="50" t="e">
        <f>IF(B14="Camera",#REF!, IF(B14="Headphones",#REF!, IF(B14="Laptop",#REF!, IF(B14="Smartphone",#REF!, IF(B14="Smartwatch",#REF!,#REF!)))))</f>
        <v>#REF!</v>
      </c>
      <c r="O14" s="50" t="e">
        <f>M14-N14</f>
        <v>#REF!</v>
      </c>
      <c r="P14" s="51">
        <f>K14/((F14+M14)/2)</f>
        <v>1.6</v>
      </c>
      <c r="Q14" s="15">
        <v>17</v>
      </c>
      <c r="R14" s="15">
        <v>0.85809018429952399</v>
      </c>
      <c r="S14" s="52">
        <v>292.71603630195199</v>
      </c>
      <c r="U14" s="41">
        <v>-367</v>
      </c>
      <c r="V14" s="41">
        <v>-744</v>
      </c>
      <c r="W14" s="41">
        <v>26</v>
      </c>
      <c r="X14" s="41">
        <v>-133</v>
      </c>
      <c r="Y14" s="41">
        <v>-59</v>
      </c>
      <c r="Z14" s="41">
        <v>-311</v>
      </c>
    </row>
    <row r="15" spans="1:34" ht="15" thickBot="1" x14ac:dyDescent="0.2">
      <c r="A15" s="15">
        <v>2</v>
      </c>
      <c r="B15" s="15" t="s">
        <v>11</v>
      </c>
      <c r="C15" s="46" t="str">
        <f>IF(B15="Smartphone", "Electronics", IF(B15="Laptop", "Computing", IF(B15="Tablet", "Mobile", IF(B15="Smartwatch", "Wearables", IF(B15="Headphones", "Audio", "Photography")))))</f>
        <v>Computing</v>
      </c>
      <c r="D15" s="47">
        <v>43525</v>
      </c>
      <c r="E15" s="48" t="str">
        <f>IF(OR(MONTH(D15)=9, MONTH(D15)=10, MONTH(D15)=11), "Spring",
 IF(OR(MONTH(D15)=12, MONTH(D15)=1, MONTH(D15)=2), "Summer",
 IF(OR(MONTH(D15)=3, MONTH(D15)=4, MONTH(D15)=5), "Autumn",
 IF(OR(MONTH(D15)=6, MONTH(D15)=7, MONTH(D15)=8), "Winter", "Unknown"
))))</f>
        <v>Autumn</v>
      </c>
      <c r="F15" s="15">
        <v>116</v>
      </c>
      <c r="G15" s="15">
        <v>372</v>
      </c>
      <c r="H15" s="46">
        <f>F15+G15</f>
        <v>488</v>
      </c>
      <c r="I15" s="49">
        <v>533</v>
      </c>
      <c r="J15" s="46">
        <f t="shared" si="0"/>
        <v>-45</v>
      </c>
      <c r="K15" s="15">
        <v>533</v>
      </c>
      <c r="L15" s="15">
        <f>H15-K15</f>
        <v>-45</v>
      </c>
      <c r="M15" s="15">
        <v>14</v>
      </c>
      <c r="N15" s="50" t="e">
        <f>IF(B15="Camera",#REF!, IF(B15="Headphones",#REF!, IF(B15="Laptop",#REF!, IF(B15="Smartphone",#REF!, IF(B15="Smartwatch",#REF!,#REF!)))))</f>
        <v>#REF!</v>
      </c>
      <c r="O15" s="50" t="e">
        <f>M15-N15</f>
        <v>#REF!</v>
      </c>
      <c r="P15" s="51">
        <f>K15/((F15+M15)/2)</f>
        <v>8.1999999999999993</v>
      </c>
      <c r="Q15" s="15">
        <v>12</v>
      </c>
      <c r="R15" s="15">
        <v>0.87781908477414705</v>
      </c>
      <c r="S15" s="52">
        <v>91.350677796670695</v>
      </c>
      <c r="U15" s="41">
        <v>-78</v>
      </c>
      <c r="V15" s="41">
        <v>-931</v>
      </c>
      <c r="W15" s="41">
        <v>23</v>
      </c>
      <c r="X15" s="41">
        <v>-96</v>
      </c>
      <c r="Y15" s="41">
        <v>153</v>
      </c>
      <c r="Z15" s="41">
        <v>-64</v>
      </c>
      <c r="AB15" s="15" t="s">
        <v>41</v>
      </c>
    </row>
    <row r="16" spans="1:34" x14ac:dyDescent="0.15">
      <c r="A16" s="15">
        <v>3</v>
      </c>
      <c r="B16" s="15" t="s">
        <v>12</v>
      </c>
      <c r="C16" s="46" t="str">
        <f>IF(B16="Smartphone", "Electronics", IF(B16="Laptop", "Computing", IF(B16="Tablet", "Mobile", IF(B16="Smartwatch", "Wearables", IF(B16="Headphones", "Audio", "Photography")))))</f>
        <v>Mobile</v>
      </c>
      <c r="D16" s="47">
        <v>43525</v>
      </c>
      <c r="E16" s="48" t="str">
        <f>IF(OR(MONTH(D16)=9, MONTH(D16)=10, MONTH(D16)=11), "Spring",
 IF(OR(MONTH(D16)=12, MONTH(D16)=1, MONTH(D16)=2), "Summer",
 IF(OR(MONTH(D16)=3, MONTH(D16)=4, MONTH(D16)=5), "Autumn",
 IF(OR(MONTH(D16)=6, MONTH(D16)=7, MONTH(D16)=8), "Winter", "Unknown"
))))</f>
        <v>Autumn</v>
      </c>
      <c r="F16" s="15">
        <v>81</v>
      </c>
      <c r="G16" s="15">
        <v>91</v>
      </c>
      <c r="H16" s="46">
        <f>F16+G16</f>
        <v>172</v>
      </c>
      <c r="I16" s="49">
        <v>582</v>
      </c>
      <c r="J16" s="46">
        <f t="shared" si="0"/>
        <v>-410</v>
      </c>
      <c r="K16" s="15">
        <v>88</v>
      </c>
      <c r="L16" s="15">
        <f>H16-K16</f>
        <v>84</v>
      </c>
      <c r="M16" s="15">
        <v>36</v>
      </c>
      <c r="N16" s="50" t="e">
        <f>IF(B16="Camera",#REF!, IF(B16="Headphones",#REF!, IF(B16="Laptop",#REF!, IF(B16="Smartphone",#REF!, IF(B16="Smartwatch",#REF!,#REF!)))))</f>
        <v>#REF!</v>
      </c>
      <c r="O16" s="50" t="e">
        <f>M16-N16</f>
        <v>#REF!</v>
      </c>
      <c r="P16" s="51">
        <f>K16/((F16+M16)/2)</f>
        <v>1.5042735042735043</v>
      </c>
      <c r="Q16" s="15">
        <v>9</v>
      </c>
      <c r="R16" s="15">
        <v>0.845193848763096</v>
      </c>
      <c r="S16" s="52">
        <v>95.479834046315105</v>
      </c>
      <c r="U16" s="41">
        <v>-755</v>
      </c>
      <c r="V16" s="41">
        <v>-579</v>
      </c>
      <c r="W16" s="41">
        <v>-215</v>
      </c>
      <c r="X16" s="41">
        <v>-94</v>
      </c>
      <c r="Y16" s="41">
        <v>-684</v>
      </c>
      <c r="Z16" s="41">
        <v>188</v>
      </c>
      <c r="AB16" s="38" t="s">
        <v>42</v>
      </c>
      <c r="AC16" s="38" t="s">
        <v>43</v>
      </c>
      <c r="AD16" s="38" t="s">
        <v>44</v>
      </c>
      <c r="AE16" s="38" t="s">
        <v>45</v>
      </c>
      <c r="AF16" s="38" t="s">
        <v>46</v>
      </c>
      <c r="AG16" s="38" t="s">
        <v>47</v>
      </c>
      <c r="AH16" s="38" t="s">
        <v>48</v>
      </c>
    </row>
    <row r="17" spans="1:34" x14ac:dyDescent="0.15">
      <c r="A17" s="15">
        <v>4</v>
      </c>
      <c r="B17" s="15" t="s">
        <v>13</v>
      </c>
      <c r="C17" s="46" t="str">
        <f>IF(B17="Smartphone", "Electronics", IF(B17="Laptop", "Computing", IF(B17="Tablet", "Mobile", IF(B17="Smartwatch", "Wearables", IF(B17="Headphones", "Audio", "Photography")))))</f>
        <v>Wearables</v>
      </c>
      <c r="D17" s="47">
        <v>43525</v>
      </c>
      <c r="E17" s="48" t="str">
        <f>IF(OR(MONTH(D17)=9, MONTH(D17)=10, MONTH(D17)=11), "Spring",
 IF(OR(MONTH(D17)=12, MONTH(D17)=1, MONTH(D17)=2), "Summer",
 IF(OR(MONTH(D17)=3, MONTH(D17)=4, MONTH(D17)=5), "Autumn",
 IF(OR(MONTH(D17)=6, MONTH(D17)=7, MONTH(D17)=8), "Winter", "Unknown"
))))</f>
        <v>Autumn</v>
      </c>
      <c r="F17" s="15">
        <v>89</v>
      </c>
      <c r="G17" s="15">
        <v>423</v>
      </c>
      <c r="H17" s="46">
        <f>F17+G17</f>
        <v>512</v>
      </c>
      <c r="I17" s="49">
        <v>629</v>
      </c>
      <c r="J17" s="46">
        <f t="shared" si="0"/>
        <v>-117</v>
      </c>
      <c r="K17" s="15">
        <v>363</v>
      </c>
      <c r="L17" s="15">
        <f>H17-K17</f>
        <v>149</v>
      </c>
      <c r="M17" s="15">
        <v>60</v>
      </c>
      <c r="N17" s="50" t="e">
        <f>IF(B17="Camera",#REF!, IF(B17="Headphones",#REF!, IF(B17="Laptop",#REF!, IF(B17="Smartphone",#REF!, IF(B17="Smartwatch",#REF!,#REF!)))))</f>
        <v>#REF!</v>
      </c>
      <c r="O17" s="50" t="e">
        <f>M17-N17</f>
        <v>#REF!</v>
      </c>
      <c r="P17" s="51">
        <f>K17/((F17+M17)/2)</f>
        <v>4.8724832214765099</v>
      </c>
      <c r="Q17" s="15">
        <v>15</v>
      </c>
      <c r="R17" s="15">
        <v>0.89820022940113797</v>
      </c>
      <c r="S17" s="52">
        <v>99.6107106685362</v>
      </c>
      <c r="U17" s="41">
        <v>-631</v>
      </c>
      <c r="V17" s="41">
        <v>-496</v>
      </c>
      <c r="W17" s="41">
        <v>-369</v>
      </c>
      <c r="X17" s="41">
        <v>237</v>
      </c>
      <c r="Y17" s="41">
        <v>-251</v>
      </c>
      <c r="Z17" s="41">
        <v>6</v>
      </c>
      <c r="AB17" s="39" t="s">
        <v>49</v>
      </c>
      <c r="AC17" s="39">
        <v>17308286.092592604</v>
      </c>
      <c r="AD17" s="39">
        <v>5</v>
      </c>
      <c r="AE17" s="39">
        <v>3461657.2185185207</v>
      </c>
      <c r="AF17" s="39">
        <v>44.828178840388894</v>
      </c>
      <c r="AG17" s="39">
        <v>2.3590520099240679E-31</v>
      </c>
      <c r="AH17" s="39">
        <v>2.2570659080988293</v>
      </c>
    </row>
    <row r="18" spans="1:34" x14ac:dyDescent="0.15">
      <c r="A18" s="15">
        <v>5</v>
      </c>
      <c r="B18" s="15" t="s">
        <v>14</v>
      </c>
      <c r="C18" s="46" t="str">
        <f>IF(B18="Smartphone", "Electronics", IF(B18="Laptop", "Computing", IF(B18="Tablet", "Mobile", IF(B18="Smartwatch", "Wearables", IF(B18="Headphones", "Audio", "Photography")))))</f>
        <v>Audio</v>
      </c>
      <c r="D18" s="47">
        <v>43525</v>
      </c>
      <c r="E18" s="48" t="str">
        <f>IF(OR(MONTH(D18)=9, MONTH(D18)=10, MONTH(D18)=11), "Spring",
 IF(OR(MONTH(D18)=12, MONTH(D18)=1, MONTH(D18)=2), "Summer",
 IF(OR(MONTH(D18)=3, MONTH(D18)=4, MONTH(D18)=5), "Autumn",
 IF(OR(MONTH(D18)=6, MONTH(D18)=7, MONTH(D18)=8), "Winter", "Unknown"
))))</f>
        <v>Autumn</v>
      </c>
      <c r="F18" s="15">
        <v>74</v>
      </c>
      <c r="G18" s="15">
        <v>174</v>
      </c>
      <c r="H18" s="46">
        <f>F18+G18</f>
        <v>248</v>
      </c>
      <c r="I18" s="49">
        <v>1070</v>
      </c>
      <c r="J18" s="46">
        <f t="shared" si="0"/>
        <v>-822</v>
      </c>
      <c r="K18" s="15">
        <v>137</v>
      </c>
      <c r="L18" s="15">
        <f>H18-K18</f>
        <v>111</v>
      </c>
      <c r="M18" s="15">
        <v>37</v>
      </c>
      <c r="N18" s="50" t="e">
        <f>IF(B18="Camera",#REF!, IF(B18="Headphones",#REF!, IF(B18="Laptop",#REF!, IF(B18="Smartphone",#REF!, IF(B18="Smartwatch",#REF!,#REF!)))))</f>
        <v>#REF!</v>
      </c>
      <c r="O18" s="50" t="e">
        <f>M18-N18</f>
        <v>#REF!</v>
      </c>
      <c r="P18" s="51">
        <f>K18/((F18+M18)/2)</f>
        <v>2.4684684684684686</v>
      </c>
      <c r="Q18" s="15">
        <v>18</v>
      </c>
      <c r="R18" s="15">
        <v>0.87931454161626899</v>
      </c>
      <c r="S18" s="52">
        <v>78.950484744089806</v>
      </c>
      <c r="U18" s="41">
        <v>52</v>
      </c>
      <c r="V18" s="41">
        <v>-119</v>
      </c>
      <c r="W18" s="41">
        <v>39</v>
      </c>
      <c r="X18" s="41">
        <v>-588</v>
      </c>
      <c r="Y18" s="41">
        <v>101</v>
      </c>
      <c r="Z18" s="41">
        <v>-83</v>
      </c>
      <c r="AB18" s="39" t="s">
        <v>50</v>
      </c>
      <c r="AC18" s="39">
        <v>16216318.277777778</v>
      </c>
      <c r="AD18" s="39">
        <v>210</v>
      </c>
      <c r="AE18" s="39">
        <v>77220.563227513223</v>
      </c>
      <c r="AF18" s="39"/>
      <c r="AG18" s="39"/>
      <c r="AH18" s="39"/>
    </row>
    <row r="19" spans="1:34" x14ac:dyDescent="0.15">
      <c r="A19" s="15">
        <v>6</v>
      </c>
      <c r="B19" s="15" t="s">
        <v>15</v>
      </c>
      <c r="C19" s="46" t="str">
        <f>IF(B19="Smartphone", "Electronics", IF(B19="Laptop", "Computing", IF(B19="Tablet", "Mobile", IF(B19="Smartwatch", "Wearables", IF(B19="Headphones", "Audio", "Photography")))))</f>
        <v>Photography</v>
      </c>
      <c r="D19" s="47">
        <v>43525</v>
      </c>
      <c r="E19" s="48" t="str">
        <f>IF(OR(MONTH(D19)=9, MONTH(D19)=10, MONTH(D19)=11), "Spring",
 IF(OR(MONTH(D19)=12, MONTH(D19)=1, MONTH(D19)=2), "Summer",
 IF(OR(MONTH(D19)=3, MONTH(D19)=4, MONTH(D19)=5), "Autumn",
 IF(OR(MONTH(D19)=6, MONTH(D19)=7, MONTH(D19)=8), "Winter", "Unknown"
))))</f>
        <v>Autumn</v>
      </c>
      <c r="F19" s="15">
        <v>279</v>
      </c>
      <c r="G19" s="15">
        <v>216</v>
      </c>
      <c r="H19" s="46">
        <f>F19+G19</f>
        <v>495</v>
      </c>
      <c r="I19" s="49">
        <v>153</v>
      </c>
      <c r="J19" s="46">
        <f t="shared" si="0"/>
        <v>342</v>
      </c>
      <c r="K19" s="15">
        <v>153</v>
      </c>
      <c r="L19" s="15">
        <f>H19-K19</f>
        <v>342</v>
      </c>
      <c r="M19" s="15">
        <v>126</v>
      </c>
      <c r="N19" s="50" t="e">
        <f>IF(B19="Camera",#REF!, IF(B19="Headphones",#REF!, IF(B19="Laptop",#REF!, IF(B19="Smartphone",#REF!, IF(B19="Smartwatch",#REF!,#REF!)))))</f>
        <v>#REF!</v>
      </c>
      <c r="O19" s="50" t="e">
        <f>M19-N19</f>
        <v>#REF!</v>
      </c>
      <c r="P19" s="51">
        <f>K19/((F19+M19)/2)</f>
        <v>0.75555555555555554</v>
      </c>
      <c r="Q19" s="15">
        <v>21</v>
      </c>
      <c r="R19" s="15">
        <v>0.95354476156697998</v>
      </c>
      <c r="S19" s="52">
        <v>325.260098483918</v>
      </c>
      <c r="U19" s="41">
        <v>220</v>
      </c>
      <c r="V19" s="41">
        <v>-784</v>
      </c>
      <c r="W19" s="41">
        <v>-747</v>
      </c>
      <c r="X19" s="41">
        <v>-528</v>
      </c>
      <c r="Y19" s="41">
        <v>-213</v>
      </c>
      <c r="Z19" s="41">
        <v>-28</v>
      </c>
      <c r="AB19" s="39"/>
      <c r="AC19" s="39"/>
      <c r="AD19" s="39"/>
      <c r="AE19" s="39"/>
      <c r="AF19" s="39"/>
      <c r="AG19" s="39"/>
      <c r="AH19" s="39"/>
    </row>
    <row r="20" spans="1:34" ht="15" thickBot="1" x14ac:dyDescent="0.2">
      <c r="A20" s="15">
        <v>1</v>
      </c>
      <c r="B20" s="15" t="s">
        <v>10</v>
      </c>
      <c r="C20" s="46" t="str">
        <f>IF(B20="Smartphone", "Electronics", IF(B20="Laptop", "Computing", IF(B20="Tablet", "Mobile", IF(B20="Smartwatch", "Wearables", IF(B20="Headphones", "Audio", "Photography")))))</f>
        <v>Electronics</v>
      </c>
      <c r="D20" s="47">
        <v>43556</v>
      </c>
      <c r="E20" s="48" t="str">
        <f>IF(OR(MONTH(D20)=9, MONTH(D20)=10, MONTH(D20)=11), "Spring",
 IF(OR(MONTH(D20)=12, MONTH(D20)=1, MONTH(D20)=2), "Summer",
 IF(OR(MONTH(D20)=3, MONTH(D20)=4, MONTH(D20)=5), "Autumn",
 IF(OR(MONTH(D20)=6, MONTH(D20)=7, MONTH(D20)=8), "Winter", "Unknown"
))))</f>
        <v>Autumn</v>
      </c>
      <c r="F20" s="15">
        <v>80</v>
      </c>
      <c r="G20" s="15">
        <v>474</v>
      </c>
      <c r="H20" s="46">
        <f>F20+G20</f>
        <v>554</v>
      </c>
      <c r="I20" s="49">
        <v>572</v>
      </c>
      <c r="J20" s="46">
        <f t="shared" si="0"/>
        <v>-18</v>
      </c>
      <c r="K20" s="15">
        <v>502</v>
      </c>
      <c r="L20" s="15">
        <f>H20-K20</f>
        <v>52</v>
      </c>
      <c r="M20" s="15">
        <v>52</v>
      </c>
      <c r="N20" s="50" t="e">
        <f>IF(B20="Camera",#REF!, IF(B20="Headphones",#REF!, IF(B20="Laptop",#REF!, IF(B20="Smartphone",#REF!, IF(B20="Smartwatch",#REF!,#REF!)))))</f>
        <v>#REF!</v>
      </c>
      <c r="O20" s="50" t="e">
        <f>M20-N20</f>
        <v>#REF!</v>
      </c>
      <c r="P20" s="51">
        <f>K20/((F20+M20)/2)</f>
        <v>7.6060606060606064</v>
      </c>
      <c r="Q20" s="15">
        <v>13</v>
      </c>
      <c r="R20" s="15">
        <v>0.87626131772581395</v>
      </c>
      <c r="S20" s="52">
        <v>86.635475318175693</v>
      </c>
      <c r="U20" s="41">
        <v>-318</v>
      </c>
      <c r="V20" s="41">
        <v>-1718</v>
      </c>
      <c r="W20" s="41">
        <v>-125</v>
      </c>
      <c r="X20" s="41">
        <v>-543</v>
      </c>
      <c r="Y20" s="41">
        <v>-326</v>
      </c>
      <c r="Z20" s="41">
        <v>-250</v>
      </c>
      <c r="AB20" s="40" t="s">
        <v>51</v>
      </c>
      <c r="AC20" s="40">
        <v>33524604.370370384</v>
      </c>
      <c r="AD20" s="40">
        <v>215</v>
      </c>
      <c r="AE20" s="40"/>
      <c r="AF20" s="40"/>
      <c r="AG20" s="40"/>
      <c r="AH20" s="40"/>
    </row>
    <row r="21" spans="1:34" x14ac:dyDescent="0.15">
      <c r="A21" s="15">
        <v>2</v>
      </c>
      <c r="B21" s="15" t="s">
        <v>11</v>
      </c>
      <c r="C21" s="46" t="str">
        <f>IF(B21="Smartphone", "Electronics", IF(B21="Laptop", "Computing", IF(B21="Tablet", "Mobile", IF(B21="Smartwatch", "Wearables", IF(B21="Headphones", "Audio", "Photography")))))</f>
        <v>Computing</v>
      </c>
      <c r="D21" s="47">
        <v>43556</v>
      </c>
      <c r="E21" s="48" t="str">
        <f>IF(OR(MONTH(D21)=9, MONTH(D21)=10, MONTH(D21)=11), "Spring",
 IF(OR(MONTH(D21)=12, MONTH(D21)=1, MONTH(D21)=2), "Summer",
 IF(OR(MONTH(D21)=3, MONTH(D21)=4, MONTH(D21)=5), "Autumn",
 IF(OR(MONTH(D21)=6, MONTH(D21)=7, MONTH(D21)=8), "Winter", "Unknown"
))))</f>
        <v>Autumn</v>
      </c>
      <c r="F21" s="15">
        <v>129</v>
      </c>
      <c r="G21" s="15">
        <v>290</v>
      </c>
      <c r="H21" s="46">
        <f>F21+G21</f>
        <v>419</v>
      </c>
      <c r="I21" s="49">
        <v>825</v>
      </c>
      <c r="J21" s="46">
        <f t="shared" si="0"/>
        <v>-406</v>
      </c>
      <c r="K21" s="15">
        <v>328</v>
      </c>
      <c r="L21" s="15">
        <f>H21-K21</f>
        <v>91</v>
      </c>
      <c r="M21" s="15">
        <v>91</v>
      </c>
      <c r="N21" s="50" t="e">
        <f>IF(B21="Camera",#REF!, IF(B21="Headphones",#REF!, IF(B21="Laptop",#REF!, IF(B21="Smartphone",#REF!, IF(B21="Smartwatch",#REF!,#REF!)))))</f>
        <v>#REF!</v>
      </c>
      <c r="O21" s="50" t="e">
        <f>M21-N21</f>
        <v>#REF!</v>
      </c>
      <c r="P21" s="51">
        <f>K21/((F21+M21)/2)</f>
        <v>2.9818181818181819</v>
      </c>
      <c r="Q21" s="15">
        <v>21</v>
      </c>
      <c r="R21" s="15">
        <v>0.8</v>
      </c>
      <c r="S21" s="52">
        <v>17.733266829623901</v>
      </c>
      <c r="U21" s="41">
        <v>-357</v>
      </c>
      <c r="V21" s="41">
        <v>-809</v>
      </c>
      <c r="W21" s="41">
        <v>82</v>
      </c>
      <c r="X21" s="41">
        <v>-258</v>
      </c>
      <c r="Y21" s="41">
        <v>-425</v>
      </c>
      <c r="Z21" s="41">
        <v>158</v>
      </c>
    </row>
    <row r="22" spans="1:34" x14ac:dyDescent="0.15">
      <c r="A22" s="15">
        <v>3</v>
      </c>
      <c r="B22" s="15" t="s">
        <v>12</v>
      </c>
      <c r="C22" s="46" t="str">
        <f>IF(B22="Smartphone", "Electronics", IF(B22="Laptop", "Computing", IF(B22="Tablet", "Mobile", IF(B22="Smartwatch", "Wearables", IF(B22="Headphones", "Audio", "Photography")))))</f>
        <v>Mobile</v>
      </c>
      <c r="D22" s="47">
        <v>43556</v>
      </c>
      <c r="E22" s="48" t="str">
        <f>IF(OR(MONTH(D22)=9, MONTH(D22)=10, MONTH(D22)=11), "Spring",
 IF(OR(MONTH(D22)=12, MONTH(D22)=1, MONTH(D22)=2), "Summer",
 IF(OR(MONTH(D22)=3, MONTH(D22)=4, MONTH(D22)=5), "Autumn",
 IF(OR(MONTH(D22)=6, MONTH(D22)=7, MONTH(D22)=8), "Winter", "Unknown"
))))</f>
        <v>Autumn</v>
      </c>
      <c r="F22" s="15">
        <v>63</v>
      </c>
      <c r="G22" s="15">
        <v>268</v>
      </c>
      <c r="H22" s="46">
        <f>F22+G22</f>
        <v>331</v>
      </c>
      <c r="I22" s="49">
        <v>461</v>
      </c>
      <c r="J22" s="46">
        <f t="shared" si="0"/>
        <v>-130</v>
      </c>
      <c r="K22" s="15">
        <v>303</v>
      </c>
      <c r="L22" s="15">
        <f>H22-K22</f>
        <v>28</v>
      </c>
      <c r="M22" s="15">
        <v>89</v>
      </c>
      <c r="N22" s="50" t="e">
        <f>IF(B22="Camera",#REF!, IF(B22="Headphones",#REF!, IF(B22="Laptop",#REF!, IF(B22="Smartphone",#REF!, IF(B22="Smartwatch",#REF!,#REF!)))))</f>
        <v>#REF!</v>
      </c>
      <c r="O22" s="50" t="e">
        <f>M22-N22</f>
        <v>#REF!</v>
      </c>
      <c r="P22" s="51">
        <f>K22/((F22+M22)/2)</f>
        <v>3.986842105263158</v>
      </c>
      <c r="Q22" s="15">
        <v>8</v>
      </c>
      <c r="R22" s="15">
        <v>0.90628755862677102</v>
      </c>
      <c r="S22" s="52">
        <v>86.932992772497698</v>
      </c>
      <c r="U22" s="41">
        <v>-593</v>
      </c>
      <c r="V22" s="41">
        <v>-1303</v>
      </c>
      <c r="W22" s="41">
        <v>42</v>
      </c>
      <c r="X22" s="41">
        <v>-255</v>
      </c>
      <c r="Y22" s="41">
        <v>-238</v>
      </c>
      <c r="Z22" s="41">
        <v>-19</v>
      </c>
    </row>
    <row r="23" spans="1:34" x14ac:dyDescent="0.15">
      <c r="A23" s="15">
        <v>4</v>
      </c>
      <c r="B23" s="15" t="s">
        <v>13</v>
      </c>
      <c r="C23" s="46" t="str">
        <f>IF(B23="Smartphone", "Electronics", IF(B23="Laptop", "Computing", IF(B23="Tablet", "Mobile", IF(B23="Smartwatch", "Wearables", IF(B23="Headphones", "Audio", "Photography")))))</f>
        <v>Wearables</v>
      </c>
      <c r="D23" s="47">
        <v>43556</v>
      </c>
      <c r="E23" s="48" t="str">
        <f>IF(OR(MONTH(D23)=9, MONTH(D23)=10, MONTH(D23)=11), "Spring",
 IF(OR(MONTH(D23)=12, MONTH(D23)=1, MONTH(D23)=2), "Summer",
 IF(OR(MONTH(D23)=3, MONTH(D23)=4, MONTH(D23)=5), "Autumn",
 IF(OR(MONTH(D23)=6, MONTH(D23)=7, MONTH(D23)=8), "Winter", "Unknown"
))))</f>
        <v>Autumn</v>
      </c>
      <c r="F23" s="15">
        <v>102</v>
      </c>
      <c r="G23" s="15">
        <v>237</v>
      </c>
      <c r="H23" s="46">
        <f>F23+G23</f>
        <v>339</v>
      </c>
      <c r="I23" s="49">
        <v>443</v>
      </c>
      <c r="J23" s="46">
        <f t="shared" si="0"/>
        <v>-104</v>
      </c>
      <c r="K23" s="15">
        <v>295</v>
      </c>
      <c r="L23" s="15">
        <f>H23-K23</f>
        <v>44</v>
      </c>
      <c r="M23" s="15">
        <v>44</v>
      </c>
      <c r="N23" s="50" t="e">
        <f>IF(B23="Camera",#REF!, IF(B23="Headphones",#REF!, IF(B23="Laptop",#REF!, IF(B23="Smartphone",#REF!, IF(B23="Smartwatch",#REF!,#REF!)))))</f>
        <v>#REF!</v>
      </c>
      <c r="O23" s="50" t="e">
        <f>M23-N23</f>
        <v>#REF!</v>
      </c>
      <c r="P23" s="51">
        <f>K23/((F23+M23)/2)</f>
        <v>4.0410958904109586</v>
      </c>
      <c r="Q23" s="15">
        <v>14</v>
      </c>
      <c r="R23" s="15">
        <v>0.899290098779433</v>
      </c>
      <c r="S23" s="52">
        <v>23.663381579939301</v>
      </c>
      <c r="U23" s="41">
        <v>161</v>
      </c>
      <c r="V23" s="41">
        <v>-1169</v>
      </c>
      <c r="W23" s="41">
        <v>349</v>
      </c>
      <c r="X23" s="41">
        <v>-222</v>
      </c>
      <c r="Y23" s="41">
        <v>-151</v>
      </c>
      <c r="Z23" s="41">
        <v>-13</v>
      </c>
    </row>
    <row r="24" spans="1:34" x14ac:dyDescent="0.15">
      <c r="A24" s="15">
        <v>5</v>
      </c>
      <c r="B24" s="15" t="s">
        <v>14</v>
      </c>
      <c r="C24" s="46" t="str">
        <f>IF(B24="Smartphone", "Electronics", IF(B24="Laptop", "Computing", IF(B24="Tablet", "Mobile", IF(B24="Smartwatch", "Wearables", IF(B24="Headphones", "Audio", "Photography")))))</f>
        <v>Audio</v>
      </c>
      <c r="D24" s="47">
        <v>43556</v>
      </c>
      <c r="E24" s="48" t="str">
        <f>IF(OR(MONTH(D24)=9, MONTH(D24)=10, MONTH(D24)=11), "Spring",
 IF(OR(MONTH(D24)=12, MONTH(D24)=1, MONTH(D24)=2), "Summer",
 IF(OR(MONTH(D24)=3, MONTH(D24)=4, MONTH(D24)=5), "Autumn",
 IF(OR(MONTH(D24)=6, MONTH(D24)=7, MONTH(D24)=8), "Winter", "Unknown"
))))</f>
        <v>Autumn</v>
      </c>
      <c r="F24" s="15">
        <v>97</v>
      </c>
      <c r="G24" s="15">
        <v>351</v>
      </c>
      <c r="H24" s="46">
        <f>F24+G24</f>
        <v>448</v>
      </c>
      <c r="I24" s="49">
        <v>655</v>
      </c>
      <c r="J24" s="46">
        <f t="shared" si="0"/>
        <v>-207</v>
      </c>
      <c r="K24" s="15">
        <v>360</v>
      </c>
      <c r="L24" s="15">
        <f>H24-K24</f>
        <v>88</v>
      </c>
      <c r="M24" s="15">
        <v>88</v>
      </c>
      <c r="N24" s="50" t="e">
        <f>IF(B24="Camera",#REF!, IF(B24="Headphones",#REF!, IF(B24="Laptop",#REF!, IF(B24="Smartphone",#REF!, IF(B24="Smartwatch",#REF!,#REF!)))))</f>
        <v>#REF!</v>
      </c>
      <c r="O24" s="50" t="e">
        <f>M24-N24</f>
        <v>#REF!</v>
      </c>
      <c r="P24" s="51">
        <f>K24/((F24+M24)/2)</f>
        <v>3.8918918918918921</v>
      </c>
      <c r="Q24" s="15">
        <v>8</v>
      </c>
      <c r="R24" s="15">
        <v>0.85689750592977498</v>
      </c>
      <c r="S24" s="52">
        <v>103.122810948989</v>
      </c>
      <c r="U24" s="41">
        <v>-418</v>
      </c>
      <c r="V24" s="41">
        <v>-1162</v>
      </c>
      <c r="W24" s="41">
        <v>-61</v>
      </c>
      <c r="X24" s="41">
        <v>-350</v>
      </c>
      <c r="Y24" s="41">
        <v>111</v>
      </c>
      <c r="Z24" s="41">
        <v>25</v>
      </c>
    </row>
    <row r="25" spans="1:34" x14ac:dyDescent="0.15">
      <c r="A25" s="15">
        <v>6</v>
      </c>
      <c r="B25" s="15" t="s">
        <v>15</v>
      </c>
      <c r="C25" s="46" t="str">
        <f>IF(B25="Smartphone", "Electronics", IF(B25="Laptop", "Computing", IF(B25="Tablet", "Mobile", IF(B25="Smartwatch", "Wearables", IF(B25="Headphones", "Audio", "Photography")))))</f>
        <v>Photography</v>
      </c>
      <c r="D25" s="47">
        <v>43556</v>
      </c>
      <c r="E25" s="48" t="str">
        <f>IF(OR(MONTH(D25)=9, MONTH(D25)=10, MONTH(D25)=11), "Spring",
 IF(OR(MONTH(D25)=12, MONTH(D25)=1, MONTH(D25)=2), "Summer",
 IF(OR(MONTH(D25)=3, MONTH(D25)=4, MONTH(D25)=5), "Autumn",
 IF(OR(MONTH(D25)=6, MONTH(D25)=7, MONTH(D25)=8), "Winter", "Unknown"
))))</f>
        <v>Autumn</v>
      </c>
      <c r="F25" s="15">
        <v>118</v>
      </c>
      <c r="G25" s="15">
        <v>68</v>
      </c>
      <c r="H25" s="46">
        <f>F25+G25</f>
        <v>186</v>
      </c>
      <c r="I25" s="49">
        <v>573</v>
      </c>
      <c r="J25" s="46">
        <f t="shared" si="0"/>
        <v>-387</v>
      </c>
      <c r="K25" s="15">
        <v>159</v>
      </c>
      <c r="L25" s="15">
        <f>H25-K25</f>
        <v>27</v>
      </c>
      <c r="M25" s="15">
        <v>27</v>
      </c>
      <c r="N25" s="50" t="e">
        <f>IF(B25="Camera",#REF!, IF(B25="Headphones",#REF!, IF(B25="Laptop",#REF!, IF(B25="Smartphone",#REF!, IF(B25="Smartwatch",#REF!,#REF!)))))</f>
        <v>#REF!</v>
      </c>
      <c r="O25" s="50" t="e">
        <f>M25-N25</f>
        <v>#REF!</v>
      </c>
      <c r="P25" s="51">
        <f>K25/((F25+M25)/2)</f>
        <v>2.193103448275862</v>
      </c>
      <c r="Q25" s="15">
        <v>14</v>
      </c>
      <c r="R25" s="15">
        <v>0.90474999417485202</v>
      </c>
      <c r="S25" s="52">
        <v>33.634562504475603</v>
      </c>
      <c r="U25" s="41">
        <v>418</v>
      </c>
      <c r="V25" s="41">
        <v>-1217</v>
      </c>
      <c r="W25" s="41">
        <v>-218</v>
      </c>
      <c r="X25" s="41">
        <v>-79</v>
      </c>
      <c r="Y25" s="41">
        <v>34</v>
      </c>
      <c r="Z25" s="41">
        <v>-383</v>
      </c>
    </row>
    <row r="26" spans="1:34" x14ac:dyDescent="0.15">
      <c r="A26" s="15">
        <v>1</v>
      </c>
      <c r="B26" s="15" t="s">
        <v>10</v>
      </c>
      <c r="C26" s="46" t="str">
        <f>IF(B26="Smartphone", "Electronics", IF(B26="Laptop", "Computing", IF(B26="Tablet", "Mobile", IF(B26="Smartwatch", "Wearables", IF(B26="Headphones", "Audio", "Photography")))))</f>
        <v>Electronics</v>
      </c>
      <c r="D26" s="47">
        <v>43586</v>
      </c>
      <c r="E26" s="48" t="str">
        <f>IF(OR(MONTH(D26)=9, MONTH(D26)=10, MONTH(D26)=11), "Spring",
 IF(OR(MONTH(D26)=12, MONTH(D26)=1, MONTH(D26)=2), "Summer",
 IF(OR(MONTH(D26)=3, MONTH(D26)=4, MONTH(D26)=5), "Autumn",
 IF(OR(MONTH(D26)=6, MONTH(D26)=7, MONTH(D26)=8), "Winter", "Unknown"
))))</f>
        <v>Autumn</v>
      </c>
      <c r="F26" s="15">
        <v>38</v>
      </c>
      <c r="G26" s="15">
        <v>117</v>
      </c>
      <c r="H26" s="46">
        <f>F26+G26</f>
        <v>155</v>
      </c>
      <c r="I26" s="49">
        <v>699</v>
      </c>
      <c r="J26" s="46">
        <f t="shared" si="0"/>
        <v>-544</v>
      </c>
      <c r="K26" s="15">
        <v>122</v>
      </c>
      <c r="L26" s="15">
        <f>H26-K26</f>
        <v>33</v>
      </c>
      <c r="M26" s="15">
        <v>2</v>
      </c>
      <c r="N26" s="50" t="e">
        <f>IF(B26="Camera",#REF!, IF(B26="Headphones",#REF!, IF(B26="Laptop",#REF!, IF(B26="Smartphone",#REF!, IF(B26="Smartwatch",#REF!,#REF!)))))</f>
        <v>#REF!</v>
      </c>
      <c r="O26" s="50" t="e">
        <f>M26-N26</f>
        <v>#REF!</v>
      </c>
      <c r="P26" s="51">
        <f>K26/((F26+M26)/2)</f>
        <v>6.1</v>
      </c>
      <c r="Q26" s="15">
        <v>7</v>
      </c>
      <c r="R26" s="15">
        <v>0.84623677058868296</v>
      </c>
      <c r="S26" s="52">
        <v>49.432360037966603</v>
      </c>
      <c r="U26" s="41">
        <v>-563</v>
      </c>
      <c r="V26" s="41">
        <v>-839</v>
      </c>
      <c r="W26" s="41">
        <v>191</v>
      </c>
      <c r="X26" s="41">
        <v>-277</v>
      </c>
      <c r="Y26" s="41">
        <v>-491</v>
      </c>
      <c r="Z26" s="41">
        <v>-240</v>
      </c>
    </row>
    <row r="27" spans="1:34" x14ac:dyDescent="0.15">
      <c r="A27" s="15">
        <v>2</v>
      </c>
      <c r="B27" s="15" t="s">
        <v>11</v>
      </c>
      <c r="C27" s="46" t="str">
        <f>IF(B27="Smartphone", "Electronics", IF(B27="Laptop", "Computing", IF(B27="Tablet", "Mobile", IF(B27="Smartwatch", "Wearables", IF(B27="Headphones", "Audio", "Photography")))))</f>
        <v>Computing</v>
      </c>
      <c r="D27" s="47">
        <v>43586</v>
      </c>
      <c r="E27" s="48" t="str">
        <f>IF(OR(MONTH(D27)=9, MONTH(D27)=10, MONTH(D27)=11), "Spring",
 IF(OR(MONTH(D27)=12, MONTH(D27)=1, MONTH(D27)=2), "Summer",
 IF(OR(MONTH(D27)=3, MONTH(D27)=4, MONTH(D27)=5), "Autumn",
 IF(OR(MONTH(D27)=6, MONTH(D27)=7, MONTH(D27)=8), "Winter", "Unknown"
))))</f>
        <v>Autumn</v>
      </c>
      <c r="F27" s="15">
        <v>51</v>
      </c>
      <c r="G27" s="15">
        <v>267</v>
      </c>
      <c r="H27" s="46">
        <f>F27+G27</f>
        <v>318</v>
      </c>
      <c r="I27" s="49">
        <v>636</v>
      </c>
      <c r="J27" s="46">
        <f t="shared" si="0"/>
        <v>-318</v>
      </c>
      <c r="K27" s="15">
        <v>260</v>
      </c>
      <c r="L27" s="15">
        <f>H27-K27</f>
        <v>58</v>
      </c>
      <c r="M27" s="15">
        <v>7</v>
      </c>
      <c r="N27" s="50" t="e">
        <f>IF(B27="Camera",#REF!, IF(B27="Headphones",#REF!, IF(B27="Laptop",#REF!, IF(B27="Smartphone",#REF!, IF(B27="Smartwatch",#REF!,#REF!)))))</f>
        <v>#REF!</v>
      </c>
      <c r="O27" s="50" t="e">
        <f>M27-N27</f>
        <v>#REF!</v>
      </c>
      <c r="P27" s="51">
        <f>K27/((F27+M27)/2)</f>
        <v>8.9655172413793096</v>
      </c>
      <c r="Q27" s="15">
        <v>23</v>
      </c>
      <c r="R27" s="15">
        <v>0.91649199768116696</v>
      </c>
      <c r="S27" s="52">
        <v>57.012184042034697</v>
      </c>
      <c r="U27" s="41">
        <v>86</v>
      </c>
      <c r="V27" s="41">
        <v>-1086</v>
      </c>
      <c r="W27" s="41">
        <v>-136</v>
      </c>
      <c r="X27" s="41">
        <v>-206</v>
      </c>
      <c r="Y27" s="41">
        <v>-523</v>
      </c>
      <c r="Z27" s="41">
        <v>-291</v>
      </c>
    </row>
    <row r="28" spans="1:34" x14ac:dyDescent="0.15">
      <c r="A28" s="15">
        <v>3</v>
      </c>
      <c r="B28" s="15" t="s">
        <v>12</v>
      </c>
      <c r="C28" s="46" t="str">
        <f>IF(B28="Smartphone", "Electronics", IF(B28="Laptop", "Computing", IF(B28="Tablet", "Mobile", IF(B28="Smartwatch", "Wearables", IF(B28="Headphones", "Audio", "Photography")))))</f>
        <v>Mobile</v>
      </c>
      <c r="D28" s="47">
        <v>43586</v>
      </c>
      <c r="E28" s="48" t="str">
        <f>IF(OR(MONTH(D28)=9, MONTH(D28)=10, MONTH(D28)=11), "Spring",
 IF(OR(MONTH(D28)=12, MONTH(D28)=1, MONTH(D28)=2), "Summer",
 IF(OR(MONTH(D28)=3, MONTH(D28)=4, MONTH(D28)=5), "Autumn",
 IF(OR(MONTH(D28)=6, MONTH(D28)=7, MONTH(D28)=8), "Winter", "Unknown"
))))</f>
        <v>Autumn</v>
      </c>
      <c r="F28" s="15">
        <v>50</v>
      </c>
      <c r="G28" s="15">
        <v>151</v>
      </c>
      <c r="H28" s="46">
        <f>F28+G28</f>
        <v>201</v>
      </c>
      <c r="I28" s="49">
        <v>243</v>
      </c>
      <c r="J28" s="46">
        <f t="shared" si="0"/>
        <v>-42</v>
      </c>
      <c r="K28" s="15">
        <v>147</v>
      </c>
      <c r="L28" s="15">
        <f>H28-K28</f>
        <v>54</v>
      </c>
      <c r="M28" s="15">
        <v>4</v>
      </c>
      <c r="N28" s="50" t="e">
        <f>IF(B28="Camera",#REF!, IF(B28="Headphones",#REF!, IF(B28="Laptop",#REF!, IF(B28="Smartphone",#REF!, IF(B28="Smartwatch",#REF!,#REF!)))))</f>
        <v>#REF!</v>
      </c>
      <c r="O28" s="50" t="e">
        <f>M28-N28</f>
        <v>#REF!</v>
      </c>
      <c r="P28" s="51">
        <f>K28/((F28+M28)/2)</f>
        <v>5.4444444444444446</v>
      </c>
      <c r="Q28" s="15">
        <v>12</v>
      </c>
      <c r="R28" s="15">
        <v>1</v>
      </c>
      <c r="S28" s="52">
        <v>86.512363418368295</v>
      </c>
      <c r="U28" s="41">
        <v>-773</v>
      </c>
      <c r="V28" s="41">
        <v>-1076</v>
      </c>
      <c r="W28" s="41">
        <v>-527</v>
      </c>
      <c r="X28" s="41">
        <v>-54</v>
      </c>
      <c r="Y28" s="41">
        <v>-350</v>
      </c>
      <c r="Z28" s="41">
        <v>-118</v>
      </c>
    </row>
    <row r="29" spans="1:34" x14ac:dyDescent="0.15">
      <c r="A29" s="15">
        <v>4</v>
      </c>
      <c r="B29" s="15" t="s">
        <v>13</v>
      </c>
      <c r="C29" s="46" t="str">
        <f>IF(B29="Smartphone", "Electronics", IF(B29="Laptop", "Computing", IF(B29="Tablet", "Mobile", IF(B29="Smartwatch", "Wearables", IF(B29="Headphones", "Audio", "Photography")))))</f>
        <v>Wearables</v>
      </c>
      <c r="D29" s="47">
        <v>43586</v>
      </c>
      <c r="E29" s="48" t="str">
        <f>IF(OR(MONTH(D29)=9, MONTH(D29)=10, MONTH(D29)=11), "Spring",
 IF(OR(MONTH(D29)=12, MONTH(D29)=1, MONTH(D29)=2), "Summer",
 IF(OR(MONTH(D29)=3, MONTH(D29)=4, MONTH(D29)=5), "Autumn",
 IF(OR(MONTH(D29)=6, MONTH(D29)=7, MONTH(D29)=8), "Winter", "Unknown"
))))</f>
        <v>Autumn</v>
      </c>
      <c r="F29" s="15">
        <v>29</v>
      </c>
      <c r="G29" s="15">
        <v>91</v>
      </c>
      <c r="H29" s="46">
        <f>F29+G29</f>
        <v>120</v>
      </c>
      <c r="I29" s="49">
        <v>478</v>
      </c>
      <c r="J29" s="46">
        <f t="shared" si="0"/>
        <v>-358</v>
      </c>
      <c r="K29" s="15">
        <v>76</v>
      </c>
      <c r="L29" s="15">
        <f>H29-K29</f>
        <v>44</v>
      </c>
      <c r="M29" s="15">
        <v>15</v>
      </c>
      <c r="N29" s="50" t="e">
        <f>IF(B29="Camera",#REF!, IF(B29="Headphones",#REF!, IF(B29="Laptop",#REF!, IF(B29="Smartphone",#REF!, IF(B29="Smartwatch",#REF!,#REF!)))))</f>
        <v>#REF!</v>
      </c>
      <c r="O29" s="50" t="e">
        <f>M29-N29</f>
        <v>#REF!</v>
      </c>
      <c r="P29" s="51">
        <f>K29/((F29+M29)/2)</f>
        <v>3.4545454545454546</v>
      </c>
      <c r="Q29" s="15">
        <v>11</v>
      </c>
      <c r="R29" s="15">
        <v>0.80971972635466105</v>
      </c>
      <c r="S29" s="52">
        <v>54.162980392028302</v>
      </c>
      <c r="U29" s="41">
        <v>26</v>
      </c>
      <c r="V29" s="41">
        <v>-748</v>
      </c>
      <c r="W29" s="41">
        <v>-520</v>
      </c>
      <c r="X29" s="41">
        <v>97</v>
      </c>
      <c r="Y29" s="41">
        <v>-495</v>
      </c>
      <c r="Z29" s="41">
        <v>-43</v>
      </c>
    </row>
    <row r="30" spans="1:34" x14ac:dyDescent="0.15">
      <c r="A30" s="15">
        <v>5</v>
      </c>
      <c r="B30" s="15" t="s">
        <v>14</v>
      </c>
      <c r="C30" s="46" t="str">
        <f>IF(B30="Smartphone", "Electronics", IF(B30="Laptop", "Computing", IF(B30="Tablet", "Mobile", IF(B30="Smartwatch", "Wearables", IF(B30="Headphones", "Audio", "Photography")))))</f>
        <v>Audio</v>
      </c>
      <c r="D30" s="47">
        <v>43586</v>
      </c>
      <c r="E30" s="48" t="str">
        <f>IF(OR(MONTH(D30)=9, MONTH(D30)=10, MONTH(D30)=11), "Spring",
 IF(OR(MONTH(D30)=12, MONTH(D30)=1, MONTH(D30)=2), "Summer",
 IF(OR(MONTH(D30)=3, MONTH(D30)=4, MONTH(D30)=5), "Autumn",
 IF(OR(MONTH(D30)=6, MONTH(D30)=7, MONTH(D30)=8), "Winter", "Unknown"
))))</f>
        <v>Autumn</v>
      </c>
      <c r="F30" s="15">
        <v>44</v>
      </c>
      <c r="G30" s="15">
        <v>337</v>
      </c>
      <c r="H30" s="46">
        <f>F30+G30</f>
        <v>381</v>
      </c>
      <c r="I30" s="49">
        <v>887</v>
      </c>
      <c r="J30" s="46">
        <f t="shared" si="0"/>
        <v>-506</v>
      </c>
      <c r="K30" s="15">
        <v>251</v>
      </c>
      <c r="L30" s="15">
        <f>H30-K30</f>
        <v>130</v>
      </c>
      <c r="M30" s="15">
        <v>86</v>
      </c>
      <c r="N30" s="50" t="e">
        <f>IF(B30="Camera",#REF!, IF(B30="Headphones",#REF!, IF(B30="Laptop",#REF!, IF(B30="Smartphone",#REF!, IF(B30="Smartwatch",#REF!,#REF!)))))</f>
        <v>#REF!</v>
      </c>
      <c r="O30" s="50" t="e">
        <f>M30-N30</f>
        <v>#REF!</v>
      </c>
      <c r="P30" s="51">
        <f>K30/((F30+M30)/2)</f>
        <v>3.8615384615384616</v>
      </c>
      <c r="Q30" s="15">
        <v>22</v>
      </c>
      <c r="R30" s="15">
        <v>0.87418789564954202</v>
      </c>
      <c r="S30" s="52">
        <v>64.561929690372395</v>
      </c>
      <c r="U30" s="41">
        <v>277</v>
      </c>
      <c r="V30" s="41">
        <v>-788</v>
      </c>
      <c r="W30" s="41">
        <v>-336</v>
      </c>
      <c r="X30" s="41">
        <v>55</v>
      </c>
      <c r="Y30" s="41">
        <v>-343</v>
      </c>
      <c r="Z30" s="41">
        <v>-484</v>
      </c>
    </row>
    <row r="31" spans="1:34" x14ac:dyDescent="0.15">
      <c r="A31" s="15">
        <v>6</v>
      </c>
      <c r="B31" s="15" t="s">
        <v>15</v>
      </c>
      <c r="C31" s="46" t="str">
        <f>IF(B31="Smartphone", "Electronics", IF(B31="Laptop", "Computing", IF(B31="Tablet", "Mobile", IF(B31="Smartwatch", "Wearables", IF(B31="Headphones", "Audio", "Photography")))))</f>
        <v>Photography</v>
      </c>
      <c r="D31" s="47">
        <v>43586</v>
      </c>
      <c r="E31" s="48" t="str">
        <f>IF(OR(MONTH(D31)=9, MONTH(D31)=10, MONTH(D31)=11), "Spring",
 IF(OR(MONTH(D31)=12, MONTH(D31)=1, MONTH(D31)=2), "Summer",
 IF(OR(MONTH(D31)=3, MONTH(D31)=4, MONTH(D31)=5), "Autumn",
 IF(OR(MONTH(D31)=6, MONTH(D31)=7, MONTH(D31)=8), "Winter", "Unknown"
))))</f>
        <v>Autumn</v>
      </c>
      <c r="F31" s="15">
        <v>43</v>
      </c>
      <c r="G31" s="15">
        <v>216</v>
      </c>
      <c r="H31" s="46">
        <f>F31+G31</f>
        <v>259</v>
      </c>
      <c r="I31" s="49">
        <v>602</v>
      </c>
      <c r="J31" s="46">
        <f t="shared" si="0"/>
        <v>-343</v>
      </c>
      <c r="K31" s="15">
        <v>187</v>
      </c>
      <c r="L31" s="15">
        <f>H31-K31</f>
        <v>72</v>
      </c>
      <c r="M31" s="15">
        <v>29</v>
      </c>
      <c r="N31" s="50" t="e">
        <f>IF(B31="Camera",#REF!, IF(B31="Headphones",#REF!, IF(B31="Laptop",#REF!, IF(B31="Smartphone",#REF!, IF(B31="Smartwatch",#REF!,#REF!)))))</f>
        <v>#REF!</v>
      </c>
      <c r="O31" s="50" t="e">
        <f>M31-N31</f>
        <v>#REF!</v>
      </c>
      <c r="P31" s="51">
        <f>K31/((F31+M31)/2)</f>
        <v>5.1944444444444446</v>
      </c>
      <c r="Q31" s="15">
        <v>22</v>
      </c>
      <c r="R31" s="15">
        <v>0.86617474392754301</v>
      </c>
      <c r="S31" s="52">
        <v>110.66215858616999</v>
      </c>
      <c r="U31" s="41">
        <v>187</v>
      </c>
      <c r="V31" s="41">
        <v>-1151</v>
      </c>
      <c r="W31" s="41">
        <v>180</v>
      </c>
      <c r="X31" s="41">
        <v>-8</v>
      </c>
      <c r="Y31" s="41">
        <v>-402</v>
      </c>
      <c r="Z31" s="41">
        <v>-26</v>
      </c>
    </row>
    <row r="32" spans="1:34" x14ac:dyDescent="0.15">
      <c r="A32" s="15">
        <v>1</v>
      </c>
      <c r="B32" s="15" t="s">
        <v>10</v>
      </c>
      <c r="C32" s="46" t="str">
        <f>IF(B32="Smartphone", "Electronics", IF(B32="Laptop", "Computing", IF(B32="Tablet", "Mobile", IF(B32="Smartwatch", "Wearables", IF(B32="Headphones", "Audio", "Photography")))))</f>
        <v>Electronics</v>
      </c>
      <c r="D32" s="47">
        <v>43617</v>
      </c>
      <c r="E32" s="48" t="str">
        <f>IF(OR(MONTH(D32)=9, MONTH(D32)=10, MONTH(D32)=11), "Spring",
 IF(OR(MONTH(D32)=12, MONTH(D32)=1, MONTH(D32)=2), "Summer",
 IF(OR(MONTH(D32)=3, MONTH(D32)=4, MONTH(D32)=5), "Autumn",
 IF(OR(MONTH(D32)=6, MONTH(D32)=7, MONTH(D32)=8), "Winter", "Unknown"
))))</f>
        <v>Winter</v>
      </c>
      <c r="F32" s="15">
        <v>53</v>
      </c>
      <c r="G32" s="15">
        <v>158</v>
      </c>
      <c r="H32" s="46">
        <f>F32+G32</f>
        <v>211</v>
      </c>
      <c r="I32" s="49">
        <v>424</v>
      </c>
      <c r="J32" s="46">
        <f t="shared" si="0"/>
        <v>-213</v>
      </c>
      <c r="K32" s="15">
        <v>156</v>
      </c>
      <c r="L32" s="15">
        <f>H32-K32</f>
        <v>55</v>
      </c>
      <c r="M32" s="15">
        <v>2</v>
      </c>
      <c r="N32" s="50" t="e">
        <f>IF(B32="Camera",#REF!, IF(B32="Headphones",#REF!, IF(B32="Laptop",#REF!, IF(B32="Smartphone",#REF!, IF(B32="Smartwatch",#REF!,#REF!)))))</f>
        <v>#REF!</v>
      </c>
      <c r="O32" s="50" t="e">
        <f>M32-N32</f>
        <v>#REF!</v>
      </c>
      <c r="P32" s="51">
        <f>K32/((F32+M32)/2)</f>
        <v>5.6727272727272728</v>
      </c>
      <c r="Q32" s="15">
        <v>11</v>
      </c>
      <c r="R32" s="15">
        <v>0.87833700582562202</v>
      </c>
      <c r="S32" s="52">
        <v>49.9784792320701</v>
      </c>
      <c r="U32" s="41">
        <v>-605</v>
      </c>
      <c r="V32" s="41">
        <v>-1176</v>
      </c>
      <c r="W32" s="41">
        <v>21</v>
      </c>
      <c r="X32" s="41">
        <v>-504</v>
      </c>
      <c r="Y32" s="41">
        <v>-190</v>
      </c>
      <c r="Z32" s="41">
        <v>-76</v>
      </c>
    </row>
    <row r="33" spans="1:26" x14ac:dyDescent="0.15">
      <c r="A33" s="15">
        <v>2</v>
      </c>
      <c r="B33" s="15" t="s">
        <v>11</v>
      </c>
      <c r="C33" s="46" t="str">
        <f>IF(B33="Smartphone", "Electronics", IF(B33="Laptop", "Computing", IF(B33="Tablet", "Mobile", IF(B33="Smartwatch", "Wearables", IF(B33="Headphones", "Audio", "Photography")))))</f>
        <v>Computing</v>
      </c>
      <c r="D33" s="47">
        <v>43617</v>
      </c>
      <c r="E33" s="48" t="str">
        <f>IF(OR(MONTH(D33)=9, MONTH(D33)=10, MONTH(D33)=11), "Spring",
 IF(OR(MONTH(D33)=12, MONTH(D33)=1, MONTH(D33)=2), "Summer",
 IF(OR(MONTH(D33)=3, MONTH(D33)=4, MONTH(D33)=5), "Autumn",
 IF(OR(MONTH(D33)=6, MONTH(D33)=7, MONTH(D33)=8), "Winter", "Unknown"
))))</f>
        <v>Winter</v>
      </c>
      <c r="F33" s="15">
        <v>51</v>
      </c>
      <c r="G33" s="15">
        <v>85</v>
      </c>
      <c r="H33" s="46">
        <f>F33+G33</f>
        <v>136</v>
      </c>
      <c r="I33" s="49">
        <v>622</v>
      </c>
      <c r="J33" s="46">
        <f t="shared" si="0"/>
        <v>-486</v>
      </c>
      <c r="K33" s="15">
        <v>87</v>
      </c>
      <c r="L33" s="15">
        <f>H33-K33</f>
        <v>49</v>
      </c>
      <c r="M33" s="15">
        <v>55</v>
      </c>
      <c r="N33" s="50" t="e">
        <f>IF(B33="Camera",#REF!, IF(B33="Headphones",#REF!, IF(B33="Laptop",#REF!, IF(B33="Smartphone",#REF!, IF(B33="Smartwatch",#REF!,#REF!)))))</f>
        <v>#REF!</v>
      </c>
      <c r="O33" s="50" t="e">
        <f>M33-N33</f>
        <v>#REF!</v>
      </c>
      <c r="P33" s="51">
        <f>K33/((F33+M33)/2)</f>
        <v>1.6415094339622642</v>
      </c>
      <c r="Q33" s="15">
        <v>25</v>
      </c>
      <c r="R33" s="15">
        <v>0.95099622897984804</v>
      </c>
      <c r="S33" s="52">
        <v>81.369789051371697</v>
      </c>
      <c r="U33" s="41">
        <v>-123</v>
      </c>
      <c r="V33" s="41">
        <v>-925</v>
      </c>
      <c r="W33" s="41">
        <v>-407</v>
      </c>
      <c r="X33" s="41">
        <v>-351</v>
      </c>
      <c r="Y33" s="41">
        <v>-202</v>
      </c>
      <c r="Z33" s="41">
        <v>15</v>
      </c>
    </row>
    <row r="34" spans="1:26" x14ac:dyDescent="0.15">
      <c r="A34" s="15">
        <v>3</v>
      </c>
      <c r="B34" s="15" t="s">
        <v>12</v>
      </c>
      <c r="C34" s="46" t="str">
        <f>IF(B34="Smartphone", "Electronics", IF(B34="Laptop", "Computing", IF(B34="Tablet", "Mobile", IF(B34="Smartwatch", "Wearables", IF(B34="Headphones", "Audio", "Photography")))))</f>
        <v>Mobile</v>
      </c>
      <c r="D34" s="47">
        <v>43617</v>
      </c>
      <c r="E34" s="48" t="str">
        <f>IF(OR(MONTH(D34)=9, MONTH(D34)=10, MONTH(D34)=11), "Spring",
 IF(OR(MONTH(D34)=12, MONTH(D34)=1, MONTH(D34)=2), "Summer",
 IF(OR(MONTH(D34)=3, MONTH(D34)=4, MONTH(D34)=5), "Autumn",
 IF(OR(MONTH(D34)=6, MONTH(D34)=7, MONTH(D34)=8), "Winter", "Unknown"
))))</f>
        <v>Winter</v>
      </c>
      <c r="F34" s="15">
        <v>47</v>
      </c>
      <c r="G34" s="15">
        <v>281</v>
      </c>
      <c r="H34" s="46">
        <f>F34+G34</f>
        <v>328</v>
      </c>
      <c r="I34" s="49">
        <v>659</v>
      </c>
      <c r="J34" s="46">
        <f t="shared" si="0"/>
        <v>-331</v>
      </c>
      <c r="K34" s="15">
        <v>246</v>
      </c>
      <c r="L34" s="15">
        <f>H34-K34</f>
        <v>82</v>
      </c>
      <c r="M34" s="15">
        <v>35</v>
      </c>
      <c r="N34" s="50" t="e">
        <f>IF(B34="Camera",#REF!, IF(B34="Headphones",#REF!, IF(B34="Laptop",#REF!, IF(B34="Smartphone",#REF!, IF(B34="Smartwatch",#REF!,#REF!)))))</f>
        <v>#REF!</v>
      </c>
      <c r="O34" s="50" t="e">
        <f>M34-N34</f>
        <v>#REF!</v>
      </c>
      <c r="P34" s="51">
        <f>K34/((F34+M34)/2)</f>
        <v>6</v>
      </c>
      <c r="Q34" s="15">
        <v>22</v>
      </c>
      <c r="R34" s="15">
        <v>0.92714132796595095</v>
      </c>
      <c r="S34" s="52">
        <v>64.415640861326906</v>
      </c>
      <c r="U34" s="41">
        <v>-244</v>
      </c>
      <c r="V34" s="41">
        <v>-591</v>
      </c>
      <c r="W34" s="41">
        <v>-142</v>
      </c>
      <c r="X34" s="41">
        <v>-110</v>
      </c>
      <c r="Y34" s="41">
        <v>-353</v>
      </c>
      <c r="Z34" s="41">
        <v>-446</v>
      </c>
    </row>
    <row r="35" spans="1:26" x14ac:dyDescent="0.15">
      <c r="A35" s="15">
        <v>4</v>
      </c>
      <c r="B35" s="15" t="s">
        <v>13</v>
      </c>
      <c r="C35" s="46" t="str">
        <f>IF(B35="Smartphone", "Electronics", IF(B35="Laptop", "Computing", IF(B35="Tablet", "Mobile", IF(B35="Smartwatch", "Wearables", IF(B35="Headphones", "Audio", "Photography")))))</f>
        <v>Wearables</v>
      </c>
      <c r="D35" s="47">
        <v>43617</v>
      </c>
      <c r="E35" s="48" t="str">
        <f>IF(OR(MONTH(D35)=9, MONTH(D35)=10, MONTH(D35)=11), "Spring",
 IF(OR(MONTH(D35)=12, MONTH(D35)=1, MONTH(D35)=2), "Summer",
 IF(OR(MONTH(D35)=3, MONTH(D35)=4, MONTH(D35)=5), "Autumn",
 IF(OR(MONTH(D35)=6, MONTH(D35)=7, MONTH(D35)=8), "Winter", "Unknown"
))))</f>
        <v>Winter</v>
      </c>
      <c r="F35" s="15">
        <v>53</v>
      </c>
      <c r="G35" s="15">
        <v>278</v>
      </c>
      <c r="H35" s="46">
        <f>F35+G35</f>
        <v>331</v>
      </c>
      <c r="I35" s="49">
        <v>374</v>
      </c>
      <c r="J35" s="46">
        <f t="shared" si="0"/>
        <v>-43</v>
      </c>
      <c r="K35" s="15">
        <v>254</v>
      </c>
      <c r="L35" s="15">
        <f>H35-K35</f>
        <v>77</v>
      </c>
      <c r="M35" s="15">
        <v>24</v>
      </c>
      <c r="N35" s="50" t="e">
        <f>IF(B35="Camera",#REF!, IF(B35="Headphones",#REF!, IF(B35="Laptop",#REF!, IF(B35="Smartphone",#REF!, IF(B35="Smartwatch",#REF!,#REF!)))))</f>
        <v>#REF!</v>
      </c>
      <c r="O35" s="50" t="e">
        <f>M35-N35</f>
        <v>#REF!</v>
      </c>
      <c r="P35" s="51">
        <f>K35/((F35+M35)/2)</f>
        <v>6.5974025974025974</v>
      </c>
      <c r="Q35" s="15">
        <v>28</v>
      </c>
      <c r="R35" s="15">
        <v>0.942438325130321</v>
      </c>
      <c r="S35" s="52">
        <v>19.197108163364799</v>
      </c>
      <c r="U35" s="41">
        <v>-338</v>
      </c>
      <c r="V35" s="41">
        <v>-1698</v>
      </c>
      <c r="W35" s="41">
        <v>16</v>
      </c>
      <c r="X35" s="41">
        <v>-316</v>
      </c>
      <c r="Y35" s="41">
        <v>138</v>
      </c>
      <c r="Z35" s="41">
        <v>-407</v>
      </c>
    </row>
    <row r="36" spans="1:26" x14ac:dyDescent="0.15">
      <c r="A36" s="15">
        <v>5</v>
      </c>
      <c r="B36" s="15" t="s">
        <v>14</v>
      </c>
      <c r="C36" s="46" t="str">
        <f>IF(B36="Smartphone", "Electronics", IF(B36="Laptop", "Computing", IF(B36="Tablet", "Mobile", IF(B36="Smartwatch", "Wearables", IF(B36="Headphones", "Audio", "Photography")))))</f>
        <v>Audio</v>
      </c>
      <c r="D36" s="47">
        <v>43617</v>
      </c>
      <c r="E36" s="48" t="str">
        <f>IF(OR(MONTH(D36)=9, MONTH(D36)=10, MONTH(D36)=11), "Spring",
 IF(OR(MONTH(D36)=12, MONTH(D36)=1, MONTH(D36)=2), "Summer",
 IF(OR(MONTH(D36)=3, MONTH(D36)=4, MONTH(D36)=5), "Autumn",
 IF(OR(MONTH(D36)=6, MONTH(D36)=7, MONTH(D36)=8), "Winter", "Unknown"
))))</f>
        <v>Winter</v>
      </c>
      <c r="F36" s="15">
        <v>48</v>
      </c>
      <c r="G36" s="15">
        <v>402</v>
      </c>
      <c r="H36" s="46">
        <f>F36+G36</f>
        <v>450</v>
      </c>
      <c r="I36" s="49">
        <v>1562</v>
      </c>
      <c r="J36" s="46">
        <f t="shared" si="0"/>
        <v>-1112</v>
      </c>
      <c r="K36" s="15">
        <v>379</v>
      </c>
      <c r="L36" s="15">
        <f>H36-K36</f>
        <v>71</v>
      </c>
      <c r="M36" s="15">
        <v>23</v>
      </c>
      <c r="N36" s="50" t="e">
        <f>IF(B36="Camera",#REF!, IF(B36="Headphones",#REF!, IF(B36="Laptop",#REF!, IF(B36="Smartphone",#REF!, IF(B36="Smartwatch",#REF!,#REF!)))))</f>
        <v>#REF!</v>
      </c>
      <c r="O36" s="50" t="e">
        <f>M36-N36</f>
        <v>#REF!</v>
      </c>
      <c r="P36" s="51">
        <f>K36/((F36+M36)/2)</f>
        <v>10.67605633802817</v>
      </c>
      <c r="Q36" s="15">
        <v>29</v>
      </c>
      <c r="R36" s="15">
        <v>0.90152477523768004</v>
      </c>
      <c r="S36" s="52">
        <v>39.804300871906797</v>
      </c>
      <c r="U36" s="41">
        <v>-260</v>
      </c>
      <c r="V36" s="41">
        <v>-1305</v>
      </c>
      <c r="W36" s="41">
        <v>-465</v>
      </c>
      <c r="X36" s="41">
        <v>-230</v>
      </c>
      <c r="Y36" s="41">
        <v>-808</v>
      </c>
      <c r="Z36" s="41">
        <v>300</v>
      </c>
    </row>
    <row r="37" spans="1:26" x14ac:dyDescent="0.15">
      <c r="A37" s="15">
        <v>6</v>
      </c>
      <c r="B37" s="15" t="s">
        <v>15</v>
      </c>
      <c r="C37" s="46" t="str">
        <f>IF(B37="Smartphone", "Electronics", IF(B37="Laptop", "Computing", IF(B37="Tablet", "Mobile", IF(B37="Smartwatch", "Wearables", IF(B37="Headphones", "Audio", "Photography")))))</f>
        <v>Photography</v>
      </c>
      <c r="D37" s="47">
        <v>43617</v>
      </c>
      <c r="E37" s="48" t="str">
        <f>IF(OR(MONTH(D37)=9, MONTH(D37)=10, MONTH(D37)=11), "Spring",
 IF(OR(MONTH(D37)=12, MONTH(D37)=1, MONTH(D37)=2), "Summer",
 IF(OR(MONTH(D37)=3, MONTH(D37)=4, MONTH(D37)=5), "Autumn",
 IF(OR(MONTH(D37)=6, MONTH(D37)=7, MONTH(D37)=8), "Winter", "Unknown"
))))</f>
        <v>Winter</v>
      </c>
      <c r="F37" s="15">
        <v>94</v>
      </c>
      <c r="G37" s="15">
        <v>213</v>
      </c>
      <c r="H37" s="46">
        <f>F37+G37</f>
        <v>307</v>
      </c>
      <c r="I37" s="49">
        <v>515</v>
      </c>
      <c r="J37" s="46">
        <f t="shared" si="0"/>
        <v>-208</v>
      </c>
      <c r="K37" s="15">
        <v>190</v>
      </c>
      <c r="L37" s="15">
        <f>H37-K37</f>
        <v>117</v>
      </c>
      <c r="M37" s="15">
        <v>23</v>
      </c>
      <c r="N37" s="50" t="e">
        <f>IF(B37="Camera",#REF!, IF(B37="Headphones",#REF!, IF(B37="Laptop",#REF!, IF(B37="Smartphone",#REF!, IF(B37="Smartwatch",#REF!,#REF!)))))</f>
        <v>#REF!</v>
      </c>
      <c r="O37" s="50" t="e">
        <f>M37-N37</f>
        <v>#REF!</v>
      </c>
      <c r="P37" s="51">
        <f>K37/((F37+M37)/2)</f>
        <v>3.2478632478632479</v>
      </c>
      <c r="Q37" s="15">
        <v>13</v>
      </c>
      <c r="R37" s="15">
        <v>0.833895034002757</v>
      </c>
      <c r="S37" s="52">
        <v>49.267178088231198</v>
      </c>
      <c r="U37" s="41">
        <v>-16</v>
      </c>
      <c r="V37" s="41">
        <v>-763</v>
      </c>
      <c r="W37" s="41">
        <v>-353</v>
      </c>
      <c r="X37" s="41">
        <v>-332</v>
      </c>
      <c r="Y37" s="41">
        <v>-217</v>
      </c>
      <c r="Z37" s="41">
        <v>143</v>
      </c>
    </row>
    <row r="38" spans="1:26" x14ac:dyDescent="0.15">
      <c r="A38" s="15">
        <v>1</v>
      </c>
      <c r="B38" s="15" t="s">
        <v>10</v>
      </c>
      <c r="C38" s="46" t="str">
        <f>IF(B38="Smartphone", "Electronics", IF(B38="Laptop", "Computing", IF(B38="Tablet", "Mobile", IF(B38="Smartwatch", "Wearables", IF(B38="Headphones", "Audio", "Photography")))))</f>
        <v>Electronics</v>
      </c>
      <c r="D38" s="47">
        <v>43647</v>
      </c>
      <c r="E38" s="48" t="str">
        <f>IF(OR(MONTH(D38)=9, MONTH(D38)=10, MONTH(D38)=11), "Spring",
 IF(OR(MONTH(D38)=12, MONTH(D38)=1, MONTH(D38)=2), "Summer",
 IF(OR(MONTH(D38)=3, MONTH(D38)=4, MONTH(D38)=5), "Autumn",
 IF(OR(MONTH(D38)=6, MONTH(D38)=7, MONTH(D38)=8), "Winter", "Unknown"
))))</f>
        <v>Winter</v>
      </c>
      <c r="F38" s="15">
        <v>24</v>
      </c>
      <c r="G38" s="15">
        <v>436</v>
      </c>
      <c r="H38" s="46">
        <f>F38+G38</f>
        <v>460</v>
      </c>
      <c r="I38" s="49">
        <v>454</v>
      </c>
      <c r="J38" s="46">
        <f t="shared" si="0"/>
        <v>6</v>
      </c>
      <c r="K38" s="15">
        <v>433</v>
      </c>
      <c r="L38" s="15">
        <f>H38-K38</f>
        <v>27</v>
      </c>
      <c r="M38" s="15">
        <v>3</v>
      </c>
      <c r="N38" s="50" t="e">
        <f>IF(B38="Camera",#REF!, IF(B38="Headphones",#REF!, IF(B38="Laptop",#REF!, IF(B38="Smartphone",#REF!, IF(B38="Smartwatch",#REF!,#REF!)))))</f>
        <v>#REF!</v>
      </c>
      <c r="O38" s="50" t="e">
        <f>M38-N38</f>
        <v>#REF!</v>
      </c>
      <c r="P38" s="51">
        <f>K38/((F38+M38)/2)</f>
        <v>32.074074074074076</v>
      </c>
      <c r="Q38" s="15">
        <v>18</v>
      </c>
      <c r="R38" s="15">
        <v>0.84426573193700105</v>
      </c>
      <c r="S38" s="52">
        <v>53.301464507264299</v>
      </c>
      <c r="U38" s="15"/>
      <c r="V38" s="15"/>
      <c r="W38" s="15"/>
      <c r="X38" s="15"/>
      <c r="Y38" s="15"/>
      <c r="Z38" s="15"/>
    </row>
    <row r="39" spans="1:26" x14ac:dyDescent="0.15">
      <c r="A39" s="15">
        <v>2</v>
      </c>
      <c r="B39" s="15" t="s">
        <v>11</v>
      </c>
      <c r="C39" s="46" t="str">
        <f>IF(B39="Smartphone", "Electronics", IF(B39="Laptop", "Computing", IF(B39="Tablet", "Mobile", IF(B39="Smartwatch", "Wearables", IF(B39="Headphones", "Audio", "Photography")))))</f>
        <v>Computing</v>
      </c>
      <c r="D39" s="47">
        <v>43647</v>
      </c>
      <c r="E39" s="48" t="str">
        <f>IF(OR(MONTH(D39)=9, MONTH(D39)=10, MONTH(D39)=11), "Spring",
 IF(OR(MONTH(D39)=12, MONTH(D39)=1, MONTH(D39)=2), "Summer",
 IF(OR(MONTH(D39)=3, MONTH(D39)=4, MONTH(D39)=5), "Autumn",
 IF(OR(MONTH(D39)=6, MONTH(D39)=7, MONTH(D39)=8), "Winter", "Unknown"
))))</f>
        <v>Winter</v>
      </c>
      <c r="F39" s="15">
        <v>168</v>
      </c>
      <c r="G39" s="15">
        <v>122</v>
      </c>
      <c r="H39" s="46">
        <f>F39+G39</f>
        <v>290</v>
      </c>
      <c r="I39" s="49">
        <v>283</v>
      </c>
      <c r="J39" s="46">
        <f t="shared" si="0"/>
        <v>7</v>
      </c>
      <c r="K39" s="15">
        <v>283</v>
      </c>
      <c r="L39" s="15">
        <f>H39-K39</f>
        <v>7</v>
      </c>
      <c r="M39" s="15">
        <v>56</v>
      </c>
      <c r="N39" s="50" t="e">
        <f>IF(B39="Camera",#REF!, IF(B39="Headphones",#REF!, IF(B39="Laptop",#REF!, IF(B39="Smartphone",#REF!, IF(B39="Smartwatch",#REF!,#REF!)))))</f>
        <v>#REF!</v>
      </c>
      <c r="O39" s="50" t="e">
        <f>M39-N39</f>
        <v>#REF!</v>
      </c>
      <c r="P39" s="51">
        <f>K39/((F39+M39)/2)</f>
        <v>2.5267857142857144</v>
      </c>
      <c r="Q39" s="15">
        <v>2</v>
      </c>
      <c r="R39" s="15">
        <v>0.93731298537332897</v>
      </c>
      <c r="S39" s="52">
        <v>100.33030810445</v>
      </c>
      <c r="U39" s="15"/>
      <c r="V39" s="15"/>
      <c r="W39" s="15"/>
      <c r="X39" s="15"/>
      <c r="Y39" s="15"/>
      <c r="Z39" s="15"/>
    </row>
    <row r="40" spans="1:26" x14ac:dyDescent="0.15">
      <c r="A40" s="15">
        <v>3</v>
      </c>
      <c r="B40" s="15" t="s">
        <v>12</v>
      </c>
      <c r="C40" s="46" t="str">
        <f>IF(B40="Smartphone", "Electronics", IF(B40="Laptop", "Computing", IF(B40="Tablet", "Mobile", IF(B40="Smartwatch", "Wearables", IF(B40="Headphones", "Audio", "Photography")))))</f>
        <v>Mobile</v>
      </c>
      <c r="D40" s="47">
        <v>43647</v>
      </c>
      <c r="E40" s="48" t="str">
        <f>IF(OR(MONTH(D40)=9, MONTH(D40)=10, MONTH(D40)=11), "Spring",
 IF(OR(MONTH(D40)=12, MONTH(D40)=1, MONTH(D40)=2), "Summer",
 IF(OR(MONTH(D40)=3, MONTH(D40)=4, MONTH(D40)=5), "Autumn",
 IF(OR(MONTH(D40)=6, MONTH(D40)=7, MONTH(D40)=8), "Winter", "Unknown"
))))</f>
        <v>Winter</v>
      </c>
      <c r="F40" s="15">
        <v>44</v>
      </c>
      <c r="G40" s="15">
        <v>185</v>
      </c>
      <c r="H40" s="46">
        <f>F40+G40</f>
        <v>229</v>
      </c>
      <c r="I40" s="49">
        <v>100</v>
      </c>
      <c r="J40" s="46">
        <f t="shared" si="0"/>
        <v>129</v>
      </c>
      <c r="K40" s="15">
        <v>100</v>
      </c>
      <c r="L40" s="15">
        <f>H40-K40</f>
        <v>129</v>
      </c>
      <c r="M40" s="15">
        <v>85</v>
      </c>
      <c r="N40" s="50" t="e">
        <f>IF(B40="Camera",#REF!, IF(B40="Headphones",#REF!, IF(B40="Laptop",#REF!, IF(B40="Smartphone",#REF!, IF(B40="Smartwatch",#REF!,#REF!)))))</f>
        <v>#REF!</v>
      </c>
      <c r="O40" s="50" t="e">
        <f>M40-N40</f>
        <v>#REF!</v>
      </c>
      <c r="P40" s="51">
        <f>K40/((F40+M40)/2)</f>
        <v>1.5503875968992249</v>
      </c>
      <c r="Q40" s="15">
        <v>29</v>
      </c>
      <c r="R40" s="15">
        <v>0.908541594920664</v>
      </c>
      <c r="S40" s="52">
        <v>237.331320149449</v>
      </c>
      <c r="U40" s="15"/>
      <c r="V40" s="15"/>
      <c r="W40" s="15"/>
      <c r="X40" s="15"/>
      <c r="Y40" s="15"/>
      <c r="Z40" s="15"/>
    </row>
    <row r="41" spans="1:26" x14ac:dyDescent="0.15">
      <c r="A41" s="15">
        <v>4</v>
      </c>
      <c r="B41" s="15" t="s">
        <v>13</v>
      </c>
      <c r="C41" s="46" t="str">
        <f>IF(B41="Smartphone", "Electronics", IF(B41="Laptop", "Computing", IF(B41="Tablet", "Mobile", IF(B41="Smartwatch", "Wearables", IF(B41="Headphones", "Audio", "Photography")))))</f>
        <v>Wearables</v>
      </c>
      <c r="D41" s="47">
        <v>43647</v>
      </c>
      <c r="E41" s="48" t="str">
        <f>IF(OR(MONTH(D41)=9, MONTH(D41)=10, MONTH(D41)=11), "Spring",
 IF(OR(MONTH(D41)=12, MONTH(D41)=1, MONTH(D41)=2), "Summer",
 IF(OR(MONTH(D41)=3, MONTH(D41)=4, MONTH(D41)=5), "Autumn",
 IF(OR(MONTH(D41)=6, MONTH(D41)=7, MONTH(D41)=8), "Winter", "Unknown"
))))</f>
        <v>Winter</v>
      </c>
      <c r="F41" s="15">
        <v>85</v>
      </c>
      <c r="G41" s="15">
        <v>402</v>
      </c>
      <c r="H41" s="46">
        <f>F41+G41</f>
        <v>487</v>
      </c>
      <c r="I41" s="49">
        <v>499</v>
      </c>
      <c r="J41" s="46">
        <f t="shared" si="0"/>
        <v>-12</v>
      </c>
      <c r="K41" s="15">
        <v>322</v>
      </c>
      <c r="L41" s="15">
        <f>H41-K41</f>
        <v>165</v>
      </c>
      <c r="M41" s="15">
        <v>80</v>
      </c>
      <c r="N41" s="50" t="e">
        <f>IF(B41="Camera",#REF!, IF(B41="Headphones",#REF!, IF(B41="Laptop",#REF!, IF(B41="Smartphone",#REF!, IF(B41="Smartwatch",#REF!,#REF!)))))</f>
        <v>#REF!</v>
      </c>
      <c r="O41" s="50" t="e">
        <f>M41-N41</f>
        <v>#REF!</v>
      </c>
      <c r="P41" s="51">
        <f>K41/((F41+M41)/2)</f>
        <v>3.9030303030303028</v>
      </c>
      <c r="Q41" s="15">
        <v>21</v>
      </c>
      <c r="R41" s="15">
        <v>0.96301037030394199</v>
      </c>
      <c r="S41" s="52">
        <v>139.027825302389</v>
      </c>
      <c r="U41" s="15"/>
      <c r="V41" s="15"/>
      <c r="W41" s="15"/>
      <c r="X41" s="15"/>
      <c r="Y41" s="15"/>
      <c r="Z41" s="15"/>
    </row>
    <row r="42" spans="1:26" x14ac:dyDescent="0.15">
      <c r="A42" s="15">
        <v>5</v>
      </c>
      <c r="B42" s="15" t="s">
        <v>14</v>
      </c>
      <c r="C42" s="46" t="str">
        <f>IF(B42="Smartphone", "Electronics", IF(B42="Laptop", "Computing", IF(B42="Tablet", "Mobile", IF(B42="Smartwatch", "Wearables", IF(B42="Headphones", "Audio", "Photography")))))</f>
        <v>Audio</v>
      </c>
      <c r="D42" s="47">
        <v>43647</v>
      </c>
      <c r="E42" s="48" t="str">
        <f>IF(OR(MONTH(D42)=9, MONTH(D42)=10, MONTH(D42)=11), "Spring",
 IF(OR(MONTH(D42)=12, MONTH(D42)=1, MONTH(D42)=2), "Summer",
 IF(OR(MONTH(D42)=3, MONTH(D42)=4, MONTH(D42)=5), "Autumn",
 IF(OR(MONTH(D42)=6, MONTH(D42)=7, MONTH(D42)=8), "Winter", "Unknown"
))))</f>
        <v>Winter</v>
      </c>
      <c r="F42" s="15">
        <v>12</v>
      </c>
      <c r="G42" s="15">
        <v>428</v>
      </c>
      <c r="H42" s="46">
        <f>F42+G42</f>
        <v>440</v>
      </c>
      <c r="I42" s="49">
        <v>1481</v>
      </c>
      <c r="J42" s="46">
        <f t="shared" si="0"/>
        <v>-1041</v>
      </c>
      <c r="K42" s="15">
        <v>394</v>
      </c>
      <c r="L42" s="15">
        <f>H42-K42</f>
        <v>46</v>
      </c>
      <c r="M42" s="15">
        <v>34</v>
      </c>
      <c r="N42" s="50" t="e">
        <f>IF(B42="Camera",#REF!, IF(B42="Headphones",#REF!, IF(B42="Laptop",#REF!, IF(B42="Smartphone",#REF!, IF(B42="Smartwatch",#REF!,#REF!)))))</f>
        <v>#REF!</v>
      </c>
      <c r="O42" s="50" t="e">
        <f>M42-N42</f>
        <v>#REF!</v>
      </c>
      <c r="P42" s="51">
        <f>K42/((F42+M42)/2)</f>
        <v>17.130434782608695</v>
      </c>
      <c r="Q42" s="15">
        <v>15</v>
      </c>
      <c r="R42" s="15">
        <v>0.91466310516233895</v>
      </c>
      <c r="S42" s="52">
        <v>37.906821649754797</v>
      </c>
      <c r="U42" s="15"/>
      <c r="V42" s="15"/>
      <c r="W42" s="15"/>
      <c r="X42" s="15"/>
      <c r="Y42" s="15"/>
      <c r="Z42" s="15"/>
    </row>
    <row r="43" spans="1:26" x14ac:dyDescent="0.15">
      <c r="A43" s="15">
        <v>6</v>
      </c>
      <c r="B43" s="15" t="s">
        <v>15</v>
      </c>
      <c r="C43" s="46" t="str">
        <f>IF(B43="Smartphone", "Electronics", IF(B43="Laptop", "Computing", IF(B43="Tablet", "Mobile", IF(B43="Smartwatch", "Wearables", IF(B43="Headphones", "Audio", "Photography")))))</f>
        <v>Photography</v>
      </c>
      <c r="D43" s="47">
        <v>43647</v>
      </c>
      <c r="E43" s="48" t="str">
        <f>IF(OR(MONTH(D43)=9, MONTH(D43)=10, MONTH(D43)=11), "Spring",
 IF(OR(MONTH(D43)=12, MONTH(D43)=1, MONTH(D43)=2), "Summer",
 IF(OR(MONTH(D43)=3, MONTH(D43)=4, MONTH(D43)=5), "Autumn",
 IF(OR(MONTH(D43)=6, MONTH(D43)=7, MONTH(D43)=8), "Winter", "Unknown"
))))</f>
        <v>Winter</v>
      </c>
      <c r="F43" s="15">
        <v>52</v>
      </c>
      <c r="G43" s="15">
        <v>119</v>
      </c>
      <c r="H43" s="46">
        <f>F43+G43</f>
        <v>171</v>
      </c>
      <c r="I43" s="49">
        <v>220</v>
      </c>
      <c r="J43" s="46">
        <f t="shared" si="0"/>
        <v>-49</v>
      </c>
      <c r="K43" s="15">
        <v>23</v>
      </c>
      <c r="L43" s="15">
        <f>H43-K43</f>
        <v>148</v>
      </c>
      <c r="M43" s="15">
        <v>96</v>
      </c>
      <c r="N43" s="50" t="e">
        <f>IF(B43="Camera",#REF!, IF(B43="Headphones",#REF!, IF(B43="Laptop",#REF!, IF(B43="Smartphone",#REF!, IF(B43="Smartwatch",#REF!,#REF!)))))</f>
        <v>#REF!</v>
      </c>
      <c r="O43" s="50" t="e">
        <f>M43-N43</f>
        <v>#REF!</v>
      </c>
      <c r="P43" s="51">
        <f>K43/((F43+M43)/2)</f>
        <v>0.3108108108108108</v>
      </c>
      <c r="Q43" s="15">
        <v>20</v>
      </c>
      <c r="R43" s="15">
        <v>0.84084925033339297</v>
      </c>
      <c r="S43" s="52">
        <v>212.61822426308501</v>
      </c>
    </row>
    <row r="44" spans="1:26" x14ac:dyDescent="0.15">
      <c r="A44" s="15">
        <v>1</v>
      </c>
      <c r="B44" s="15" t="s">
        <v>10</v>
      </c>
      <c r="C44" s="46" t="str">
        <f>IF(B44="Smartphone", "Electronics", IF(B44="Laptop", "Computing", IF(B44="Tablet", "Mobile", IF(B44="Smartwatch", "Wearables", IF(B44="Headphones", "Audio", "Photography")))))</f>
        <v>Electronics</v>
      </c>
      <c r="D44" s="47">
        <v>43678</v>
      </c>
      <c r="E44" s="48" t="str">
        <f>IF(OR(MONTH(D44)=9, MONTH(D44)=10, MONTH(D44)=11), "Spring",
 IF(OR(MONTH(D44)=12, MONTH(D44)=1, MONTH(D44)=2), "Summer",
 IF(OR(MONTH(D44)=3, MONTH(D44)=4, MONTH(D44)=5), "Autumn",
 IF(OR(MONTH(D44)=6, MONTH(D44)=7, MONTH(D44)=8), "Winter", "Unknown"
))))</f>
        <v>Winter</v>
      </c>
      <c r="F44" s="15">
        <v>239</v>
      </c>
      <c r="G44" s="15">
        <v>474</v>
      </c>
      <c r="H44" s="46">
        <f>F44+G44</f>
        <v>713</v>
      </c>
      <c r="I44" s="49">
        <v>458</v>
      </c>
      <c r="J44" s="46">
        <f t="shared" si="0"/>
        <v>255</v>
      </c>
      <c r="K44" s="15">
        <v>458</v>
      </c>
      <c r="L44" s="15">
        <f>H44-K44</f>
        <v>255</v>
      </c>
      <c r="M44" s="15">
        <v>16</v>
      </c>
      <c r="N44" s="50" t="e">
        <f>IF(B44="Camera",#REF!, IF(B44="Headphones",#REF!, IF(B44="Laptop",#REF!, IF(B44="Smartphone",#REF!, IF(B44="Smartwatch",#REF!,#REF!)))))</f>
        <v>#REF!</v>
      </c>
      <c r="O44" s="50" t="e">
        <f>M44-N44</f>
        <v>#REF!</v>
      </c>
      <c r="P44" s="51">
        <f>K44/((F44+M44)/2)</f>
        <v>3.5921568627450982</v>
      </c>
      <c r="Q44" s="15">
        <v>27</v>
      </c>
      <c r="R44" s="15">
        <v>0.87390490929084197</v>
      </c>
      <c r="S44" s="52">
        <v>13.7404866068554</v>
      </c>
      <c r="U44" s="15"/>
      <c r="V44" s="15"/>
      <c r="W44" s="15"/>
      <c r="X44" s="15"/>
      <c r="Y44" s="15"/>
      <c r="Z44" s="15"/>
    </row>
    <row r="45" spans="1:26" x14ac:dyDescent="0.15">
      <c r="A45" s="15">
        <v>2</v>
      </c>
      <c r="B45" s="15" t="s">
        <v>11</v>
      </c>
      <c r="C45" s="46" t="str">
        <f>IF(B45="Smartphone", "Electronics", IF(B45="Laptop", "Computing", IF(B45="Tablet", "Mobile", IF(B45="Smartwatch", "Wearables", IF(B45="Headphones", "Audio", "Photography")))))</f>
        <v>Computing</v>
      </c>
      <c r="D45" s="47">
        <v>43678</v>
      </c>
      <c r="E45" s="48" t="str">
        <f>IF(OR(MONTH(D45)=9, MONTH(D45)=10, MONTH(D45)=11), "Spring",
 IF(OR(MONTH(D45)=12, MONTH(D45)=1, MONTH(D45)=2), "Summer",
 IF(OR(MONTH(D45)=3, MONTH(D45)=4, MONTH(D45)=5), "Autumn",
 IF(OR(MONTH(D45)=6, MONTH(D45)=7, MONTH(D45)=8), "Winter", "Unknown"
))))</f>
        <v>Winter</v>
      </c>
      <c r="F45" s="15">
        <v>42</v>
      </c>
      <c r="G45" s="15">
        <v>245</v>
      </c>
      <c r="H45" s="46">
        <f>F45+G45</f>
        <v>287</v>
      </c>
      <c r="I45" s="49">
        <v>334</v>
      </c>
      <c r="J45" s="46">
        <f t="shared" si="0"/>
        <v>-47</v>
      </c>
      <c r="K45" s="15">
        <v>153</v>
      </c>
      <c r="L45" s="15">
        <f>H45-K45</f>
        <v>134</v>
      </c>
      <c r="M45" s="15">
        <v>92</v>
      </c>
      <c r="N45" s="50" t="e">
        <f>IF(B45="Camera",#REF!, IF(B45="Headphones",#REF!, IF(B45="Laptop",#REF!, IF(B45="Smartphone",#REF!, IF(B45="Smartwatch",#REF!,#REF!)))))</f>
        <v>#REF!</v>
      </c>
      <c r="O45" s="50" t="e">
        <f>M45-N45</f>
        <v>#REF!</v>
      </c>
      <c r="P45" s="51">
        <f>K45/((F45+M45)/2)</f>
        <v>2.283582089552239</v>
      </c>
      <c r="Q45" s="15">
        <v>18</v>
      </c>
      <c r="R45" s="15">
        <v>0.928240707484146</v>
      </c>
      <c r="S45" s="52">
        <v>81.439143182314993</v>
      </c>
      <c r="U45" s="15"/>
      <c r="V45" s="15"/>
      <c r="W45" s="15"/>
      <c r="X45" s="15"/>
      <c r="Y45" s="15"/>
      <c r="Z45" s="15"/>
    </row>
    <row r="46" spans="1:26" x14ac:dyDescent="0.15">
      <c r="A46" s="15">
        <v>3</v>
      </c>
      <c r="B46" s="15" t="s">
        <v>12</v>
      </c>
      <c r="C46" s="46" t="str">
        <f>IF(B46="Smartphone", "Electronics", IF(B46="Laptop", "Computing", IF(B46="Tablet", "Mobile", IF(B46="Smartwatch", "Wearables", IF(B46="Headphones", "Audio", "Photography")))))</f>
        <v>Mobile</v>
      </c>
      <c r="D46" s="47">
        <v>43678</v>
      </c>
      <c r="E46" s="48" t="str">
        <f>IF(OR(MONTH(D46)=9, MONTH(D46)=10, MONTH(D46)=11), "Spring",
 IF(OR(MONTH(D46)=12, MONTH(D46)=1, MONTH(D46)=2), "Summer",
 IF(OR(MONTH(D46)=3, MONTH(D46)=4, MONTH(D46)=5), "Autumn",
 IF(OR(MONTH(D46)=6, MONTH(D46)=7, MONTH(D46)=8), "Winter", "Unknown"
))))</f>
        <v>Winter</v>
      </c>
      <c r="F46" s="15">
        <v>14</v>
      </c>
      <c r="G46" s="15">
        <v>318</v>
      </c>
      <c r="H46" s="46">
        <f>F46+G46</f>
        <v>332</v>
      </c>
      <c r="I46" s="49">
        <v>534</v>
      </c>
      <c r="J46" s="46">
        <f t="shared" si="0"/>
        <v>-202</v>
      </c>
      <c r="K46" s="15">
        <v>309</v>
      </c>
      <c r="L46" s="15">
        <f>H46-K46</f>
        <v>23</v>
      </c>
      <c r="M46" s="15">
        <v>9</v>
      </c>
      <c r="N46" s="50" t="e">
        <f>IF(B46="Camera",#REF!, IF(B46="Headphones",#REF!, IF(B46="Laptop",#REF!, IF(B46="Smartphone",#REF!, IF(B46="Smartwatch",#REF!,#REF!)))))</f>
        <v>#REF!</v>
      </c>
      <c r="O46" s="50" t="e">
        <f>M46-N46</f>
        <v>#REF!</v>
      </c>
      <c r="P46" s="51">
        <f>K46/((F46+M46)/2)</f>
        <v>26.869565217391305</v>
      </c>
      <c r="Q46" s="15">
        <v>15</v>
      </c>
      <c r="R46" s="15">
        <v>0.93551662481193099</v>
      </c>
      <c r="S46" s="52">
        <v>100.182315049064</v>
      </c>
      <c r="U46" s="15"/>
      <c r="V46" s="15"/>
      <c r="W46" s="15"/>
      <c r="X46" s="15"/>
      <c r="Y46" s="15"/>
      <c r="Z46" s="15"/>
    </row>
    <row r="47" spans="1:26" x14ac:dyDescent="0.15">
      <c r="A47" s="15">
        <v>4</v>
      </c>
      <c r="B47" s="15" t="s">
        <v>13</v>
      </c>
      <c r="C47" s="46" t="str">
        <f>IF(B47="Smartphone", "Electronics", IF(B47="Laptop", "Computing", IF(B47="Tablet", "Mobile", IF(B47="Smartwatch", "Wearables", IF(B47="Headphones", "Audio", "Photography")))))</f>
        <v>Wearables</v>
      </c>
      <c r="D47" s="47">
        <v>43678</v>
      </c>
      <c r="E47" s="48" t="str">
        <f>IF(OR(MONTH(D47)=9, MONTH(D47)=10, MONTH(D47)=11), "Spring",
 IF(OR(MONTH(D47)=12, MONTH(D47)=1, MONTH(D47)=2), "Summer",
 IF(OR(MONTH(D47)=3, MONTH(D47)=4, MONTH(D47)=5), "Autumn",
 IF(OR(MONTH(D47)=6, MONTH(D47)=7, MONTH(D47)=8), "Winter", "Unknown"
))))</f>
        <v>Winter</v>
      </c>
      <c r="F47" s="15">
        <v>63</v>
      </c>
      <c r="G47" s="15">
        <v>98</v>
      </c>
      <c r="H47" s="46">
        <f>F47+G47</f>
        <v>161</v>
      </c>
      <c r="I47" s="49">
        <v>384</v>
      </c>
      <c r="J47" s="46">
        <f t="shared" si="0"/>
        <v>-223</v>
      </c>
      <c r="K47" s="15">
        <v>36</v>
      </c>
      <c r="L47" s="15">
        <f>H47-K47</f>
        <v>125</v>
      </c>
      <c r="M47" s="15">
        <v>62</v>
      </c>
      <c r="N47" s="50" t="e">
        <f>IF(B47="Camera",#REF!, IF(B47="Headphones",#REF!, IF(B47="Laptop",#REF!, IF(B47="Smartphone",#REF!, IF(B47="Smartwatch",#REF!,#REF!)))))</f>
        <v>#REF!</v>
      </c>
      <c r="O47" s="50" t="e">
        <f>M47-N47</f>
        <v>#REF!</v>
      </c>
      <c r="P47" s="51">
        <f>K47/((F47+M47)/2)</f>
        <v>0.57599999999999996</v>
      </c>
      <c r="Q47" s="15">
        <v>19</v>
      </c>
      <c r="R47" s="15">
        <v>0.94275543160773401</v>
      </c>
      <c r="S47" s="52">
        <v>148.74410115507101</v>
      </c>
      <c r="U47" s="15"/>
      <c r="V47" s="15"/>
      <c r="W47" s="15"/>
      <c r="X47" s="15"/>
      <c r="Y47" s="15"/>
      <c r="Z47" s="15"/>
    </row>
    <row r="48" spans="1:26" x14ac:dyDescent="0.15">
      <c r="A48" s="15">
        <v>5</v>
      </c>
      <c r="B48" s="15" t="s">
        <v>14</v>
      </c>
      <c r="C48" s="46" t="str">
        <f>IF(B48="Smartphone", "Electronics", IF(B48="Laptop", "Computing", IF(B48="Tablet", "Mobile", IF(B48="Smartwatch", "Wearables", IF(B48="Headphones", "Audio", "Photography")))))</f>
        <v>Audio</v>
      </c>
      <c r="D48" s="47">
        <v>43678</v>
      </c>
      <c r="E48" s="48" t="str">
        <f>IF(OR(MONTH(D48)=9, MONTH(D48)=10, MONTH(D48)=11), "Spring",
 IF(OR(MONTH(D48)=12, MONTH(D48)=1, MONTH(D48)=2), "Summer",
 IF(OR(MONTH(D48)=3, MONTH(D48)=4, MONTH(D48)=5), "Autumn",
 IF(OR(MONTH(D48)=6, MONTH(D48)=7, MONTH(D48)=8), "Winter", "Unknown"
))))</f>
        <v>Winter</v>
      </c>
      <c r="F48" s="15">
        <v>11</v>
      </c>
      <c r="G48" s="15">
        <v>365</v>
      </c>
      <c r="H48" s="46">
        <f>F48+G48</f>
        <v>376</v>
      </c>
      <c r="I48" s="49">
        <v>1914</v>
      </c>
      <c r="J48" s="46">
        <f t="shared" si="0"/>
        <v>-1538</v>
      </c>
      <c r="K48" s="15">
        <v>284</v>
      </c>
      <c r="L48" s="15">
        <f>H48-K48</f>
        <v>92</v>
      </c>
      <c r="M48" s="15">
        <v>81</v>
      </c>
      <c r="N48" s="50" t="e">
        <f>IF(B48="Camera",#REF!, IF(B48="Headphones",#REF!, IF(B48="Laptop",#REF!, IF(B48="Smartphone",#REF!, IF(B48="Smartwatch",#REF!,#REF!)))))</f>
        <v>#REF!</v>
      </c>
      <c r="O48" s="50" t="e">
        <f>M48-N48</f>
        <v>#REF!</v>
      </c>
      <c r="P48" s="51">
        <f>K48/((F48+M48)/2)</f>
        <v>6.1739130434782608</v>
      </c>
      <c r="Q48" s="15">
        <v>23</v>
      </c>
      <c r="R48" s="15">
        <v>0.84757379433974001</v>
      </c>
      <c r="S48" s="52">
        <v>58.756055775779501</v>
      </c>
      <c r="U48" s="15"/>
      <c r="V48" s="15"/>
      <c r="W48" s="15"/>
      <c r="X48" s="15"/>
      <c r="Y48" s="15"/>
      <c r="Z48" s="15"/>
    </row>
    <row r="49" spans="1:26" x14ac:dyDescent="0.15">
      <c r="A49" s="15">
        <v>6</v>
      </c>
      <c r="B49" s="15" t="s">
        <v>15</v>
      </c>
      <c r="C49" s="46" t="str">
        <f>IF(B49="Smartphone", "Electronics", IF(B49="Laptop", "Computing", IF(B49="Tablet", "Mobile", IF(B49="Smartwatch", "Wearables", IF(B49="Headphones", "Audio", "Photography")))))</f>
        <v>Photography</v>
      </c>
      <c r="D49" s="47">
        <v>43678</v>
      </c>
      <c r="E49" s="48" t="str">
        <f>IF(OR(MONTH(D49)=9, MONTH(D49)=10, MONTH(D49)=11), "Spring",
 IF(OR(MONTH(D49)=12, MONTH(D49)=1, MONTH(D49)=2), "Summer",
 IF(OR(MONTH(D49)=3, MONTH(D49)=4, MONTH(D49)=5), "Autumn",
 IF(OR(MONTH(D49)=6, MONTH(D49)=7, MONTH(D49)=8), "Winter", "Unknown"
))))</f>
        <v>Winter</v>
      </c>
      <c r="F49" s="15">
        <v>17</v>
      </c>
      <c r="G49" s="15">
        <v>179</v>
      </c>
      <c r="H49" s="46">
        <f>F49+G49</f>
        <v>196</v>
      </c>
      <c r="I49" s="49">
        <v>608</v>
      </c>
      <c r="J49" s="46">
        <f t="shared" si="0"/>
        <v>-412</v>
      </c>
      <c r="K49" s="15">
        <v>188</v>
      </c>
      <c r="L49" s="15">
        <f>H49-K49</f>
        <v>8</v>
      </c>
      <c r="M49" s="15">
        <v>79</v>
      </c>
      <c r="N49" s="50" t="e">
        <f>IF(B49="Camera",#REF!, IF(B49="Headphones",#REF!, IF(B49="Laptop",#REF!, IF(B49="Smartphone",#REF!, IF(B49="Smartwatch",#REF!,#REF!)))))</f>
        <v>#REF!</v>
      </c>
      <c r="O49" s="50" t="e">
        <f>M49-N49</f>
        <v>#REF!</v>
      </c>
      <c r="P49" s="51">
        <f>K49/((F49+M49)/2)</f>
        <v>3.9166666666666665</v>
      </c>
      <c r="Q49" s="15">
        <v>24</v>
      </c>
      <c r="R49" s="15">
        <v>0.83994849169615304</v>
      </c>
      <c r="S49" s="52">
        <v>76.789055354760805</v>
      </c>
    </row>
    <row r="50" spans="1:26" x14ac:dyDescent="0.15">
      <c r="A50" s="15">
        <v>1</v>
      </c>
      <c r="B50" s="15" t="s">
        <v>10</v>
      </c>
      <c r="C50" s="46" t="str">
        <f>IF(B50="Smartphone", "Electronics", IF(B50="Laptop", "Computing", IF(B50="Tablet", "Mobile", IF(B50="Smartwatch", "Wearables", IF(B50="Headphones", "Audio", "Photography")))))</f>
        <v>Electronics</v>
      </c>
      <c r="D50" s="47">
        <v>43709</v>
      </c>
      <c r="E50" s="48" t="str">
        <f>IF(OR(MONTH(D50)=9, MONTH(D50)=10, MONTH(D50)=11), "Spring",
 IF(OR(MONTH(D50)=12, MONTH(D50)=1, MONTH(D50)=2), "Summer",
 IF(OR(MONTH(D50)=3, MONTH(D50)=4, MONTH(D50)=5), "Autumn",
 IF(OR(MONTH(D50)=6, MONTH(D50)=7, MONTH(D50)=8), "Winter", "Unknown"
))))</f>
        <v>Spring</v>
      </c>
      <c r="F50" s="15">
        <v>22</v>
      </c>
      <c r="G50" s="15">
        <v>493</v>
      </c>
      <c r="H50" s="46">
        <f>F50+G50</f>
        <v>515</v>
      </c>
      <c r="I50" s="49">
        <v>337</v>
      </c>
      <c r="J50" s="46">
        <f t="shared" si="0"/>
        <v>178</v>
      </c>
      <c r="K50" s="15">
        <v>337</v>
      </c>
      <c r="L50" s="15">
        <f>H50-K50</f>
        <v>178</v>
      </c>
      <c r="M50" s="15">
        <v>156</v>
      </c>
      <c r="N50" s="50" t="e">
        <f>IF(B50="Camera",#REF!, IF(B50="Headphones",#REF!, IF(B50="Laptop",#REF!, IF(B50="Smartphone",#REF!, IF(B50="Smartwatch",#REF!,#REF!)))))</f>
        <v>#REF!</v>
      </c>
      <c r="O50" s="50" t="e">
        <f>M50-N50</f>
        <v>#REF!</v>
      </c>
      <c r="P50" s="51">
        <f>K50/((F50+M50)/2)</f>
        <v>3.7865168539325844</v>
      </c>
      <c r="Q50" s="15">
        <v>12</v>
      </c>
      <c r="R50" s="15">
        <v>0.89050987401262804</v>
      </c>
      <c r="S50" s="52">
        <v>45.398052272973104</v>
      </c>
      <c r="U50" s="15"/>
      <c r="V50" s="15"/>
      <c r="W50" s="15"/>
      <c r="X50" s="15"/>
      <c r="Y50" s="15"/>
      <c r="Z50" s="15"/>
    </row>
    <row r="51" spans="1:26" x14ac:dyDescent="0.15">
      <c r="A51" s="15">
        <v>2</v>
      </c>
      <c r="B51" s="15" t="s">
        <v>11</v>
      </c>
      <c r="C51" s="46" t="str">
        <f>IF(B51="Smartphone", "Electronics", IF(B51="Laptop", "Computing", IF(B51="Tablet", "Mobile", IF(B51="Smartwatch", "Wearables", IF(B51="Headphones", "Audio", "Photography")))))</f>
        <v>Computing</v>
      </c>
      <c r="D51" s="47">
        <v>43709</v>
      </c>
      <c r="E51" s="48" t="str">
        <f>IF(OR(MONTH(D51)=9, MONTH(D51)=10, MONTH(D51)=11), "Spring",
 IF(OR(MONTH(D51)=12, MONTH(D51)=1, MONTH(D51)=2), "Summer",
 IF(OR(MONTH(D51)=3, MONTH(D51)=4, MONTH(D51)=5), "Autumn",
 IF(OR(MONTH(D51)=6, MONTH(D51)=7, MONTH(D51)=8), "Winter", "Unknown"
))))</f>
        <v>Spring</v>
      </c>
      <c r="F51" s="15">
        <v>92</v>
      </c>
      <c r="G51" s="15">
        <v>54</v>
      </c>
      <c r="H51" s="46">
        <f>F51+G51</f>
        <v>146</v>
      </c>
      <c r="I51" s="49">
        <v>659</v>
      </c>
      <c r="J51" s="46">
        <f t="shared" si="0"/>
        <v>-513</v>
      </c>
      <c r="K51" s="15">
        <v>36</v>
      </c>
      <c r="L51" s="15">
        <f>H51-K51</f>
        <v>110</v>
      </c>
      <c r="M51" s="15">
        <v>18</v>
      </c>
      <c r="N51" s="50" t="e">
        <f>IF(B51="Camera",#REF!, IF(B51="Headphones",#REF!, IF(B51="Laptop",#REF!, IF(B51="Smartphone",#REF!, IF(B51="Smartwatch",#REF!,#REF!)))))</f>
        <v>#REF!</v>
      </c>
      <c r="O51" s="50" t="e">
        <f>M51-N51</f>
        <v>#REF!</v>
      </c>
      <c r="P51" s="51">
        <f>K51/((F51+M51)/2)</f>
        <v>0.65454545454545454</v>
      </c>
      <c r="Q51" s="15">
        <v>13</v>
      </c>
      <c r="R51" s="15">
        <v>0.97200367582667202</v>
      </c>
      <c r="S51" s="52">
        <v>62.7494016295759</v>
      </c>
      <c r="U51" s="15"/>
      <c r="V51" s="15"/>
      <c r="W51" s="15"/>
      <c r="X51" s="15"/>
      <c r="Y51" s="15"/>
      <c r="Z51" s="15"/>
    </row>
    <row r="52" spans="1:26" x14ac:dyDescent="0.15">
      <c r="A52" s="15">
        <v>3</v>
      </c>
      <c r="B52" s="15" t="s">
        <v>12</v>
      </c>
      <c r="C52" s="46" t="str">
        <f>IF(B52="Smartphone", "Electronics", IF(B52="Laptop", "Computing", IF(B52="Tablet", "Mobile", IF(B52="Smartwatch", "Wearables", IF(B52="Headphones", "Audio", "Photography")))))</f>
        <v>Mobile</v>
      </c>
      <c r="D52" s="47">
        <v>43709</v>
      </c>
      <c r="E52" s="48" t="str">
        <f>IF(OR(MONTH(D52)=9, MONTH(D52)=10, MONTH(D52)=11), "Spring",
 IF(OR(MONTH(D52)=12, MONTH(D52)=1, MONTH(D52)=2), "Summer",
 IF(OR(MONTH(D52)=3, MONTH(D52)=4, MONTH(D52)=5), "Autumn",
 IF(OR(MONTH(D52)=6, MONTH(D52)=7, MONTH(D52)=8), "Winter", "Unknown"
))))</f>
        <v>Spring</v>
      </c>
      <c r="F52" s="15">
        <v>93</v>
      </c>
      <c r="G52" s="15">
        <v>477</v>
      </c>
      <c r="H52" s="46">
        <f>F52+G52</f>
        <v>570</v>
      </c>
      <c r="I52" s="49">
        <v>595</v>
      </c>
      <c r="J52" s="46">
        <f t="shared" si="0"/>
        <v>-25</v>
      </c>
      <c r="K52" s="15">
        <v>414</v>
      </c>
      <c r="L52" s="15">
        <f>H52-K52</f>
        <v>156</v>
      </c>
      <c r="M52" s="15">
        <v>63</v>
      </c>
      <c r="N52" s="50" t="e">
        <f>IF(B52="Camera",#REF!, IF(B52="Headphones",#REF!, IF(B52="Laptop",#REF!, IF(B52="Smartphone",#REF!, IF(B52="Smartwatch",#REF!,#REF!)))))</f>
        <v>#REF!</v>
      </c>
      <c r="O52" s="50" t="e">
        <f>M52-N52</f>
        <v>#REF!</v>
      </c>
      <c r="P52" s="51">
        <f>K52/((F52+M52)/2)</f>
        <v>5.3076923076923075</v>
      </c>
      <c r="Q52" s="15">
        <v>22</v>
      </c>
      <c r="R52" s="15">
        <v>0.86530658395959903</v>
      </c>
      <c r="S52" s="52">
        <v>34.881387035624201</v>
      </c>
      <c r="U52" s="15"/>
      <c r="V52" s="15"/>
      <c r="W52" s="15"/>
      <c r="X52" s="15"/>
      <c r="Y52" s="15"/>
      <c r="Z52" s="15"/>
    </row>
    <row r="53" spans="1:26" x14ac:dyDescent="0.15">
      <c r="A53" s="15">
        <v>4</v>
      </c>
      <c r="B53" s="15" t="s">
        <v>13</v>
      </c>
      <c r="C53" s="46" t="str">
        <f>IF(B53="Smartphone", "Electronics", IF(B53="Laptop", "Computing", IF(B53="Tablet", "Mobile", IF(B53="Smartwatch", "Wearables", IF(B53="Headphones", "Audio", "Photography")))))</f>
        <v>Wearables</v>
      </c>
      <c r="D53" s="47">
        <v>43709</v>
      </c>
      <c r="E53" s="48" t="str">
        <f>IF(OR(MONTH(D53)=9, MONTH(D53)=10, MONTH(D53)=11), "Spring",
 IF(OR(MONTH(D53)=12, MONTH(D53)=1, MONTH(D53)=2), "Summer",
 IF(OR(MONTH(D53)=3, MONTH(D53)=4, MONTH(D53)=5), "Autumn",
 IF(OR(MONTH(D53)=6, MONTH(D53)=7, MONTH(D53)=8), "Winter", "Unknown"
))))</f>
        <v>Spring</v>
      </c>
      <c r="F53" s="15">
        <v>129</v>
      </c>
      <c r="G53" s="15">
        <v>76</v>
      </c>
      <c r="H53" s="46">
        <f>F53+G53</f>
        <v>205</v>
      </c>
      <c r="I53" s="49">
        <v>423</v>
      </c>
      <c r="J53" s="46">
        <f t="shared" si="0"/>
        <v>-218</v>
      </c>
      <c r="K53" s="15">
        <v>213</v>
      </c>
      <c r="L53" s="15">
        <f>H53-K53</f>
        <v>-8</v>
      </c>
      <c r="M53" s="15">
        <v>88</v>
      </c>
      <c r="N53" s="50" t="e">
        <f>IF(B53="Camera",#REF!, IF(B53="Headphones",#REF!, IF(B53="Laptop",#REF!, IF(B53="Smartphone",#REF!, IF(B53="Smartwatch",#REF!,#REF!)))))</f>
        <v>#REF!</v>
      </c>
      <c r="O53" s="50" t="e">
        <f>M53-N53</f>
        <v>#REF!</v>
      </c>
      <c r="P53" s="51">
        <f>K53/((F53+M53)/2)</f>
        <v>1.9631336405529953</v>
      </c>
      <c r="Q53" s="15">
        <v>11</v>
      </c>
      <c r="R53" s="15">
        <v>0.92274859453004798</v>
      </c>
      <c r="S53" s="52">
        <v>112.790270212506</v>
      </c>
      <c r="U53" s="15"/>
      <c r="V53" s="15"/>
      <c r="W53" s="15"/>
      <c r="X53" s="15"/>
      <c r="Y53" s="15"/>
      <c r="Z53" s="15"/>
    </row>
    <row r="54" spans="1:26" x14ac:dyDescent="0.15">
      <c r="A54" s="15">
        <v>5</v>
      </c>
      <c r="B54" s="15" t="s">
        <v>14</v>
      </c>
      <c r="C54" s="46" t="str">
        <f>IF(B54="Smartphone", "Electronics", IF(B54="Laptop", "Computing", IF(B54="Tablet", "Mobile", IF(B54="Smartwatch", "Wearables", IF(B54="Headphones", "Audio", "Photography")))))</f>
        <v>Audio</v>
      </c>
      <c r="D54" s="47">
        <v>43709</v>
      </c>
      <c r="E54" s="48" t="str">
        <f>IF(OR(MONTH(D54)=9, MONTH(D54)=10, MONTH(D54)=11), "Spring",
 IF(OR(MONTH(D54)=12, MONTH(D54)=1, MONTH(D54)=2), "Summer",
 IF(OR(MONTH(D54)=3, MONTH(D54)=4, MONTH(D54)=5), "Autumn",
 IF(OR(MONTH(D54)=6, MONTH(D54)=7, MONTH(D54)=8), "Winter", "Unknown"
))))</f>
        <v>Spring</v>
      </c>
      <c r="F54" s="15">
        <v>1</v>
      </c>
      <c r="G54" s="15">
        <v>209</v>
      </c>
      <c r="H54" s="46">
        <f>F54+G54</f>
        <v>210</v>
      </c>
      <c r="I54" s="49">
        <v>1649</v>
      </c>
      <c r="J54" s="46">
        <f t="shared" si="0"/>
        <v>-1439</v>
      </c>
      <c r="K54" s="15">
        <v>204</v>
      </c>
      <c r="L54" s="15">
        <f>H54-K54</f>
        <v>6</v>
      </c>
      <c r="M54" s="15">
        <v>5</v>
      </c>
      <c r="N54" s="50" t="e">
        <f>IF(B54="Camera",#REF!, IF(B54="Headphones",#REF!, IF(B54="Laptop",#REF!, IF(B54="Smartphone",#REF!, IF(B54="Smartwatch",#REF!,#REF!)))))</f>
        <v>#REF!</v>
      </c>
      <c r="O54" s="50" t="e">
        <f>M54-N54</f>
        <v>#REF!</v>
      </c>
      <c r="P54" s="51">
        <f>K54/((F54+M54)/2)</f>
        <v>68</v>
      </c>
      <c r="Q54" s="15">
        <v>5</v>
      </c>
      <c r="R54" s="15">
        <v>0.92275305694694798</v>
      </c>
      <c r="S54" s="52">
        <v>62.744973437706101</v>
      </c>
      <c r="U54" s="15"/>
      <c r="V54" s="15"/>
      <c r="W54" s="15"/>
      <c r="X54" s="15"/>
      <c r="Y54" s="15"/>
      <c r="Z54" s="15"/>
    </row>
    <row r="55" spans="1:26" x14ac:dyDescent="0.15">
      <c r="A55" s="15">
        <v>6</v>
      </c>
      <c r="B55" s="15" t="s">
        <v>15</v>
      </c>
      <c r="C55" s="46" t="str">
        <f>IF(B55="Smartphone", "Electronics", IF(B55="Laptop", "Computing", IF(B55="Tablet", "Mobile", IF(B55="Smartwatch", "Wearables", IF(B55="Headphones", "Audio", "Photography")))))</f>
        <v>Photography</v>
      </c>
      <c r="D55" s="47">
        <v>43709</v>
      </c>
      <c r="E55" s="48" t="str">
        <f>IF(OR(MONTH(D55)=9, MONTH(D55)=10, MONTH(D55)=11), "Spring",
 IF(OR(MONTH(D55)=12, MONTH(D55)=1, MONTH(D55)=2), "Summer",
 IF(OR(MONTH(D55)=3, MONTH(D55)=4, MONTH(D55)=5), "Autumn",
 IF(OR(MONTH(D55)=6, MONTH(D55)=7, MONTH(D55)=8), "Winter", "Unknown"
))))</f>
        <v>Spring</v>
      </c>
      <c r="F55" s="15">
        <v>71</v>
      </c>
      <c r="G55" s="15">
        <v>198</v>
      </c>
      <c r="H55" s="46">
        <f>F55+G55</f>
        <v>269</v>
      </c>
      <c r="I55" s="49">
        <v>388</v>
      </c>
      <c r="J55" s="46">
        <f t="shared" si="0"/>
        <v>-119</v>
      </c>
      <c r="K55" s="15">
        <v>139</v>
      </c>
      <c r="L55" s="15">
        <f>H55-K55</f>
        <v>130</v>
      </c>
      <c r="M55" s="15">
        <v>59</v>
      </c>
      <c r="N55" s="50" t="e">
        <f>IF(B55="Camera",#REF!, IF(B55="Headphones",#REF!, IF(B55="Laptop",#REF!, IF(B55="Smartphone",#REF!, IF(B55="Smartwatch",#REF!,#REF!)))))</f>
        <v>#REF!</v>
      </c>
      <c r="O55" s="50" t="e">
        <f>M55-N55</f>
        <v>#REF!</v>
      </c>
      <c r="P55" s="51">
        <f>K55/((F55+M55)/2)</f>
        <v>2.1384615384615384</v>
      </c>
      <c r="Q55" s="15">
        <v>29</v>
      </c>
      <c r="R55" s="15">
        <v>0.93803863748353</v>
      </c>
      <c r="S55" s="52">
        <v>174.401532044649</v>
      </c>
    </row>
    <row r="56" spans="1:26" x14ac:dyDescent="0.15">
      <c r="A56" s="15">
        <v>1</v>
      </c>
      <c r="B56" s="15" t="s">
        <v>10</v>
      </c>
      <c r="C56" s="46" t="str">
        <f>IF(B56="Smartphone", "Electronics", IF(B56="Laptop", "Computing", IF(B56="Tablet", "Mobile", IF(B56="Smartwatch", "Wearables", IF(B56="Headphones", "Audio", "Photography")))))</f>
        <v>Electronics</v>
      </c>
      <c r="D56" s="47">
        <v>43739</v>
      </c>
      <c r="E56" s="48" t="str">
        <f>IF(OR(MONTH(D56)=9, MONTH(D56)=10, MONTH(D56)=11), "Spring",
 IF(OR(MONTH(D56)=12, MONTH(D56)=1, MONTH(D56)=2), "Summer",
 IF(OR(MONTH(D56)=3, MONTH(D56)=4, MONTH(D56)=5), "Autumn",
 IF(OR(MONTH(D56)=6, MONTH(D56)=7, MONTH(D56)=8), "Winter", "Unknown"
))))</f>
        <v>Spring</v>
      </c>
      <c r="F56" s="15">
        <v>33</v>
      </c>
      <c r="G56" s="15">
        <v>313</v>
      </c>
      <c r="H56" s="46">
        <f>F56+G56</f>
        <v>346</v>
      </c>
      <c r="I56" s="49">
        <v>517</v>
      </c>
      <c r="J56" s="46">
        <f t="shared" si="0"/>
        <v>-171</v>
      </c>
      <c r="K56" s="15">
        <v>237</v>
      </c>
      <c r="L56" s="15">
        <f>H56-K56</f>
        <v>109</v>
      </c>
      <c r="M56" s="15">
        <v>76</v>
      </c>
      <c r="N56" s="50" t="e">
        <f>IF(B56="Camera",#REF!, IF(B56="Headphones",#REF!, IF(B56="Laptop",#REF!, IF(B56="Smartphone",#REF!, IF(B56="Smartwatch",#REF!,#REF!)))))</f>
        <v>#REF!</v>
      </c>
      <c r="O56" s="50" t="e">
        <f>M56-N56</f>
        <v>#REF!</v>
      </c>
      <c r="P56" s="51">
        <f>K56/((F56+M56)/2)</f>
        <v>4.3486238532110093</v>
      </c>
      <c r="Q56" s="15">
        <v>1</v>
      </c>
      <c r="R56" s="15">
        <v>0.98322201269741005</v>
      </c>
      <c r="S56" s="52">
        <v>53.169953297047101</v>
      </c>
      <c r="U56" s="15"/>
      <c r="V56" s="15"/>
      <c r="W56" s="15"/>
      <c r="X56" s="15"/>
      <c r="Y56" s="15"/>
      <c r="Z56" s="15"/>
    </row>
    <row r="57" spans="1:26" x14ac:dyDescent="0.15">
      <c r="A57" s="15">
        <v>2</v>
      </c>
      <c r="B57" s="15" t="s">
        <v>11</v>
      </c>
      <c r="C57" s="46" t="str">
        <f>IF(B57="Smartphone", "Electronics", IF(B57="Laptop", "Computing", IF(B57="Tablet", "Mobile", IF(B57="Smartwatch", "Wearables", IF(B57="Headphones", "Audio", "Photography")))))</f>
        <v>Computing</v>
      </c>
      <c r="D57" s="47">
        <v>43739</v>
      </c>
      <c r="E57" s="48" t="str">
        <f>IF(OR(MONTH(D57)=9, MONTH(D57)=10, MONTH(D57)=11), "Spring",
 IF(OR(MONTH(D57)=12, MONTH(D57)=1, MONTH(D57)=2), "Summer",
 IF(OR(MONTH(D57)=3, MONTH(D57)=4, MONTH(D57)=5), "Autumn",
 IF(OR(MONTH(D57)=6, MONTH(D57)=7, MONTH(D57)=8), "Winter", "Unknown"
))))</f>
        <v>Spring</v>
      </c>
      <c r="F57" s="15">
        <v>73</v>
      </c>
      <c r="G57" s="15">
        <v>279</v>
      </c>
      <c r="H57" s="46">
        <f>F57+G57</f>
        <v>352</v>
      </c>
      <c r="I57" s="49">
        <v>615</v>
      </c>
      <c r="J57" s="46">
        <f t="shared" si="0"/>
        <v>-263</v>
      </c>
      <c r="K57" s="15">
        <v>240</v>
      </c>
      <c r="L57" s="15">
        <f>H57-K57</f>
        <v>112</v>
      </c>
      <c r="M57" s="15">
        <v>39</v>
      </c>
      <c r="N57" s="50" t="e">
        <f>IF(B57="Camera",#REF!, IF(B57="Headphones",#REF!, IF(B57="Laptop",#REF!, IF(B57="Smartphone",#REF!, IF(B57="Smartwatch",#REF!,#REF!)))))</f>
        <v>#REF!</v>
      </c>
      <c r="O57" s="50" t="e">
        <f>M57-N57</f>
        <v>#REF!</v>
      </c>
      <c r="P57" s="51">
        <f>K57/((F57+M57)/2)</f>
        <v>4.2857142857142856</v>
      </c>
      <c r="Q57" s="15">
        <v>24</v>
      </c>
      <c r="R57" s="15">
        <v>0.978095321238305</v>
      </c>
      <c r="S57" s="52">
        <v>59.074371424336398</v>
      </c>
      <c r="U57" s="15"/>
      <c r="V57" s="15"/>
      <c r="W57" s="15"/>
      <c r="X57" s="15"/>
      <c r="Y57" s="15"/>
      <c r="Z57" s="15"/>
    </row>
    <row r="58" spans="1:26" x14ac:dyDescent="0.15">
      <c r="A58" s="15">
        <v>3</v>
      </c>
      <c r="B58" s="15" t="s">
        <v>12</v>
      </c>
      <c r="C58" s="46" t="str">
        <f>IF(B58="Smartphone", "Electronics", IF(B58="Laptop", "Computing", IF(B58="Tablet", "Mobile", IF(B58="Smartwatch", "Wearables", IF(B58="Headphones", "Audio", "Photography")))))</f>
        <v>Mobile</v>
      </c>
      <c r="D58" s="47">
        <v>43739</v>
      </c>
      <c r="E58" s="48" t="str">
        <f>IF(OR(MONTH(D58)=9, MONTH(D58)=10, MONTH(D58)=11), "Spring",
 IF(OR(MONTH(D58)=12, MONTH(D58)=1, MONTH(D58)=2), "Summer",
 IF(OR(MONTH(D58)=3, MONTH(D58)=4, MONTH(D58)=5), "Autumn",
 IF(OR(MONTH(D58)=6, MONTH(D58)=7, MONTH(D58)=8), "Winter", "Unknown"
))))</f>
        <v>Spring</v>
      </c>
      <c r="F58" s="15">
        <v>346</v>
      </c>
      <c r="G58" s="15">
        <v>249</v>
      </c>
      <c r="H58" s="46">
        <f>F58+G58</f>
        <v>595</v>
      </c>
      <c r="I58" s="49">
        <v>436</v>
      </c>
      <c r="J58" s="46">
        <f t="shared" si="0"/>
        <v>159</v>
      </c>
      <c r="K58" s="15">
        <v>436</v>
      </c>
      <c r="L58" s="15">
        <f>H58-K58</f>
        <v>159</v>
      </c>
      <c r="M58" s="15">
        <v>179</v>
      </c>
      <c r="N58" s="50" t="e">
        <f>IF(B58="Camera",#REF!, IF(B58="Headphones",#REF!, IF(B58="Laptop",#REF!, IF(B58="Smartphone",#REF!, IF(B58="Smartwatch",#REF!,#REF!)))))</f>
        <v>#REF!</v>
      </c>
      <c r="O58" s="50" t="e">
        <f>M58-N58</f>
        <v>#REF!</v>
      </c>
      <c r="P58" s="51">
        <f>K58/((F58+M58)/2)</f>
        <v>1.660952380952381</v>
      </c>
      <c r="Q58" s="15">
        <v>3</v>
      </c>
      <c r="R58" s="15">
        <v>0.87026970830802397</v>
      </c>
      <c r="S58" s="52">
        <v>70.2441937418279</v>
      </c>
      <c r="U58" s="15"/>
      <c r="V58" s="15"/>
      <c r="W58" s="15"/>
      <c r="X58" s="15"/>
      <c r="Y58" s="15"/>
      <c r="Z58" s="15"/>
    </row>
    <row r="59" spans="1:26" x14ac:dyDescent="0.15">
      <c r="A59" s="15">
        <v>4</v>
      </c>
      <c r="B59" s="15" t="s">
        <v>13</v>
      </c>
      <c r="C59" s="46" t="str">
        <f>IF(B59="Smartphone", "Electronics", IF(B59="Laptop", "Computing", IF(B59="Tablet", "Mobile", IF(B59="Smartwatch", "Wearables", IF(B59="Headphones", "Audio", "Photography")))))</f>
        <v>Wearables</v>
      </c>
      <c r="D59" s="47">
        <v>43739</v>
      </c>
      <c r="E59" s="48" t="str">
        <f>IF(OR(MONTH(D59)=9, MONTH(D59)=10, MONTH(D59)=11), "Spring",
 IF(OR(MONTH(D59)=12, MONTH(D59)=1, MONTH(D59)=2), "Summer",
 IF(OR(MONTH(D59)=3, MONTH(D59)=4, MONTH(D59)=5), "Autumn",
 IF(OR(MONTH(D59)=6, MONTH(D59)=7, MONTH(D59)=8), "Winter", "Unknown"
))))</f>
        <v>Spring</v>
      </c>
      <c r="F59" s="15">
        <v>89</v>
      </c>
      <c r="G59" s="15">
        <v>99</v>
      </c>
      <c r="H59" s="46">
        <f>F59+G59</f>
        <v>188</v>
      </c>
      <c r="I59" s="49">
        <v>648</v>
      </c>
      <c r="J59" s="46">
        <f t="shared" si="0"/>
        <v>-460</v>
      </c>
      <c r="K59" s="15">
        <v>28</v>
      </c>
      <c r="L59" s="15">
        <f>H59-K59</f>
        <v>160</v>
      </c>
      <c r="M59" s="15">
        <v>71</v>
      </c>
      <c r="N59" s="50" t="e">
        <f>IF(B59="Camera",#REF!, IF(B59="Headphones",#REF!, IF(B59="Laptop",#REF!, IF(B59="Smartphone",#REF!, IF(B59="Smartwatch",#REF!,#REF!)))))</f>
        <v>#REF!</v>
      </c>
      <c r="O59" s="50" t="e">
        <f>M59-N59</f>
        <v>#REF!</v>
      </c>
      <c r="P59" s="51">
        <f>K59/((F59+M59)/2)</f>
        <v>0.35</v>
      </c>
      <c r="Q59" s="15">
        <v>22</v>
      </c>
      <c r="R59" s="15">
        <v>0.8</v>
      </c>
      <c r="S59" s="52">
        <v>62.470601819033803</v>
      </c>
      <c r="U59" s="15"/>
      <c r="V59" s="15"/>
      <c r="W59" s="15"/>
      <c r="X59" s="15"/>
      <c r="Y59" s="15"/>
      <c r="Z59" s="15"/>
    </row>
    <row r="60" spans="1:26" x14ac:dyDescent="0.15">
      <c r="A60" s="15">
        <v>5</v>
      </c>
      <c r="B60" s="15" t="s">
        <v>14</v>
      </c>
      <c r="C60" s="46" t="str">
        <f>IF(B60="Smartphone", "Electronics", IF(B60="Laptop", "Computing", IF(B60="Tablet", "Mobile", IF(B60="Smartwatch", "Wearables", IF(B60="Headphones", "Audio", "Photography")))))</f>
        <v>Audio</v>
      </c>
      <c r="D60" s="47">
        <v>43739</v>
      </c>
      <c r="E60" s="48" t="str">
        <f>IF(OR(MONTH(D60)=9, MONTH(D60)=10, MONTH(D60)=11), "Spring",
 IF(OR(MONTH(D60)=12, MONTH(D60)=1, MONTH(D60)=2), "Summer",
 IF(OR(MONTH(D60)=3, MONTH(D60)=4, MONTH(D60)=5), "Autumn",
 IF(OR(MONTH(D60)=6, MONTH(D60)=7, MONTH(D60)=8), "Winter", "Unknown"
))))</f>
        <v>Spring</v>
      </c>
      <c r="F60" s="15">
        <v>47</v>
      </c>
      <c r="G60" s="15">
        <v>116</v>
      </c>
      <c r="H60" s="46">
        <f>F60+G60</f>
        <v>163</v>
      </c>
      <c r="I60" s="49">
        <v>1394</v>
      </c>
      <c r="J60" s="46">
        <f t="shared" si="0"/>
        <v>-1231</v>
      </c>
      <c r="K60" s="15">
        <v>38</v>
      </c>
      <c r="L60" s="15">
        <f>H60-K60</f>
        <v>125</v>
      </c>
      <c r="M60" s="15">
        <v>78</v>
      </c>
      <c r="N60" s="50" t="e">
        <f>IF(B60="Camera",#REF!, IF(B60="Headphones",#REF!, IF(B60="Laptop",#REF!, IF(B60="Smartphone",#REF!, IF(B60="Smartwatch",#REF!,#REF!)))))</f>
        <v>#REF!</v>
      </c>
      <c r="O60" s="50" t="e">
        <f>M60-N60</f>
        <v>#REF!</v>
      </c>
      <c r="P60" s="51">
        <f>K60/((F60+M60)/2)</f>
        <v>0.60799999999999998</v>
      </c>
      <c r="Q60" s="15">
        <v>19</v>
      </c>
      <c r="R60" s="15">
        <v>0.86607353323176195</v>
      </c>
      <c r="S60" s="52">
        <v>72.146257214624598</v>
      </c>
      <c r="U60" s="15"/>
      <c r="V60" s="15"/>
      <c r="W60" s="15"/>
      <c r="X60" s="15"/>
      <c r="Y60" s="15"/>
      <c r="Z60" s="15"/>
    </row>
    <row r="61" spans="1:26" x14ac:dyDescent="0.15">
      <c r="A61" s="15">
        <v>6</v>
      </c>
      <c r="B61" s="15" t="s">
        <v>15</v>
      </c>
      <c r="C61" s="46" t="str">
        <f>IF(B61="Smartphone", "Electronics", IF(B61="Laptop", "Computing", IF(B61="Tablet", "Mobile", IF(B61="Smartwatch", "Wearables", IF(B61="Headphones", "Audio", "Photography")))))</f>
        <v>Photography</v>
      </c>
      <c r="D61" s="47">
        <v>43739</v>
      </c>
      <c r="E61" s="48" t="str">
        <f>IF(OR(MONTH(D61)=9, MONTH(D61)=10, MONTH(D61)=11), "Spring",
 IF(OR(MONTH(D61)=12, MONTH(D61)=1, MONTH(D61)=2), "Summer",
 IF(OR(MONTH(D61)=3, MONTH(D61)=4, MONTH(D61)=5), "Autumn",
 IF(OR(MONTH(D61)=6, MONTH(D61)=7, MONTH(D61)=8), "Winter", "Unknown"
))))</f>
        <v>Spring</v>
      </c>
      <c r="F61" s="15">
        <v>13</v>
      </c>
      <c r="G61" s="15">
        <v>349</v>
      </c>
      <c r="H61" s="46">
        <f>F61+G61</f>
        <v>362</v>
      </c>
      <c r="I61" s="49">
        <v>559</v>
      </c>
      <c r="J61" s="46">
        <f t="shared" si="0"/>
        <v>-197</v>
      </c>
      <c r="K61" s="15">
        <v>317</v>
      </c>
      <c r="L61" s="15">
        <f>H61-K61</f>
        <v>45</v>
      </c>
      <c r="M61" s="15">
        <v>32</v>
      </c>
      <c r="N61" s="50" t="e">
        <f>IF(B61="Camera",#REF!, IF(B61="Headphones",#REF!, IF(B61="Laptop",#REF!, IF(B61="Smartphone",#REF!, IF(B61="Smartwatch",#REF!,#REF!)))))</f>
        <v>#REF!</v>
      </c>
      <c r="O61" s="50" t="e">
        <f>M61-N61</f>
        <v>#REF!</v>
      </c>
      <c r="P61" s="51">
        <f>K61/((F61+M61)/2)</f>
        <v>14.088888888888889</v>
      </c>
      <c r="Q61" s="15">
        <v>23</v>
      </c>
      <c r="R61" s="15">
        <v>0.90378361470236102</v>
      </c>
      <c r="S61" s="52">
        <v>67.736387876091698</v>
      </c>
    </row>
    <row r="62" spans="1:26" x14ac:dyDescent="0.15">
      <c r="A62" s="15">
        <v>1</v>
      </c>
      <c r="B62" s="15" t="s">
        <v>10</v>
      </c>
      <c r="C62" s="46" t="str">
        <f>IF(B62="Smartphone", "Electronics", IF(B62="Laptop", "Computing", IF(B62="Tablet", "Mobile", IF(B62="Smartwatch", "Wearables", IF(B62="Headphones", "Audio", "Photography")))))</f>
        <v>Electronics</v>
      </c>
      <c r="D62" s="47">
        <v>43770</v>
      </c>
      <c r="E62" s="48" t="str">
        <f>IF(OR(MONTH(D62)=9, MONTH(D62)=10, MONTH(D62)=11), "Spring",
 IF(OR(MONTH(D62)=12, MONTH(D62)=1, MONTH(D62)=2), "Summer",
 IF(OR(MONTH(D62)=3, MONTH(D62)=4, MONTH(D62)=5), "Autumn",
 IF(OR(MONTH(D62)=6, MONTH(D62)=7, MONTH(D62)=8), "Winter", "Unknown"
))))</f>
        <v>Spring</v>
      </c>
      <c r="F62" s="15">
        <v>3</v>
      </c>
      <c r="G62" s="15">
        <v>430</v>
      </c>
      <c r="H62" s="46">
        <f>F62+G62</f>
        <v>433</v>
      </c>
      <c r="I62" s="49">
        <v>835</v>
      </c>
      <c r="J62" s="46">
        <f t="shared" si="0"/>
        <v>-402</v>
      </c>
      <c r="K62" s="15">
        <v>443</v>
      </c>
      <c r="L62" s="15">
        <f>H62-K62</f>
        <v>-10</v>
      </c>
      <c r="M62" s="15">
        <v>60</v>
      </c>
      <c r="N62" s="50" t="e">
        <f>IF(B62="Camera",#REF!, IF(B62="Headphones",#REF!, IF(B62="Laptop",#REF!, IF(B62="Smartphone",#REF!, IF(B62="Smartwatch",#REF!,#REF!)))))</f>
        <v>#REF!</v>
      </c>
      <c r="O62" s="50" t="e">
        <f>M62-N62</f>
        <v>#REF!</v>
      </c>
      <c r="P62" s="51">
        <f>K62/((F62+M62)/2)</f>
        <v>14.063492063492063</v>
      </c>
      <c r="Q62" s="15">
        <v>29</v>
      </c>
      <c r="R62" s="15">
        <v>0.881917736115717</v>
      </c>
      <c r="S62" s="52">
        <v>52.276153385806701</v>
      </c>
      <c r="U62" s="15"/>
      <c r="V62" s="15"/>
      <c r="W62" s="15"/>
      <c r="X62" s="15"/>
      <c r="Y62" s="15"/>
      <c r="Z62" s="15"/>
    </row>
    <row r="63" spans="1:26" x14ac:dyDescent="0.15">
      <c r="A63" s="15">
        <v>2</v>
      </c>
      <c r="B63" s="15" t="s">
        <v>11</v>
      </c>
      <c r="C63" s="46" t="str">
        <f>IF(B63="Smartphone", "Electronics", IF(B63="Laptop", "Computing", IF(B63="Tablet", "Mobile", IF(B63="Smartwatch", "Wearables", IF(B63="Headphones", "Audio", "Photography")))))</f>
        <v>Computing</v>
      </c>
      <c r="D63" s="47">
        <v>43770</v>
      </c>
      <c r="E63" s="48" t="str">
        <f>IF(OR(MONTH(D63)=9, MONTH(D63)=10, MONTH(D63)=11), "Spring",
 IF(OR(MONTH(D63)=12, MONTH(D63)=1, MONTH(D63)=2), "Summer",
 IF(OR(MONTH(D63)=3, MONTH(D63)=4, MONTH(D63)=5), "Autumn",
 IF(OR(MONTH(D63)=6, MONTH(D63)=7, MONTH(D63)=8), "Winter", "Unknown"
))))</f>
        <v>Spring</v>
      </c>
      <c r="F63" s="15">
        <v>21</v>
      </c>
      <c r="G63" s="15">
        <v>107</v>
      </c>
      <c r="H63" s="46">
        <f>F63+G63</f>
        <v>128</v>
      </c>
      <c r="I63" s="49">
        <v>100</v>
      </c>
      <c r="J63" s="46">
        <f t="shared" si="0"/>
        <v>28</v>
      </c>
      <c r="K63" s="15">
        <v>100</v>
      </c>
      <c r="L63" s="15">
        <f>H63-K63</f>
        <v>28</v>
      </c>
      <c r="M63" s="15">
        <v>7</v>
      </c>
      <c r="N63" s="50" t="e">
        <f>IF(B63="Camera",#REF!, IF(B63="Headphones",#REF!, IF(B63="Laptop",#REF!, IF(B63="Smartphone",#REF!, IF(B63="Smartwatch",#REF!,#REF!)))))</f>
        <v>#REF!</v>
      </c>
      <c r="O63" s="50" t="e">
        <f>M63-N63</f>
        <v>#REF!</v>
      </c>
      <c r="P63" s="51">
        <f>K63/((F63+M63)/2)</f>
        <v>7.1428571428571432</v>
      </c>
      <c r="Q63" s="15">
        <v>7</v>
      </c>
      <c r="R63" s="15">
        <v>0.99839494714640598</v>
      </c>
      <c r="S63" s="52">
        <v>239.57900585900001</v>
      </c>
      <c r="U63" s="15"/>
      <c r="V63" s="15"/>
      <c r="W63" s="15"/>
      <c r="X63" s="15"/>
      <c r="Y63" s="15"/>
      <c r="Z63" s="15"/>
    </row>
    <row r="64" spans="1:26" x14ac:dyDescent="0.15">
      <c r="A64" s="15">
        <v>3</v>
      </c>
      <c r="B64" s="15" t="s">
        <v>12</v>
      </c>
      <c r="C64" s="46" t="str">
        <f>IF(B64="Smartphone", "Electronics", IF(B64="Laptop", "Computing", IF(B64="Tablet", "Mobile", IF(B64="Smartwatch", "Wearables", IF(B64="Headphones", "Audio", "Photography")))))</f>
        <v>Mobile</v>
      </c>
      <c r="D64" s="47">
        <v>43770</v>
      </c>
      <c r="E64" s="48" t="str">
        <f>IF(OR(MONTH(D64)=9, MONTH(D64)=10, MONTH(D64)=11), "Spring",
 IF(OR(MONTH(D64)=12, MONTH(D64)=1, MONTH(D64)=2), "Summer",
 IF(OR(MONTH(D64)=3, MONTH(D64)=4, MONTH(D64)=5), "Autumn",
 IF(OR(MONTH(D64)=6, MONTH(D64)=7, MONTH(D64)=8), "Winter", "Unknown"
))))</f>
        <v>Spring</v>
      </c>
      <c r="F64" s="15">
        <v>6</v>
      </c>
      <c r="G64" s="15">
        <v>308</v>
      </c>
      <c r="H64" s="46">
        <f>F64+G64</f>
        <v>314</v>
      </c>
      <c r="I64" s="49">
        <v>557</v>
      </c>
      <c r="J64" s="46">
        <f t="shared" si="0"/>
        <v>-243</v>
      </c>
      <c r="K64" s="15">
        <v>254</v>
      </c>
      <c r="L64" s="15">
        <f>H64-K64</f>
        <v>60</v>
      </c>
      <c r="M64" s="15">
        <v>54</v>
      </c>
      <c r="N64" s="50" t="e">
        <f>IF(B64="Camera",#REF!, IF(B64="Headphones",#REF!, IF(B64="Laptop",#REF!, IF(B64="Smartphone",#REF!, IF(B64="Smartwatch",#REF!,#REF!)))))</f>
        <v>#REF!</v>
      </c>
      <c r="O64" s="50" t="e">
        <f>M64-N64</f>
        <v>#REF!</v>
      </c>
      <c r="P64" s="51">
        <f>K64/((F64+M64)/2)</f>
        <v>8.4666666666666668</v>
      </c>
      <c r="Q64" s="15">
        <v>12</v>
      </c>
      <c r="R64" s="15">
        <v>0.90093901521582198</v>
      </c>
      <c r="S64" s="52">
        <v>89.556977912926797</v>
      </c>
      <c r="U64" s="15"/>
      <c r="V64" s="15"/>
      <c r="W64" s="15"/>
      <c r="X64" s="15"/>
      <c r="Y64" s="15"/>
      <c r="Z64" s="15"/>
    </row>
    <row r="65" spans="1:26" x14ac:dyDescent="0.15">
      <c r="A65" s="15">
        <v>4</v>
      </c>
      <c r="B65" s="15" t="s">
        <v>13</v>
      </c>
      <c r="C65" s="46" t="str">
        <f>IF(B65="Smartphone", "Electronics", IF(B65="Laptop", "Computing", IF(B65="Tablet", "Mobile", IF(B65="Smartwatch", "Wearables", IF(B65="Headphones", "Audio", "Photography")))))</f>
        <v>Wearables</v>
      </c>
      <c r="D65" s="47">
        <v>43770</v>
      </c>
      <c r="E65" s="48" t="str">
        <f>IF(OR(MONTH(D65)=9, MONTH(D65)=10, MONTH(D65)=11), "Spring",
 IF(OR(MONTH(D65)=12, MONTH(D65)=1, MONTH(D65)=2), "Summer",
 IF(OR(MONTH(D65)=3, MONTH(D65)=4, MONTH(D65)=5), "Autumn",
 IF(OR(MONTH(D65)=6, MONTH(D65)=7, MONTH(D65)=8), "Winter", "Unknown"
))))</f>
        <v>Spring</v>
      </c>
      <c r="F65" s="15">
        <v>45</v>
      </c>
      <c r="G65" s="15">
        <v>391</v>
      </c>
      <c r="H65" s="46">
        <f>F65+G65</f>
        <v>436</v>
      </c>
      <c r="I65" s="49">
        <v>718</v>
      </c>
      <c r="J65" s="46">
        <f t="shared" si="0"/>
        <v>-282</v>
      </c>
      <c r="K65" s="15">
        <v>326</v>
      </c>
      <c r="L65" s="15">
        <f>H65-K65</f>
        <v>110</v>
      </c>
      <c r="M65" s="15">
        <v>65</v>
      </c>
      <c r="N65" s="50" t="e">
        <f>IF(B65="Camera",#REF!, IF(B65="Headphones",#REF!, IF(B65="Laptop",#REF!, IF(B65="Smartphone",#REF!, IF(B65="Smartwatch",#REF!,#REF!)))))</f>
        <v>#REF!</v>
      </c>
      <c r="O65" s="50" t="e">
        <f>M65-N65</f>
        <v>#REF!</v>
      </c>
      <c r="P65" s="51">
        <f>K65/((F65+M65)/2)</f>
        <v>5.9272727272727277</v>
      </c>
      <c r="Q65" s="15">
        <v>15</v>
      </c>
      <c r="R65" s="15">
        <v>0.93268559401280904</v>
      </c>
      <c r="S65" s="52">
        <v>76.312615294337704</v>
      </c>
      <c r="U65" s="15"/>
      <c r="V65" s="15"/>
      <c r="W65" s="15"/>
      <c r="X65" s="15"/>
      <c r="Y65" s="15"/>
      <c r="Z65" s="15"/>
    </row>
    <row r="66" spans="1:26" x14ac:dyDescent="0.15">
      <c r="A66" s="15">
        <v>5</v>
      </c>
      <c r="B66" s="15" t="s">
        <v>14</v>
      </c>
      <c r="C66" s="46" t="str">
        <f>IF(B66="Smartphone", "Electronics", IF(B66="Laptop", "Computing", IF(B66="Tablet", "Mobile", IF(B66="Smartwatch", "Wearables", IF(B66="Headphones", "Audio", "Photography")))))</f>
        <v>Audio</v>
      </c>
      <c r="D66" s="47">
        <v>43770</v>
      </c>
      <c r="E66" s="48" t="str">
        <f>IF(OR(MONTH(D66)=9, MONTH(D66)=10, MONTH(D66)=11), "Spring",
 IF(OR(MONTH(D66)=12, MONTH(D66)=1, MONTH(D66)=2), "Summer",
 IF(OR(MONTH(D66)=3, MONTH(D66)=4, MONTH(D66)=5), "Autumn",
 IF(OR(MONTH(D66)=6, MONTH(D66)=7, MONTH(D66)=8), "Winter", "Unknown"
))))</f>
        <v>Spring</v>
      </c>
      <c r="F66" s="15">
        <v>35</v>
      </c>
      <c r="G66" s="15">
        <v>375</v>
      </c>
      <c r="H66" s="46">
        <f>F66+G66</f>
        <v>410</v>
      </c>
      <c r="I66" s="49">
        <v>1681</v>
      </c>
      <c r="J66" s="46">
        <f t="shared" si="0"/>
        <v>-1271</v>
      </c>
      <c r="K66" s="15">
        <v>310</v>
      </c>
      <c r="L66" s="15">
        <f>H66-K66</f>
        <v>100</v>
      </c>
      <c r="M66" s="15">
        <v>65</v>
      </c>
      <c r="N66" s="50" t="e">
        <f>IF(B66="Camera",#REF!, IF(B66="Headphones",#REF!, IF(B66="Laptop",#REF!, IF(B66="Smartphone",#REF!, IF(B66="Smartwatch",#REF!,#REF!)))))</f>
        <v>#REF!</v>
      </c>
      <c r="O66" s="50" t="e">
        <f>M66-N66</f>
        <v>#REF!</v>
      </c>
      <c r="P66" s="51">
        <f>K66/((F66+M66)/2)</f>
        <v>6.2</v>
      </c>
      <c r="Q66" s="15">
        <v>25</v>
      </c>
      <c r="R66" s="15">
        <v>0.91086071548236702</v>
      </c>
      <c r="S66" s="52">
        <v>55.032914307840002</v>
      </c>
      <c r="U66" s="15"/>
      <c r="V66" s="15"/>
      <c r="W66" s="15"/>
      <c r="X66" s="15"/>
      <c r="Y66" s="15"/>
      <c r="Z66" s="15"/>
    </row>
    <row r="67" spans="1:26" x14ac:dyDescent="0.15">
      <c r="A67" s="15">
        <v>6</v>
      </c>
      <c r="B67" s="15" t="s">
        <v>15</v>
      </c>
      <c r="C67" s="46" t="str">
        <f>IF(B67="Smartphone", "Electronics", IF(B67="Laptop", "Computing", IF(B67="Tablet", "Mobile", IF(B67="Smartwatch", "Wearables", IF(B67="Headphones", "Audio", "Photography")))))</f>
        <v>Photography</v>
      </c>
      <c r="D67" s="47">
        <v>43770</v>
      </c>
      <c r="E67" s="48" t="str">
        <f>IF(OR(MONTH(D67)=9, MONTH(D67)=10, MONTH(D67)=11), "Spring",
 IF(OR(MONTH(D67)=12, MONTH(D67)=1, MONTH(D67)=2), "Summer",
 IF(OR(MONTH(D67)=3, MONTH(D67)=4, MONTH(D67)=5), "Autumn",
 IF(OR(MONTH(D67)=6, MONTH(D67)=7, MONTH(D67)=8), "Winter", "Unknown"
))))</f>
        <v>Spring</v>
      </c>
      <c r="F67" s="15">
        <v>341</v>
      </c>
      <c r="G67" s="15">
        <v>179</v>
      </c>
      <c r="H67" s="46">
        <f>F67+G67</f>
        <v>520</v>
      </c>
      <c r="I67" s="49">
        <v>636</v>
      </c>
      <c r="J67" s="46">
        <f t="shared" ref="J67:J130" si="1">H67-I67</f>
        <v>-116</v>
      </c>
      <c r="K67" s="15">
        <v>489</v>
      </c>
      <c r="L67" s="15">
        <f>H67-K67</f>
        <v>31</v>
      </c>
      <c r="M67" s="15">
        <v>2</v>
      </c>
      <c r="N67" s="50" t="e">
        <f>IF(B67="Camera",#REF!, IF(B67="Headphones",#REF!, IF(B67="Laptop",#REF!, IF(B67="Smartphone",#REF!, IF(B67="Smartwatch",#REF!,#REF!)))))</f>
        <v>#REF!</v>
      </c>
      <c r="O67" s="50" t="e">
        <f>M67-N67</f>
        <v>#REF!</v>
      </c>
      <c r="P67" s="51">
        <f>K67/((F67+M67)/2)</f>
        <v>2.8513119533527695</v>
      </c>
      <c r="Q67" s="15">
        <v>5</v>
      </c>
      <c r="R67" s="15">
        <v>0.88266834082545798</v>
      </c>
      <c r="S67" s="52">
        <v>117.479174643319</v>
      </c>
    </row>
    <row r="68" spans="1:26" x14ac:dyDescent="0.15">
      <c r="A68" s="15">
        <v>1</v>
      </c>
      <c r="B68" s="15" t="s">
        <v>10</v>
      </c>
      <c r="C68" s="46" t="str">
        <f>IF(B68="Smartphone", "Electronics", IF(B68="Laptop", "Computing", IF(B68="Tablet", "Mobile", IF(B68="Smartwatch", "Wearables", IF(B68="Headphones", "Audio", "Photography")))))</f>
        <v>Electronics</v>
      </c>
      <c r="D68" s="47">
        <v>43800</v>
      </c>
      <c r="E68" s="48" t="str">
        <f>IF(OR(MONTH(D68)=9, MONTH(D68)=10, MONTH(D68)=11), "Spring",
 IF(OR(MONTH(D68)=12, MONTH(D68)=1, MONTH(D68)=2), "Summer",
 IF(OR(MONTH(D68)=3, MONTH(D68)=4, MONTH(D68)=5), "Autumn",
 IF(OR(MONTH(D68)=6, MONTH(D68)=7, MONTH(D68)=8), "Winter", "Unknown"
))))</f>
        <v>Summer</v>
      </c>
      <c r="F68" s="15">
        <v>15</v>
      </c>
      <c r="G68" s="15">
        <v>264</v>
      </c>
      <c r="H68" s="46">
        <f>F68+G68</f>
        <v>279</v>
      </c>
      <c r="I68" s="49">
        <v>757</v>
      </c>
      <c r="J68" s="46">
        <f t="shared" si="1"/>
        <v>-478</v>
      </c>
      <c r="K68" s="15">
        <v>192</v>
      </c>
      <c r="L68" s="15">
        <f>H68-K68</f>
        <v>87</v>
      </c>
      <c r="M68" s="15">
        <v>72</v>
      </c>
      <c r="N68" s="50" t="e">
        <f>IF(B68="Camera",#REF!, IF(B68="Headphones",#REF!, IF(B68="Laptop",#REF!, IF(B68="Smartphone",#REF!, IF(B68="Smartwatch",#REF!,#REF!)))))</f>
        <v>#REF!</v>
      </c>
      <c r="O68" s="50" t="e">
        <f>M68-N68</f>
        <v>#REF!</v>
      </c>
      <c r="P68" s="51">
        <f>K68/((F68+M68)/2)</f>
        <v>4.4137931034482758</v>
      </c>
      <c r="Q68" s="15">
        <v>15</v>
      </c>
      <c r="R68" s="15">
        <v>0.80375941610186596</v>
      </c>
      <c r="S68" s="52">
        <v>40.453491693959698</v>
      </c>
      <c r="U68" s="15"/>
      <c r="V68" s="15"/>
      <c r="W68" s="15"/>
      <c r="X68" s="15"/>
      <c r="Y68" s="15"/>
      <c r="Z68" s="15"/>
    </row>
    <row r="69" spans="1:26" x14ac:dyDescent="0.15">
      <c r="A69" s="15">
        <v>2</v>
      </c>
      <c r="B69" s="15" t="s">
        <v>11</v>
      </c>
      <c r="C69" s="46" t="str">
        <f>IF(B69="Smartphone", "Electronics", IF(B69="Laptop", "Computing", IF(B69="Tablet", "Mobile", IF(B69="Smartwatch", "Wearables", IF(B69="Headphones", "Audio", "Photography")))))</f>
        <v>Computing</v>
      </c>
      <c r="D69" s="47">
        <v>43800</v>
      </c>
      <c r="E69" s="48" t="str">
        <f>IF(OR(MONTH(D69)=9, MONTH(D69)=10, MONTH(D69)=11), "Spring",
 IF(OR(MONTH(D69)=12, MONTH(D69)=1, MONTH(D69)=2), "Summer",
 IF(OR(MONTH(D69)=3, MONTH(D69)=4, MONTH(D69)=5), "Autumn",
 IF(OR(MONTH(D69)=6, MONTH(D69)=7, MONTH(D69)=8), "Winter", "Unknown"
))))</f>
        <v>Summer</v>
      </c>
      <c r="F69" s="15">
        <v>80</v>
      </c>
      <c r="G69" s="15">
        <v>221</v>
      </c>
      <c r="H69" s="46">
        <f>F69+G69</f>
        <v>301</v>
      </c>
      <c r="I69" s="49">
        <v>782</v>
      </c>
      <c r="J69" s="46">
        <f t="shared" si="1"/>
        <v>-481</v>
      </c>
      <c r="K69" s="15">
        <v>206</v>
      </c>
      <c r="L69" s="15">
        <f>H69-K69</f>
        <v>95</v>
      </c>
      <c r="M69" s="15">
        <v>15</v>
      </c>
      <c r="N69" s="50" t="e">
        <f>IF(B69="Camera",#REF!, IF(B69="Headphones",#REF!, IF(B69="Laptop",#REF!, IF(B69="Smartphone",#REF!, IF(B69="Smartwatch",#REF!,#REF!)))))</f>
        <v>#REF!</v>
      </c>
      <c r="O69" s="50" t="e">
        <f>M69-N69</f>
        <v>#REF!</v>
      </c>
      <c r="P69" s="51">
        <f>K69/((F69+M69)/2)</f>
        <v>4.3368421052631581</v>
      </c>
      <c r="Q69" s="15">
        <v>8</v>
      </c>
      <c r="R69" s="15">
        <v>0.896069118072925</v>
      </c>
      <c r="S69" s="52">
        <v>37.307139158770198</v>
      </c>
      <c r="U69" s="15"/>
      <c r="V69" s="15"/>
      <c r="W69" s="15"/>
      <c r="X69" s="15"/>
      <c r="Y69" s="15"/>
      <c r="Z69" s="15"/>
    </row>
    <row r="70" spans="1:26" x14ac:dyDescent="0.15">
      <c r="A70" s="15">
        <v>3</v>
      </c>
      <c r="B70" s="15" t="s">
        <v>12</v>
      </c>
      <c r="C70" s="46" t="str">
        <f>IF(B70="Smartphone", "Electronics", IF(B70="Laptop", "Computing", IF(B70="Tablet", "Mobile", IF(B70="Smartwatch", "Wearables", IF(B70="Headphones", "Audio", "Photography")))))</f>
        <v>Mobile</v>
      </c>
      <c r="D70" s="47">
        <v>43800</v>
      </c>
      <c r="E70" s="48" t="str">
        <f>IF(OR(MONTH(D70)=9, MONTH(D70)=10, MONTH(D70)=11), "Spring",
 IF(OR(MONTH(D70)=12, MONTH(D70)=1, MONTH(D70)=2), "Summer",
 IF(OR(MONTH(D70)=3, MONTH(D70)=4, MONTH(D70)=5), "Autumn",
 IF(OR(MONTH(D70)=6, MONTH(D70)=7, MONTH(D70)=8), "Winter", "Unknown"
))))</f>
        <v>Summer</v>
      </c>
      <c r="F70" s="15">
        <v>115</v>
      </c>
      <c r="G70" s="15">
        <v>307</v>
      </c>
      <c r="H70" s="46">
        <f>F70+G70</f>
        <v>422</v>
      </c>
      <c r="I70" s="49">
        <v>582</v>
      </c>
      <c r="J70" s="46">
        <f t="shared" si="1"/>
        <v>-160</v>
      </c>
      <c r="K70" s="15">
        <v>217</v>
      </c>
      <c r="L70" s="15">
        <f>H70-K70</f>
        <v>205</v>
      </c>
      <c r="M70" s="15">
        <v>90</v>
      </c>
      <c r="N70" s="50" t="e">
        <f>IF(B70="Camera",#REF!, IF(B70="Headphones",#REF!, IF(B70="Laptop",#REF!, IF(B70="Smartphone",#REF!, IF(B70="Smartwatch",#REF!,#REF!)))))</f>
        <v>#REF!</v>
      </c>
      <c r="O70" s="50" t="e">
        <f>M70-N70</f>
        <v>#REF!</v>
      </c>
      <c r="P70" s="51">
        <f>K70/((F70+M70)/2)</f>
        <v>2.1170731707317074</v>
      </c>
      <c r="Q70" s="15">
        <v>10</v>
      </c>
      <c r="R70" s="15">
        <v>1</v>
      </c>
      <c r="S70" s="52">
        <v>81.655166828979404</v>
      </c>
      <c r="U70" s="15"/>
      <c r="V70" s="15"/>
      <c r="W70" s="15"/>
      <c r="X70" s="15"/>
      <c r="Y70" s="15"/>
      <c r="Z70" s="15"/>
    </row>
    <row r="71" spans="1:26" x14ac:dyDescent="0.15">
      <c r="A71" s="15">
        <v>4</v>
      </c>
      <c r="B71" s="15" t="s">
        <v>13</v>
      </c>
      <c r="C71" s="46" t="str">
        <f>IF(B71="Smartphone", "Electronics", IF(B71="Laptop", "Computing", IF(B71="Tablet", "Mobile", IF(B71="Smartwatch", "Wearables", IF(B71="Headphones", "Audio", "Photography")))))</f>
        <v>Wearables</v>
      </c>
      <c r="D71" s="47">
        <v>43800</v>
      </c>
      <c r="E71" s="48" t="str">
        <f>IF(OR(MONTH(D71)=9, MONTH(D71)=10, MONTH(D71)=11), "Spring",
 IF(OR(MONTH(D71)=12, MONTH(D71)=1, MONTH(D71)=2), "Summer",
 IF(OR(MONTH(D71)=3, MONTH(D71)=4, MONTH(D71)=5), "Autumn",
 IF(OR(MONTH(D71)=6, MONTH(D71)=7, MONTH(D71)=8), "Winter", "Unknown"
))))</f>
        <v>Summer</v>
      </c>
      <c r="F71" s="15">
        <v>95</v>
      </c>
      <c r="G71" s="15">
        <v>151</v>
      </c>
      <c r="H71" s="46">
        <f>F71+G71</f>
        <v>246</v>
      </c>
      <c r="I71" s="49">
        <v>264</v>
      </c>
      <c r="J71" s="46">
        <f t="shared" si="1"/>
        <v>-18</v>
      </c>
      <c r="K71" s="15">
        <v>103</v>
      </c>
      <c r="L71" s="15">
        <f>H71-K71</f>
        <v>143</v>
      </c>
      <c r="M71" s="15">
        <v>48</v>
      </c>
      <c r="N71" s="50" t="e">
        <f>IF(B71="Camera",#REF!, IF(B71="Headphones",#REF!, IF(B71="Laptop",#REF!, IF(B71="Smartphone",#REF!, IF(B71="Smartwatch",#REF!,#REF!)))))</f>
        <v>#REF!</v>
      </c>
      <c r="O71" s="50" t="e">
        <f>M71-N71</f>
        <v>#REF!</v>
      </c>
      <c r="P71" s="51">
        <f>K71/((F71+M71)/2)</f>
        <v>1.4405594405594406</v>
      </c>
      <c r="Q71" s="15">
        <v>26</v>
      </c>
      <c r="R71" s="15">
        <v>0.83777708000810802</v>
      </c>
      <c r="S71" s="52">
        <v>96.285501756584594</v>
      </c>
      <c r="U71" s="15"/>
      <c r="V71" s="15"/>
      <c r="W71" s="15"/>
      <c r="X71" s="15"/>
      <c r="Y71" s="15"/>
      <c r="Z71" s="15"/>
    </row>
    <row r="72" spans="1:26" x14ac:dyDescent="0.15">
      <c r="A72" s="15">
        <v>5</v>
      </c>
      <c r="B72" s="15" t="s">
        <v>14</v>
      </c>
      <c r="C72" s="46" t="str">
        <f>IF(B72="Smartphone", "Electronics", IF(B72="Laptop", "Computing", IF(B72="Tablet", "Mobile", IF(B72="Smartwatch", "Wearables", IF(B72="Headphones", "Audio", "Photography")))))</f>
        <v>Audio</v>
      </c>
      <c r="D72" s="47">
        <v>43800</v>
      </c>
      <c r="E72" s="48" t="str">
        <f>IF(OR(MONTH(D72)=9, MONTH(D72)=10, MONTH(D72)=11), "Spring",
 IF(OR(MONTH(D72)=12, MONTH(D72)=1, MONTH(D72)=2), "Summer",
 IF(OR(MONTH(D72)=3, MONTH(D72)=4, MONTH(D72)=5), "Autumn",
 IF(OR(MONTH(D72)=6, MONTH(D72)=7, MONTH(D72)=8), "Winter", "Unknown"
))))</f>
        <v>Summer</v>
      </c>
      <c r="F72" s="15">
        <v>35</v>
      </c>
      <c r="G72" s="15">
        <v>258</v>
      </c>
      <c r="H72" s="46">
        <f>F72+G72</f>
        <v>293</v>
      </c>
      <c r="I72" s="49">
        <v>1054</v>
      </c>
      <c r="J72" s="46">
        <f t="shared" si="1"/>
        <v>-761</v>
      </c>
      <c r="K72" s="15">
        <v>223</v>
      </c>
      <c r="L72" s="15">
        <f>H72-K72</f>
        <v>70</v>
      </c>
      <c r="M72" s="15">
        <v>35</v>
      </c>
      <c r="N72" s="50" t="e">
        <f>IF(B72="Camera",#REF!, IF(B72="Headphones",#REF!, IF(B72="Laptop",#REF!, IF(B72="Smartphone",#REF!, IF(B72="Smartwatch",#REF!,#REF!)))))</f>
        <v>#REF!</v>
      </c>
      <c r="O72" s="50" t="e">
        <f>M72-N72</f>
        <v>#REF!</v>
      </c>
      <c r="P72" s="51">
        <f>K72/((F72+M72)/2)</f>
        <v>6.371428571428571</v>
      </c>
      <c r="Q72" s="15">
        <v>16</v>
      </c>
      <c r="R72" s="15">
        <v>0.80925634778128797</v>
      </c>
      <c r="S72" s="52">
        <v>117.370677901858</v>
      </c>
      <c r="U72" s="15"/>
      <c r="V72" s="15"/>
      <c r="W72" s="15"/>
      <c r="X72" s="15"/>
      <c r="Y72" s="15"/>
      <c r="Z72" s="15"/>
    </row>
    <row r="73" spans="1:26" x14ac:dyDescent="0.15">
      <c r="A73" s="15">
        <v>6</v>
      </c>
      <c r="B73" s="15" t="s">
        <v>15</v>
      </c>
      <c r="C73" s="46" t="str">
        <f>IF(B73="Smartphone", "Electronics", IF(B73="Laptop", "Computing", IF(B73="Tablet", "Mobile", IF(B73="Smartwatch", "Wearables", IF(B73="Headphones", "Audio", "Photography")))))</f>
        <v>Photography</v>
      </c>
      <c r="D73" s="47">
        <v>43800</v>
      </c>
      <c r="E73" s="48" t="str">
        <f>IF(OR(MONTH(D73)=9, MONTH(D73)=10, MONTH(D73)=11), "Spring",
 IF(OR(MONTH(D73)=12, MONTH(D73)=1, MONTH(D73)=2), "Summer",
 IF(OR(MONTH(D73)=3, MONTH(D73)=4, MONTH(D73)=5), "Autumn",
 IF(OR(MONTH(D73)=6, MONTH(D73)=7, MONTH(D73)=8), "Winter", "Unknown"
))))</f>
        <v>Summer</v>
      </c>
      <c r="F73" s="15">
        <v>90</v>
      </c>
      <c r="G73" s="15">
        <v>340</v>
      </c>
      <c r="H73" s="46">
        <f>F73+G73</f>
        <v>430</v>
      </c>
      <c r="I73" s="49">
        <v>628</v>
      </c>
      <c r="J73" s="46">
        <f t="shared" si="1"/>
        <v>-198</v>
      </c>
      <c r="K73" s="15">
        <v>298</v>
      </c>
      <c r="L73" s="15">
        <f>H73-K73</f>
        <v>132</v>
      </c>
      <c r="M73" s="15">
        <v>42</v>
      </c>
      <c r="N73" s="50" t="e">
        <f>IF(B73="Camera",#REF!, IF(B73="Headphones",#REF!, IF(B73="Laptop",#REF!, IF(B73="Smartphone",#REF!, IF(B73="Smartwatch",#REF!,#REF!)))))</f>
        <v>#REF!</v>
      </c>
      <c r="O73" s="50" t="e">
        <f>M73-N73</f>
        <v>#REF!</v>
      </c>
      <c r="P73" s="51">
        <f>K73/((F73+M73)/2)</f>
        <v>4.5151515151515156</v>
      </c>
      <c r="Q73" s="15">
        <v>8</v>
      </c>
      <c r="R73" s="15">
        <v>0.99681946512844499</v>
      </c>
      <c r="S73" s="52">
        <v>83.574056140398596</v>
      </c>
    </row>
    <row r="74" spans="1:26" x14ac:dyDescent="0.15">
      <c r="A74" s="15">
        <v>1</v>
      </c>
      <c r="B74" s="15" t="s">
        <v>10</v>
      </c>
      <c r="C74" s="46" t="str">
        <f>IF(B74="Smartphone", "Electronics", IF(B74="Laptop", "Computing", IF(B74="Tablet", "Mobile", IF(B74="Smartwatch", "Wearables", IF(B74="Headphones", "Audio", "Photography")))))</f>
        <v>Electronics</v>
      </c>
      <c r="D74" s="47">
        <v>43831</v>
      </c>
      <c r="E74" s="48" t="str">
        <f>IF(OR(MONTH(D74)=9, MONTH(D74)=10, MONTH(D74)=11), "Spring",
 IF(OR(MONTH(D74)=12, MONTH(D74)=1, MONTH(D74)=2), "Summer",
 IF(OR(MONTH(D74)=3, MONTH(D74)=4, MONTH(D74)=5), "Autumn",
 IF(OR(MONTH(D74)=6, MONTH(D74)=7, MONTH(D74)=8), "Winter", "Unknown"
))))</f>
        <v>Summer</v>
      </c>
      <c r="F74" s="15">
        <v>60</v>
      </c>
      <c r="G74" s="15">
        <v>403</v>
      </c>
      <c r="H74" s="46">
        <f>F74+G74</f>
        <v>463</v>
      </c>
      <c r="I74" s="49">
        <v>596</v>
      </c>
      <c r="J74" s="46">
        <f t="shared" si="1"/>
        <v>-133</v>
      </c>
      <c r="K74" s="15">
        <v>315</v>
      </c>
      <c r="L74" s="15">
        <f>H74-K74</f>
        <v>148</v>
      </c>
      <c r="M74" s="15">
        <v>88</v>
      </c>
      <c r="N74" s="50" t="e">
        <f>IF(B74="Camera",#REF!, IF(B74="Headphones",#REF!, IF(B74="Laptop",#REF!, IF(B74="Smartphone",#REF!, IF(B74="Smartwatch",#REF!,#REF!)))))</f>
        <v>#REF!</v>
      </c>
      <c r="O74" s="50" t="e">
        <f>M74-N74</f>
        <v>#REF!</v>
      </c>
      <c r="P74" s="51">
        <f>K74/((F74+M74)/2)</f>
        <v>4.256756756756757</v>
      </c>
      <c r="Q74" s="15">
        <v>1</v>
      </c>
      <c r="R74" s="15">
        <v>0.93710414849346602</v>
      </c>
      <c r="S74" s="52">
        <v>73.449654170874396</v>
      </c>
      <c r="U74" s="15"/>
      <c r="V74" s="15"/>
      <c r="W74" s="15"/>
      <c r="X74" s="15"/>
      <c r="Y74" s="15"/>
      <c r="Z74" s="15"/>
    </row>
    <row r="75" spans="1:26" x14ac:dyDescent="0.15">
      <c r="A75" s="15">
        <v>2</v>
      </c>
      <c r="B75" s="15" t="s">
        <v>11</v>
      </c>
      <c r="C75" s="46" t="str">
        <f>IF(B75="Smartphone", "Electronics", IF(B75="Laptop", "Computing", IF(B75="Tablet", "Mobile", IF(B75="Smartwatch", "Wearables", IF(B75="Headphones", "Audio", "Photography")))))</f>
        <v>Computing</v>
      </c>
      <c r="D75" s="47">
        <v>43831</v>
      </c>
      <c r="E75" s="48" t="str">
        <f>IF(OR(MONTH(D75)=9, MONTH(D75)=10, MONTH(D75)=11), "Spring",
 IF(OR(MONTH(D75)=12, MONTH(D75)=1, MONTH(D75)=2), "Summer",
 IF(OR(MONTH(D75)=3, MONTH(D75)=4, MONTH(D75)=5), "Autumn",
 IF(OR(MONTH(D75)=6, MONTH(D75)=7, MONTH(D75)=8), "Winter", "Unknown"
))))</f>
        <v>Summer</v>
      </c>
      <c r="F75" s="15">
        <v>70</v>
      </c>
      <c r="G75" s="15">
        <v>335</v>
      </c>
      <c r="H75" s="46">
        <f>F75+G75</f>
        <v>405</v>
      </c>
      <c r="I75" s="49">
        <v>379</v>
      </c>
      <c r="J75" s="46">
        <f t="shared" si="1"/>
        <v>26</v>
      </c>
      <c r="K75" s="15">
        <v>379</v>
      </c>
      <c r="L75" s="15">
        <f>H75-K75</f>
        <v>26</v>
      </c>
      <c r="M75" s="15">
        <v>118</v>
      </c>
      <c r="N75" s="50" t="e">
        <f>IF(B75="Camera",#REF!, IF(B75="Headphones",#REF!, IF(B75="Laptop",#REF!, IF(B75="Smartphone",#REF!, IF(B75="Smartwatch",#REF!,#REF!)))))</f>
        <v>#REF!</v>
      </c>
      <c r="O75" s="50" t="e">
        <f>M75-N75</f>
        <v>#REF!</v>
      </c>
      <c r="P75" s="51">
        <f>K75/((F75+M75)/2)</f>
        <v>4.0319148936170217</v>
      </c>
      <c r="Q75" s="15">
        <v>12</v>
      </c>
      <c r="R75" s="15">
        <v>0.90937099402617105</v>
      </c>
      <c r="S75" s="52">
        <v>124.67498077203599</v>
      </c>
      <c r="U75" s="15"/>
      <c r="V75" s="15"/>
      <c r="W75" s="15"/>
      <c r="X75" s="15"/>
      <c r="Y75" s="15"/>
      <c r="Z75" s="15"/>
    </row>
    <row r="76" spans="1:26" x14ac:dyDescent="0.15">
      <c r="A76" s="15">
        <v>3</v>
      </c>
      <c r="B76" s="15" t="s">
        <v>12</v>
      </c>
      <c r="C76" s="46" t="str">
        <f>IF(B76="Smartphone", "Electronics", IF(B76="Laptop", "Computing", IF(B76="Tablet", "Mobile", IF(B76="Smartwatch", "Wearables", IF(B76="Headphones", "Audio", "Photography")))))</f>
        <v>Mobile</v>
      </c>
      <c r="D76" s="47">
        <v>43831</v>
      </c>
      <c r="E76" s="48" t="str">
        <f>IF(OR(MONTH(D76)=9, MONTH(D76)=10, MONTH(D76)=11), "Spring",
 IF(OR(MONTH(D76)=12, MONTH(D76)=1, MONTH(D76)=2), "Summer",
 IF(OR(MONTH(D76)=3, MONTH(D76)=4, MONTH(D76)=5), "Autumn",
 IF(OR(MONTH(D76)=6, MONTH(D76)=7, MONTH(D76)=8), "Winter", "Unknown"
))))</f>
        <v>Summer</v>
      </c>
      <c r="F76" s="15">
        <v>60</v>
      </c>
      <c r="G76" s="15">
        <v>165</v>
      </c>
      <c r="H76" s="46">
        <f>F76+G76</f>
        <v>225</v>
      </c>
      <c r="I76" s="49">
        <v>536</v>
      </c>
      <c r="J76" s="46">
        <f t="shared" si="1"/>
        <v>-311</v>
      </c>
      <c r="K76" s="15">
        <v>94</v>
      </c>
      <c r="L76" s="15">
        <f>H76-K76</f>
        <v>131</v>
      </c>
      <c r="M76" s="15">
        <v>71</v>
      </c>
      <c r="N76" s="50" t="e">
        <f>IF(B76="Camera",#REF!, IF(B76="Headphones",#REF!, IF(B76="Laptop",#REF!, IF(B76="Smartphone",#REF!, IF(B76="Smartwatch",#REF!,#REF!)))))</f>
        <v>#REF!</v>
      </c>
      <c r="O76" s="50" t="e">
        <f>M76-N76</f>
        <v>#REF!</v>
      </c>
      <c r="P76" s="51">
        <f>K76/((F76+M76)/2)</f>
        <v>1.4351145038167938</v>
      </c>
      <c r="Q76" s="15">
        <v>5</v>
      </c>
      <c r="R76" s="15">
        <v>0.96813369311835296</v>
      </c>
      <c r="S76" s="52">
        <v>72.333283560589905</v>
      </c>
      <c r="U76" s="15"/>
      <c r="V76" s="15"/>
      <c r="W76" s="15"/>
      <c r="X76" s="15"/>
      <c r="Y76" s="15"/>
      <c r="Z76" s="15"/>
    </row>
    <row r="77" spans="1:26" x14ac:dyDescent="0.15">
      <c r="A77" s="15">
        <v>4</v>
      </c>
      <c r="B77" s="15" t="s">
        <v>13</v>
      </c>
      <c r="C77" s="46" t="str">
        <f>IF(B77="Smartphone", "Electronics", IF(B77="Laptop", "Computing", IF(B77="Tablet", "Mobile", IF(B77="Smartwatch", "Wearables", IF(B77="Headphones", "Audio", "Photography")))))</f>
        <v>Wearables</v>
      </c>
      <c r="D77" s="47">
        <v>43831</v>
      </c>
      <c r="E77" s="48" t="str">
        <f>IF(OR(MONTH(D77)=9, MONTH(D77)=10, MONTH(D77)=11), "Spring",
 IF(OR(MONTH(D77)=12, MONTH(D77)=1, MONTH(D77)=2), "Summer",
 IF(OR(MONTH(D77)=3, MONTH(D77)=4, MONTH(D77)=5), "Autumn",
 IF(OR(MONTH(D77)=6, MONTH(D77)=7, MONTH(D77)=8), "Winter", "Unknown"
))))</f>
        <v>Summer</v>
      </c>
      <c r="F77" s="15">
        <v>62</v>
      </c>
      <c r="G77" s="15">
        <v>313</v>
      </c>
      <c r="H77" s="46">
        <f>F77+G77</f>
        <v>375</v>
      </c>
      <c r="I77" s="49">
        <v>434</v>
      </c>
      <c r="J77" s="46">
        <f t="shared" si="1"/>
        <v>-59</v>
      </c>
      <c r="K77" s="15">
        <v>273</v>
      </c>
      <c r="L77" s="15">
        <f>H77-K77</f>
        <v>102</v>
      </c>
      <c r="M77" s="15">
        <v>40</v>
      </c>
      <c r="N77" s="50" t="e">
        <f>IF(B77="Camera",#REF!, IF(B77="Headphones",#REF!, IF(B77="Laptop",#REF!, IF(B77="Smartphone",#REF!, IF(B77="Smartwatch",#REF!,#REF!)))))</f>
        <v>#REF!</v>
      </c>
      <c r="O77" s="50" t="e">
        <f>M77-N77</f>
        <v>#REF!</v>
      </c>
      <c r="P77" s="51">
        <f>K77/((F77+M77)/2)</f>
        <v>5.3529411764705879</v>
      </c>
      <c r="Q77" s="15">
        <v>3</v>
      </c>
      <c r="R77" s="15">
        <v>0.85842490285219497</v>
      </c>
      <c r="S77" s="52">
        <v>64.091805424332406</v>
      </c>
      <c r="U77" s="15"/>
      <c r="V77" s="15"/>
      <c r="W77" s="15"/>
      <c r="X77" s="15"/>
      <c r="Y77" s="15"/>
      <c r="Z77" s="15"/>
    </row>
    <row r="78" spans="1:26" x14ac:dyDescent="0.15">
      <c r="A78" s="15">
        <v>5</v>
      </c>
      <c r="B78" s="15" t="s">
        <v>14</v>
      </c>
      <c r="C78" s="46" t="str">
        <f>IF(B78="Smartphone", "Electronics", IF(B78="Laptop", "Computing", IF(B78="Tablet", "Mobile", IF(B78="Smartwatch", "Wearables", IF(B78="Headphones", "Audio", "Photography")))))</f>
        <v>Audio</v>
      </c>
      <c r="D78" s="47">
        <v>43831</v>
      </c>
      <c r="E78" s="48" t="str">
        <f>IF(OR(MONTH(D78)=9, MONTH(D78)=10, MONTH(D78)=11), "Spring",
 IF(OR(MONTH(D78)=12, MONTH(D78)=1, MONTH(D78)=2), "Summer",
 IF(OR(MONTH(D78)=3, MONTH(D78)=4, MONTH(D78)=5), "Autumn",
 IF(OR(MONTH(D78)=6, MONTH(D78)=7, MONTH(D78)=8), "Winter", "Unknown"
))))</f>
        <v>Summer</v>
      </c>
      <c r="F78" s="15">
        <v>73</v>
      </c>
      <c r="G78" s="15">
        <v>199</v>
      </c>
      <c r="H78" s="46">
        <f>F78+G78</f>
        <v>272</v>
      </c>
      <c r="I78" s="49">
        <v>1016</v>
      </c>
      <c r="J78" s="46">
        <f t="shared" si="1"/>
        <v>-744</v>
      </c>
      <c r="K78" s="15">
        <v>127</v>
      </c>
      <c r="L78" s="15">
        <f>H78-K78</f>
        <v>145</v>
      </c>
      <c r="M78" s="15">
        <v>72</v>
      </c>
      <c r="N78" s="50" t="e">
        <f>IF(B78="Camera",#REF!, IF(B78="Headphones",#REF!, IF(B78="Laptop",#REF!, IF(B78="Smartphone",#REF!, IF(B78="Smartwatch",#REF!,#REF!)))))</f>
        <v>#REF!</v>
      </c>
      <c r="O78" s="50" t="e">
        <f>M78-N78</f>
        <v>#REF!</v>
      </c>
      <c r="P78" s="51">
        <f>K78/((F78+M78)/2)</f>
        <v>1.7517241379310344</v>
      </c>
      <c r="Q78" s="15">
        <v>1</v>
      </c>
      <c r="R78" s="15">
        <v>0.89467026195426702</v>
      </c>
      <c r="S78" s="52">
        <v>92.921740974054003</v>
      </c>
      <c r="U78" s="15"/>
      <c r="V78" s="15"/>
      <c r="W78" s="15"/>
      <c r="X78" s="15"/>
      <c r="Y78" s="15"/>
      <c r="Z78" s="15"/>
    </row>
    <row r="79" spans="1:26" x14ac:dyDescent="0.15">
      <c r="A79" s="15">
        <v>6</v>
      </c>
      <c r="B79" s="15" t="s">
        <v>15</v>
      </c>
      <c r="C79" s="46" t="str">
        <f>IF(B79="Smartphone", "Electronics", IF(B79="Laptop", "Computing", IF(B79="Tablet", "Mobile", IF(B79="Smartwatch", "Wearables", IF(B79="Headphones", "Audio", "Photography")))))</f>
        <v>Photography</v>
      </c>
      <c r="D79" s="47">
        <v>43831</v>
      </c>
      <c r="E79" s="48" t="str">
        <f>IF(OR(MONTH(D79)=9, MONTH(D79)=10, MONTH(D79)=11), "Spring",
 IF(OR(MONTH(D79)=12, MONTH(D79)=1, MONTH(D79)=2), "Summer",
 IF(OR(MONTH(D79)=3, MONTH(D79)=4, MONTH(D79)=5), "Autumn",
 IF(OR(MONTH(D79)=6, MONTH(D79)=7, MONTH(D79)=8), "Winter", "Unknown"
))))</f>
        <v>Summer</v>
      </c>
      <c r="F79" s="15">
        <v>63</v>
      </c>
      <c r="G79" s="15">
        <v>349</v>
      </c>
      <c r="H79" s="46">
        <f>F79+G79</f>
        <v>412</v>
      </c>
      <c r="I79" s="49">
        <v>779</v>
      </c>
      <c r="J79" s="46">
        <f t="shared" si="1"/>
        <v>-367</v>
      </c>
      <c r="K79" s="15">
        <v>253</v>
      </c>
      <c r="L79" s="15">
        <f>H79-K79</f>
        <v>159</v>
      </c>
      <c r="M79" s="15">
        <v>96</v>
      </c>
      <c r="N79" s="50" t="e">
        <f>IF(B79="Camera",#REF!, IF(B79="Headphones",#REF!, IF(B79="Laptop",#REF!, IF(B79="Smartphone",#REF!, IF(B79="Smartwatch",#REF!,#REF!)))))</f>
        <v>#REF!</v>
      </c>
      <c r="O79" s="50" t="e">
        <f>M79-N79</f>
        <v>#REF!</v>
      </c>
      <c r="P79" s="51">
        <f>K79/((F79+M79)/2)</f>
        <v>3.1823899371069184</v>
      </c>
      <c r="Q79" s="15">
        <v>4</v>
      </c>
      <c r="R79" s="15">
        <v>0.94775770584504104</v>
      </c>
      <c r="S79" s="52">
        <v>34.434849234606098</v>
      </c>
    </row>
    <row r="80" spans="1:26" x14ac:dyDescent="0.15">
      <c r="A80" s="15">
        <v>1</v>
      </c>
      <c r="B80" s="15" t="s">
        <v>10</v>
      </c>
      <c r="C80" s="46" t="str">
        <f>IF(B80="Smartphone", "Electronics", IF(B80="Laptop", "Computing", IF(B80="Tablet", "Mobile", IF(B80="Smartwatch", "Wearables", IF(B80="Headphones", "Audio", "Photography")))))</f>
        <v>Electronics</v>
      </c>
      <c r="D80" s="47">
        <v>43862</v>
      </c>
      <c r="E80" s="48" t="str">
        <f>IF(OR(MONTH(D80)=9, MONTH(D80)=10, MONTH(D80)=11), "Spring",
 IF(OR(MONTH(D80)=12, MONTH(D80)=1, MONTH(D80)=2), "Summer",
 IF(OR(MONTH(D80)=3, MONTH(D80)=4, MONTH(D80)=5), "Autumn",
 IF(OR(MONTH(D80)=6, MONTH(D80)=7, MONTH(D80)=8), "Winter", "Unknown"
))))</f>
        <v>Summer</v>
      </c>
      <c r="F80" s="15">
        <v>83</v>
      </c>
      <c r="G80" s="15">
        <v>491</v>
      </c>
      <c r="H80" s="46">
        <f>F80+G80</f>
        <v>574</v>
      </c>
      <c r="I80" s="49">
        <v>670</v>
      </c>
      <c r="J80" s="46">
        <f t="shared" si="1"/>
        <v>-96</v>
      </c>
      <c r="K80" s="15">
        <v>404</v>
      </c>
      <c r="L80" s="15">
        <f>H80-K80</f>
        <v>170</v>
      </c>
      <c r="M80" s="15">
        <v>87</v>
      </c>
      <c r="N80" s="50" t="e">
        <f>IF(B80="Camera",#REF!, IF(B80="Headphones",#REF!, IF(B80="Laptop",#REF!, IF(B80="Smartphone",#REF!, IF(B80="Smartwatch",#REF!,#REF!)))))</f>
        <v>#REF!</v>
      </c>
      <c r="O80" s="50" t="e">
        <f>M80-N80</f>
        <v>#REF!</v>
      </c>
      <c r="P80" s="51">
        <f>K80/((F80+M80)/2)</f>
        <v>4.7529411764705882</v>
      </c>
      <c r="Q80" s="15">
        <v>8</v>
      </c>
      <c r="R80" s="15">
        <v>1</v>
      </c>
      <c r="S80" s="52">
        <v>8.49615763598357</v>
      </c>
      <c r="U80" s="15"/>
      <c r="V80" s="15"/>
      <c r="W80" s="15"/>
      <c r="X80" s="15"/>
      <c r="Y80" s="15"/>
      <c r="Z80" s="15"/>
    </row>
    <row r="81" spans="1:26" x14ac:dyDescent="0.15">
      <c r="A81" s="15">
        <v>2</v>
      </c>
      <c r="B81" s="15" t="s">
        <v>11</v>
      </c>
      <c r="C81" s="46" t="str">
        <f>IF(B81="Smartphone", "Electronics", IF(B81="Laptop", "Computing", IF(B81="Tablet", "Mobile", IF(B81="Smartwatch", "Wearables", IF(B81="Headphones", "Audio", "Photography")))))</f>
        <v>Computing</v>
      </c>
      <c r="D81" s="47">
        <v>43862</v>
      </c>
      <c r="E81" s="48" t="str">
        <f>IF(OR(MONTH(D81)=9, MONTH(D81)=10, MONTH(D81)=11), "Spring",
 IF(OR(MONTH(D81)=12, MONTH(D81)=1, MONTH(D81)=2), "Summer",
 IF(OR(MONTH(D81)=3, MONTH(D81)=4, MONTH(D81)=5), "Autumn",
 IF(OR(MONTH(D81)=6, MONTH(D81)=7, MONTH(D81)=8), "Winter", "Unknown"
))))</f>
        <v>Summer</v>
      </c>
      <c r="F81" s="15">
        <v>126</v>
      </c>
      <c r="G81" s="15">
        <v>85</v>
      </c>
      <c r="H81" s="46">
        <f>F81+G81</f>
        <v>211</v>
      </c>
      <c r="I81" s="49">
        <v>188</v>
      </c>
      <c r="J81" s="46">
        <f t="shared" si="1"/>
        <v>23</v>
      </c>
      <c r="K81" s="15">
        <v>188</v>
      </c>
      <c r="L81" s="15">
        <f>H81-K81</f>
        <v>23</v>
      </c>
      <c r="M81" s="15">
        <v>80</v>
      </c>
      <c r="N81" s="50" t="e">
        <f>IF(B81="Camera",#REF!, IF(B81="Headphones",#REF!, IF(B81="Laptop",#REF!, IF(B81="Smartphone",#REF!, IF(B81="Smartwatch",#REF!,#REF!)))))</f>
        <v>#REF!</v>
      </c>
      <c r="O81" s="50" t="e">
        <f>M81-N81</f>
        <v>#REF!</v>
      </c>
      <c r="P81" s="51">
        <f>K81/((F81+M81)/2)</f>
        <v>1.825242718446602</v>
      </c>
      <c r="Q81" s="15">
        <v>3</v>
      </c>
      <c r="R81" s="15">
        <v>0.84157278426716897</v>
      </c>
      <c r="S81" s="52">
        <v>38.253515381567901</v>
      </c>
      <c r="U81" s="15"/>
      <c r="V81" s="15"/>
      <c r="W81" s="15"/>
      <c r="X81" s="15"/>
      <c r="Y81" s="15"/>
      <c r="Z81" s="15"/>
    </row>
    <row r="82" spans="1:26" x14ac:dyDescent="0.15">
      <c r="A82" s="15">
        <v>3</v>
      </c>
      <c r="B82" s="15" t="s">
        <v>12</v>
      </c>
      <c r="C82" s="46" t="str">
        <f>IF(B82="Smartphone", "Electronics", IF(B82="Laptop", "Computing", IF(B82="Tablet", "Mobile", IF(B82="Smartwatch", "Wearables", IF(B82="Headphones", "Audio", "Photography")))))</f>
        <v>Mobile</v>
      </c>
      <c r="D82" s="47">
        <v>43862</v>
      </c>
      <c r="E82" s="48" t="str">
        <f>IF(OR(MONTH(D82)=9, MONTH(D82)=10, MONTH(D82)=11), "Spring",
 IF(OR(MONTH(D82)=12, MONTH(D82)=1, MONTH(D82)=2), "Summer",
 IF(OR(MONTH(D82)=3, MONTH(D82)=4, MONTH(D82)=5), "Autumn",
 IF(OR(MONTH(D82)=6, MONTH(D82)=7, MONTH(D82)=8), "Winter", "Unknown"
))))</f>
        <v>Summer</v>
      </c>
      <c r="F82" s="15">
        <v>2</v>
      </c>
      <c r="G82" s="15">
        <v>382</v>
      </c>
      <c r="H82" s="46">
        <f>F82+G82</f>
        <v>384</v>
      </c>
      <c r="I82" s="49">
        <v>448</v>
      </c>
      <c r="J82" s="46">
        <f t="shared" si="1"/>
        <v>-64</v>
      </c>
      <c r="K82" s="15">
        <v>298</v>
      </c>
      <c r="L82" s="15">
        <f>H82-K82</f>
        <v>86</v>
      </c>
      <c r="M82" s="15">
        <v>84</v>
      </c>
      <c r="N82" s="50" t="e">
        <f>IF(B82="Camera",#REF!, IF(B82="Headphones",#REF!, IF(B82="Laptop",#REF!, IF(B82="Smartphone",#REF!, IF(B82="Smartwatch",#REF!,#REF!)))))</f>
        <v>#REF!</v>
      </c>
      <c r="O82" s="50" t="e">
        <f>M82-N82</f>
        <v>#REF!</v>
      </c>
      <c r="P82" s="51">
        <f>K82/((F82+M82)/2)</f>
        <v>6.9302325581395348</v>
      </c>
      <c r="Q82" s="15">
        <v>10</v>
      </c>
      <c r="R82" s="15">
        <v>0.96403672292801901</v>
      </c>
      <c r="S82" s="52">
        <v>40.052292062218903</v>
      </c>
      <c r="U82" s="15"/>
      <c r="V82" s="15"/>
      <c r="W82" s="15"/>
      <c r="X82" s="15"/>
      <c r="Y82" s="15"/>
      <c r="Z82" s="15"/>
    </row>
    <row r="83" spans="1:26" x14ac:dyDescent="0.15">
      <c r="A83" s="15">
        <v>4</v>
      </c>
      <c r="B83" s="15" t="s">
        <v>13</v>
      </c>
      <c r="C83" s="46" t="str">
        <f>IF(B83="Smartphone", "Electronics", IF(B83="Laptop", "Computing", IF(B83="Tablet", "Mobile", IF(B83="Smartwatch", "Wearables", IF(B83="Headphones", "Audio", "Photography")))))</f>
        <v>Wearables</v>
      </c>
      <c r="D83" s="47">
        <v>43862</v>
      </c>
      <c r="E83" s="48" t="str">
        <f>IF(OR(MONTH(D83)=9, MONTH(D83)=10, MONTH(D83)=11), "Spring",
 IF(OR(MONTH(D83)=12, MONTH(D83)=1, MONTH(D83)=2), "Summer",
 IF(OR(MONTH(D83)=3, MONTH(D83)=4, MONTH(D83)=5), "Autumn",
 IF(OR(MONTH(D83)=6, MONTH(D83)=7, MONTH(D83)=8), "Winter", "Unknown"
))))</f>
        <v>Summer</v>
      </c>
      <c r="F83" s="15">
        <v>78</v>
      </c>
      <c r="G83" s="15">
        <v>336</v>
      </c>
      <c r="H83" s="46">
        <f>F83+G83</f>
        <v>414</v>
      </c>
      <c r="I83" s="49">
        <v>261</v>
      </c>
      <c r="J83" s="46">
        <f t="shared" si="1"/>
        <v>153</v>
      </c>
      <c r="K83" s="15">
        <v>261</v>
      </c>
      <c r="L83" s="15">
        <f>H83-K83</f>
        <v>153</v>
      </c>
      <c r="M83" s="15">
        <v>75</v>
      </c>
      <c r="N83" s="50" t="e">
        <f>IF(B83="Camera",#REF!, IF(B83="Headphones",#REF!, IF(B83="Laptop",#REF!, IF(B83="Smartphone",#REF!, IF(B83="Smartwatch",#REF!,#REF!)))))</f>
        <v>#REF!</v>
      </c>
      <c r="O83" s="50" t="e">
        <f>M83-N83</f>
        <v>#REF!</v>
      </c>
      <c r="P83" s="51">
        <f>K83/((F83+M83)/2)</f>
        <v>3.4117647058823528</v>
      </c>
      <c r="Q83" s="15">
        <v>2</v>
      </c>
      <c r="R83" s="15">
        <v>0.91909195304204905</v>
      </c>
      <c r="S83" s="52">
        <v>115.83798136334001</v>
      </c>
      <c r="U83" s="15"/>
      <c r="V83" s="15"/>
      <c r="W83" s="15"/>
      <c r="X83" s="15"/>
      <c r="Y83" s="15"/>
      <c r="Z83" s="15"/>
    </row>
    <row r="84" spans="1:26" x14ac:dyDescent="0.15">
      <c r="A84" s="15">
        <v>5</v>
      </c>
      <c r="B84" s="15" t="s">
        <v>14</v>
      </c>
      <c r="C84" s="46" t="str">
        <f>IF(B84="Smartphone", "Electronics", IF(B84="Laptop", "Computing", IF(B84="Tablet", "Mobile", IF(B84="Smartwatch", "Wearables", IF(B84="Headphones", "Audio", "Photography")))))</f>
        <v>Audio</v>
      </c>
      <c r="D84" s="47">
        <v>43862</v>
      </c>
      <c r="E84" s="48" t="str">
        <f>IF(OR(MONTH(D84)=9, MONTH(D84)=10, MONTH(D84)=11), "Spring",
 IF(OR(MONTH(D84)=12, MONTH(D84)=1, MONTH(D84)=2), "Summer",
 IF(OR(MONTH(D84)=3, MONTH(D84)=4, MONTH(D84)=5), "Autumn",
 IF(OR(MONTH(D84)=6, MONTH(D84)=7, MONTH(D84)=8), "Winter", "Unknown"
))))</f>
        <v>Summer</v>
      </c>
      <c r="F84" s="15">
        <v>41</v>
      </c>
      <c r="G84" s="15">
        <v>352</v>
      </c>
      <c r="H84" s="46">
        <f>F84+G84</f>
        <v>393</v>
      </c>
      <c r="I84" s="49">
        <v>1324</v>
      </c>
      <c r="J84" s="46">
        <f t="shared" si="1"/>
        <v>-931</v>
      </c>
      <c r="K84" s="15">
        <v>324</v>
      </c>
      <c r="L84" s="15">
        <f>H84-K84</f>
        <v>69</v>
      </c>
      <c r="M84" s="15">
        <v>28</v>
      </c>
      <c r="N84" s="50" t="e">
        <f>IF(B84="Camera",#REF!, IF(B84="Headphones",#REF!, IF(B84="Laptop",#REF!, IF(B84="Smartphone",#REF!, IF(B84="Smartwatch",#REF!,#REF!)))))</f>
        <v>#REF!</v>
      </c>
      <c r="O84" s="50" t="e">
        <f>M84-N84</f>
        <v>#REF!</v>
      </c>
      <c r="P84" s="51">
        <f>K84/((F84+M84)/2)</f>
        <v>9.3913043478260878</v>
      </c>
      <c r="Q84" s="15">
        <v>11</v>
      </c>
      <c r="R84" s="15">
        <v>0.90815305337147001</v>
      </c>
      <c r="S84" s="52">
        <v>23.413711494751901</v>
      </c>
      <c r="U84" s="15"/>
      <c r="V84" s="15"/>
      <c r="W84" s="15"/>
      <c r="X84" s="15"/>
      <c r="Y84" s="15"/>
      <c r="Z84" s="15"/>
    </row>
    <row r="85" spans="1:26" x14ac:dyDescent="0.15">
      <c r="A85" s="15">
        <v>6</v>
      </c>
      <c r="B85" s="15" t="s">
        <v>15</v>
      </c>
      <c r="C85" s="46" t="str">
        <f>IF(B85="Smartphone", "Electronics", IF(B85="Laptop", "Computing", IF(B85="Tablet", "Mobile", IF(B85="Smartwatch", "Wearables", IF(B85="Headphones", "Audio", "Photography")))))</f>
        <v>Photography</v>
      </c>
      <c r="D85" s="47">
        <v>43862</v>
      </c>
      <c r="E85" s="48" t="str">
        <f>IF(OR(MONTH(D85)=9, MONTH(D85)=10, MONTH(D85)=11), "Spring",
 IF(OR(MONTH(D85)=12, MONTH(D85)=1, MONTH(D85)=2), "Summer",
 IF(OR(MONTH(D85)=3, MONTH(D85)=4, MONTH(D85)=5), "Autumn",
 IF(OR(MONTH(D85)=6, MONTH(D85)=7, MONTH(D85)=8), "Winter", "Unknown"
))))</f>
        <v>Summer</v>
      </c>
      <c r="F85" s="15">
        <v>77</v>
      </c>
      <c r="G85" s="15">
        <v>360</v>
      </c>
      <c r="H85" s="46">
        <f>F85+G85</f>
        <v>437</v>
      </c>
      <c r="I85" s="49">
        <v>515</v>
      </c>
      <c r="J85" s="46">
        <f t="shared" si="1"/>
        <v>-78</v>
      </c>
      <c r="K85" s="15">
        <v>309</v>
      </c>
      <c r="L85" s="15">
        <f>H85-K85</f>
        <v>128</v>
      </c>
      <c r="M85" s="15">
        <v>51</v>
      </c>
      <c r="N85" s="50" t="e">
        <f>IF(B85="Camera",#REF!, IF(B85="Headphones",#REF!, IF(B85="Laptop",#REF!, IF(B85="Smartphone",#REF!, IF(B85="Smartwatch",#REF!,#REF!)))))</f>
        <v>#REF!</v>
      </c>
      <c r="O85" s="50" t="e">
        <f>M85-N85</f>
        <v>#REF!</v>
      </c>
      <c r="P85" s="51">
        <f>K85/((F85+M85)/2)</f>
        <v>4.828125</v>
      </c>
      <c r="Q85" s="15">
        <v>25</v>
      </c>
      <c r="R85" s="15">
        <v>0.89961353888726303</v>
      </c>
      <c r="S85" s="52">
        <v>32.029173284210998</v>
      </c>
    </row>
    <row r="86" spans="1:26" x14ac:dyDescent="0.15">
      <c r="A86" s="15">
        <v>1</v>
      </c>
      <c r="B86" s="15" t="s">
        <v>10</v>
      </c>
      <c r="C86" s="46" t="str">
        <f>IF(B86="Smartphone", "Electronics", IF(B86="Laptop", "Computing", IF(B86="Tablet", "Mobile", IF(B86="Smartwatch", "Wearables", IF(B86="Headphones", "Audio", "Photography")))))</f>
        <v>Electronics</v>
      </c>
      <c r="D86" s="47">
        <v>43891</v>
      </c>
      <c r="E86" s="48" t="str">
        <f>IF(OR(MONTH(D86)=9, MONTH(D86)=10, MONTH(D86)=11), "Spring",
 IF(OR(MONTH(D86)=12, MONTH(D86)=1, MONTH(D86)=2), "Summer",
 IF(OR(MONTH(D86)=3, MONTH(D86)=4, MONTH(D86)=5), "Autumn",
 IF(OR(MONTH(D86)=6, MONTH(D86)=7, MONTH(D86)=8), "Winter", "Unknown"
))))</f>
        <v>Autumn</v>
      </c>
      <c r="F86" s="15">
        <v>95</v>
      </c>
      <c r="G86" s="15">
        <v>257</v>
      </c>
      <c r="H86" s="46">
        <f>F86+G86</f>
        <v>352</v>
      </c>
      <c r="I86" s="49">
        <v>446</v>
      </c>
      <c r="J86" s="46">
        <f t="shared" si="1"/>
        <v>-94</v>
      </c>
      <c r="K86" s="15">
        <v>446</v>
      </c>
      <c r="L86" s="15">
        <f>H86-K86</f>
        <v>-94</v>
      </c>
      <c r="M86" s="15">
        <v>44</v>
      </c>
      <c r="N86" s="50" t="e">
        <f>IF(B86="Camera",#REF!, IF(B86="Headphones",#REF!, IF(B86="Laptop",#REF!, IF(B86="Smartphone",#REF!, IF(B86="Smartwatch",#REF!,#REF!)))))</f>
        <v>#REF!</v>
      </c>
      <c r="O86" s="50" t="e">
        <f>M86-N86</f>
        <v>#REF!</v>
      </c>
      <c r="P86" s="51">
        <f>K86/((F86+M86)/2)</f>
        <v>6.4172661870503598</v>
      </c>
      <c r="Q86" s="15">
        <v>10</v>
      </c>
      <c r="R86" s="15">
        <v>0.83076766896526899</v>
      </c>
      <c r="S86" s="52">
        <v>45.626086306082797</v>
      </c>
      <c r="U86" s="15"/>
      <c r="V86" s="15"/>
      <c r="W86" s="15"/>
      <c r="X86" s="15"/>
      <c r="Y86" s="15"/>
      <c r="Z86" s="15"/>
    </row>
    <row r="87" spans="1:26" x14ac:dyDescent="0.15">
      <c r="A87" s="15">
        <v>2</v>
      </c>
      <c r="B87" s="15" t="s">
        <v>11</v>
      </c>
      <c r="C87" s="46" t="str">
        <f>IF(B87="Smartphone", "Electronics", IF(B87="Laptop", "Computing", IF(B87="Tablet", "Mobile", IF(B87="Smartwatch", "Wearables", IF(B87="Headphones", "Audio", "Photography")))))</f>
        <v>Computing</v>
      </c>
      <c r="D87" s="47">
        <v>43891</v>
      </c>
      <c r="E87" s="48" t="str">
        <f>IF(OR(MONTH(D87)=9, MONTH(D87)=10, MONTH(D87)=11), "Spring",
 IF(OR(MONTH(D87)=12, MONTH(D87)=1, MONTH(D87)=2), "Summer",
 IF(OR(MONTH(D87)=3, MONTH(D87)=4, MONTH(D87)=5), "Autumn",
 IF(OR(MONTH(D87)=6, MONTH(D87)=7, MONTH(D87)=8), "Winter", "Unknown"
))))</f>
        <v>Autumn</v>
      </c>
      <c r="F87" s="15">
        <v>14</v>
      </c>
      <c r="G87" s="15">
        <v>155</v>
      </c>
      <c r="H87" s="46">
        <f>F87+G87</f>
        <v>169</v>
      </c>
      <c r="I87" s="49">
        <v>384</v>
      </c>
      <c r="J87" s="46">
        <f t="shared" si="1"/>
        <v>-215</v>
      </c>
      <c r="K87" s="15">
        <v>152</v>
      </c>
      <c r="L87" s="15">
        <f>H87-K87</f>
        <v>17</v>
      </c>
      <c r="M87" s="15">
        <v>3</v>
      </c>
      <c r="N87" s="50" t="e">
        <f>IF(B87="Camera",#REF!, IF(B87="Headphones",#REF!, IF(B87="Laptop",#REF!, IF(B87="Smartphone",#REF!, IF(B87="Smartwatch",#REF!,#REF!)))))</f>
        <v>#REF!</v>
      </c>
      <c r="O87" s="50" t="e">
        <f>M87-N87</f>
        <v>#REF!</v>
      </c>
      <c r="P87" s="51">
        <f>K87/((F87+M87)/2)</f>
        <v>17.882352941176471</v>
      </c>
      <c r="Q87" s="15">
        <v>21</v>
      </c>
      <c r="R87" s="15">
        <v>0.94815444991065101</v>
      </c>
      <c r="S87" s="52">
        <v>63.643639385103498</v>
      </c>
      <c r="U87" s="15"/>
      <c r="V87" s="15"/>
      <c r="W87" s="15"/>
      <c r="X87" s="15"/>
      <c r="Y87" s="15"/>
      <c r="Z87" s="15"/>
    </row>
    <row r="88" spans="1:26" x14ac:dyDescent="0.15">
      <c r="A88" s="15">
        <v>3</v>
      </c>
      <c r="B88" s="15" t="s">
        <v>12</v>
      </c>
      <c r="C88" s="46" t="str">
        <f>IF(B88="Smartphone", "Electronics", IF(B88="Laptop", "Computing", IF(B88="Tablet", "Mobile", IF(B88="Smartwatch", "Wearables", IF(B88="Headphones", "Audio", "Photography")))))</f>
        <v>Mobile</v>
      </c>
      <c r="D88" s="47">
        <v>43891</v>
      </c>
      <c r="E88" s="48" t="str">
        <f>IF(OR(MONTH(D88)=9, MONTH(D88)=10, MONTH(D88)=11), "Spring",
 IF(OR(MONTH(D88)=12, MONTH(D88)=1, MONTH(D88)=2), "Summer",
 IF(OR(MONTH(D88)=3, MONTH(D88)=4, MONTH(D88)=5), "Autumn",
 IF(OR(MONTH(D88)=6, MONTH(D88)=7, MONTH(D88)=8), "Winter", "Unknown"
))))</f>
        <v>Autumn</v>
      </c>
      <c r="F88" s="15">
        <v>36</v>
      </c>
      <c r="G88" s="15">
        <v>495</v>
      </c>
      <c r="H88" s="46">
        <f>F88+G88</f>
        <v>531</v>
      </c>
      <c r="I88" s="49">
        <v>343</v>
      </c>
      <c r="J88" s="46">
        <f t="shared" si="1"/>
        <v>188</v>
      </c>
      <c r="K88" s="15">
        <v>343</v>
      </c>
      <c r="L88" s="15">
        <f>H88-K88</f>
        <v>188</v>
      </c>
      <c r="M88" s="15">
        <v>152</v>
      </c>
      <c r="N88" s="50" t="e">
        <f>IF(B88="Camera",#REF!, IF(B88="Headphones",#REF!, IF(B88="Laptop",#REF!, IF(B88="Smartphone",#REF!, IF(B88="Smartwatch",#REF!,#REF!)))))</f>
        <v>#REF!</v>
      </c>
      <c r="O88" s="50" t="e">
        <f>M88-N88</f>
        <v>#REF!</v>
      </c>
      <c r="P88" s="51">
        <f>K88/((F88+M88)/2)</f>
        <v>3.6489361702127661</v>
      </c>
      <c r="Q88" s="15">
        <v>14</v>
      </c>
      <c r="R88" s="15">
        <v>0.860886548983683</v>
      </c>
      <c r="S88" s="52">
        <v>92.544620080080904</v>
      </c>
      <c r="U88" s="15"/>
      <c r="V88" s="15"/>
      <c r="W88" s="15"/>
      <c r="X88" s="15"/>
      <c r="Y88" s="15"/>
      <c r="Z88" s="15"/>
    </row>
    <row r="89" spans="1:26" x14ac:dyDescent="0.15">
      <c r="A89" s="15">
        <v>4</v>
      </c>
      <c r="B89" s="15" t="s">
        <v>13</v>
      </c>
      <c r="C89" s="46" t="str">
        <f>IF(B89="Smartphone", "Electronics", IF(B89="Laptop", "Computing", IF(B89="Tablet", "Mobile", IF(B89="Smartwatch", "Wearables", IF(B89="Headphones", "Audio", "Photography")))))</f>
        <v>Wearables</v>
      </c>
      <c r="D89" s="47">
        <v>43891</v>
      </c>
      <c r="E89" s="48" t="str">
        <f>IF(OR(MONTH(D89)=9, MONTH(D89)=10, MONTH(D89)=11), "Spring",
 IF(OR(MONTH(D89)=12, MONTH(D89)=1, MONTH(D89)=2), "Summer",
 IF(OR(MONTH(D89)=3, MONTH(D89)=4, MONTH(D89)=5), "Autumn",
 IF(OR(MONTH(D89)=6, MONTH(D89)=7, MONTH(D89)=8), "Winter", "Unknown"
))))</f>
        <v>Autumn</v>
      </c>
      <c r="F89" s="15">
        <v>60</v>
      </c>
      <c r="G89" s="15">
        <v>207</v>
      </c>
      <c r="H89" s="46">
        <f>F89+G89</f>
        <v>267</v>
      </c>
      <c r="I89" s="49">
        <v>951</v>
      </c>
      <c r="J89" s="46">
        <f t="shared" si="1"/>
        <v>-684</v>
      </c>
      <c r="K89" s="15">
        <v>166</v>
      </c>
      <c r="L89" s="15">
        <f>H89-K89</f>
        <v>101</v>
      </c>
      <c r="M89" s="15">
        <v>41</v>
      </c>
      <c r="N89" s="50" t="e">
        <f>IF(B89="Camera",#REF!, IF(B89="Headphones",#REF!, IF(B89="Laptop",#REF!, IF(B89="Smartphone",#REF!, IF(B89="Smartwatch",#REF!,#REF!)))))</f>
        <v>#REF!</v>
      </c>
      <c r="O89" s="50" t="e">
        <f>M89-N89</f>
        <v>#REF!</v>
      </c>
      <c r="P89" s="51">
        <f>K89/((F89+M89)/2)</f>
        <v>3.2871287128712869</v>
      </c>
      <c r="Q89" s="15">
        <v>7</v>
      </c>
      <c r="R89" s="15">
        <v>0.84601546487488199</v>
      </c>
      <c r="S89" s="52">
        <v>30.783134313186601</v>
      </c>
      <c r="U89" s="15"/>
      <c r="V89" s="15"/>
      <c r="W89" s="15"/>
      <c r="X89" s="15"/>
      <c r="Y89" s="15"/>
      <c r="Z89" s="15"/>
    </row>
    <row r="90" spans="1:26" x14ac:dyDescent="0.15">
      <c r="A90" s="15">
        <v>5</v>
      </c>
      <c r="B90" s="15" t="s">
        <v>14</v>
      </c>
      <c r="C90" s="46" t="str">
        <f>IF(B90="Smartphone", "Electronics", IF(B90="Laptop", "Computing", IF(B90="Tablet", "Mobile", IF(B90="Smartwatch", "Wearables", IF(B90="Headphones", "Audio", "Photography")))))</f>
        <v>Audio</v>
      </c>
      <c r="D90" s="47">
        <v>43891</v>
      </c>
      <c r="E90" s="48" t="str">
        <f>IF(OR(MONTH(D90)=9, MONTH(D90)=10, MONTH(D90)=11), "Spring",
 IF(OR(MONTH(D90)=12, MONTH(D90)=1, MONTH(D90)=2), "Summer",
 IF(OR(MONTH(D90)=3, MONTH(D90)=4, MONTH(D90)=5), "Autumn",
 IF(OR(MONTH(D90)=6, MONTH(D90)=7, MONTH(D90)=8), "Winter", "Unknown"
))))</f>
        <v>Autumn</v>
      </c>
      <c r="F90" s="15">
        <v>37</v>
      </c>
      <c r="G90" s="15">
        <v>170</v>
      </c>
      <c r="H90" s="46">
        <f>F90+G90</f>
        <v>207</v>
      </c>
      <c r="I90" s="49">
        <v>786</v>
      </c>
      <c r="J90" s="46">
        <f t="shared" si="1"/>
        <v>-579</v>
      </c>
      <c r="K90" s="15">
        <v>71</v>
      </c>
      <c r="L90" s="15">
        <f>H90-K90</f>
        <v>136</v>
      </c>
      <c r="M90" s="15">
        <v>99</v>
      </c>
      <c r="N90" s="50" t="e">
        <f>IF(B90="Camera",#REF!, IF(B90="Headphones",#REF!, IF(B90="Laptop",#REF!, IF(B90="Smartphone",#REF!, IF(B90="Smartwatch",#REF!,#REF!)))))</f>
        <v>#REF!</v>
      </c>
      <c r="O90" s="50" t="e">
        <f>M90-N90</f>
        <v>#REF!</v>
      </c>
      <c r="P90" s="51">
        <f>K90/((F90+M90)/2)</f>
        <v>1.0441176470588236</v>
      </c>
      <c r="Q90" s="15">
        <v>27</v>
      </c>
      <c r="R90" s="15">
        <v>0.94427294794501604</v>
      </c>
      <c r="S90" s="52">
        <v>81.901975536303794</v>
      </c>
      <c r="U90" s="15"/>
      <c r="V90" s="15"/>
      <c r="W90" s="15"/>
      <c r="X90" s="15"/>
      <c r="Y90" s="15"/>
      <c r="Z90" s="15"/>
    </row>
    <row r="91" spans="1:26" x14ac:dyDescent="0.15">
      <c r="A91" s="15">
        <v>6</v>
      </c>
      <c r="B91" s="15" t="s">
        <v>15</v>
      </c>
      <c r="C91" s="46" t="str">
        <f>IF(B91="Smartphone", "Electronics", IF(B91="Laptop", "Computing", IF(B91="Tablet", "Mobile", IF(B91="Smartwatch", "Wearables", IF(B91="Headphones", "Audio", "Photography")))))</f>
        <v>Photography</v>
      </c>
      <c r="D91" s="47">
        <v>43891</v>
      </c>
      <c r="E91" s="48" t="str">
        <f>IF(OR(MONTH(D91)=9, MONTH(D91)=10, MONTH(D91)=11), "Spring",
 IF(OR(MONTH(D91)=12, MONTH(D91)=1, MONTH(D91)=2), "Summer",
 IF(OR(MONTH(D91)=3, MONTH(D91)=4, MONTH(D91)=5), "Autumn",
 IF(OR(MONTH(D91)=6, MONTH(D91)=7, MONTH(D91)=8), "Winter", "Unknown"
))))</f>
        <v>Autumn</v>
      </c>
      <c r="F91" s="15">
        <v>126</v>
      </c>
      <c r="G91" s="15">
        <v>104</v>
      </c>
      <c r="H91" s="46">
        <f>F91+G91</f>
        <v>230</v>
      </c>
      <c r="I91" s="49">
        <v>985</v>
      </c>
      <c r="J91" s="46">
        <f t="shared" si="1"/>
        <v>-755</v>
      </c>
      <c r="K91" s="15">
        <v>220</v>
      </c>
      <c r="L91" s="15">
        <f>H91-K91</f>
        <v>10</v>
      </c>
      <c r="M91" s="15">
        <v>15</v>
      </c>
      <c r="N91" s="50" t="e">
        <f>IF(B91="Camera",#REF!, IF(B91="Headphones",#REF!, IF(B91="Laptop",#REF!, IF(B91="Smartphone",#REF!, IF(B91="Smartwatch",#REF!,#REF!)))))</f>
        <v>#REF!</v>
      </c>
      <c r="O91" s="50" t="e">
        <f>M91-N91</f>
        <v>#REF!</v>
      </c>
      <c r="P91" s="51">
        <f>K91/((F91+M91)/2)</f>
        <v>3.1205673758865249</v>
      </c>
      <c r="Q91" s="15">
        <v>27</v>
      </c>
      <c r="R91" s="15">
        <v>0.93945670125733405</v>
      </c>
      <c r="S91" s="52">
        <v>66.044668473207295</v>
      </c>
    </row>
    <row r="92" spans="1:26" x14ac:dyDescent="0.15">
      <c r="A92" s="15">
        <v>1</v>
      </c>
      <c r="B92" s="15" t="s">
        <v>10</v>
      </c>
      <c r="C92" s="46" t="str">
        <f>IF(B92="Smartphone", "Electronics", IF(B92="Laptop", "Computing", IF(B92="Tablet", "Mobile", IF(B92="Smartwatch", "Wearables", IF(B92="Headphones", "Audio", "Photography")))))</f>
        <v>Electronics</v>
      </c>
      <c r="D92" s="47">
        <v>43922</v>
      </c>
      <c r="E92" s="48" t="str">
        <f>IF(OR(MONTH(D92)=9, MONTH(D92)=10, MONTH(D92)=11), "Spring",
 IF(OR(MONTH(D92)=12, MONTH(D92)=1, MONTH(D92)=2), "Summer",
 IF(OR(MONTH(D92)=3, MONTH(D92)=4, MONTH(D92)=5), "Autumn",
 IF(OR(MONTH(D92)=6, MONTH(D92)=7, MONTH(D92)=8), "Winter", "Unknown"
))))</f>
        <v>Autumn</v>
      </c>
      <c r="F92" s="15">
        <v>52</v>
      </c>
      <c r="G92" s="15">
        <v>449</v>
      </c>
      <c r="H92" s="46">
        <f>F92+G92</f>
        <v>501</v>
      </c>
      <c r="I92" s="49">
        <v>264</v>
      </c>
      <c r="J92" s="46">
        <f t="shared" si="1"/>
        <v>237</v>
      </c>
      <c r="K92" s="15">
        <v>264</v>
      </c>
      <c r="L92" s="15">
        <f>H92-K92</f>
        <v>237</v>
      </c>
      <c r="M92" s="15">
        <v>185</v>
      </c>
      <c r="N92" s="50" t="e">
        <f>IF(B92="Camera",#REF!, IF(B92="Headphones",#REF!, IF(B92="Laptop",#REF!, IF(B92="Smartphone",#REF!, IF(B92="Smartwatch",#REF!,#REF!)))))</f>
        <v>#REF!</v>
      </c>
      <c r="O92" s="50" t="e">
        <f>M92-N92</f>
        <v>#REF!</v>
      </c>
      <c r="P92" s="51">
        <f>K92/((F92+M92)/2)</f>
        <v>2.2278481012658227</v>
      </c>
      <c r="Q92" s="15">
        <v>2</v>
      </c>
      <c r="R92" s="15">
        <v>0.90395000418055305</v>
      </c>
      <c r="S92" s="52">
        <v>142.77522615215301</v>
      </c>
      <c r="U92" s="15"/>
      <c r="V92" s="15"/>
      <c r="W92" s="15"/>
      <c r="X92" s="15"/>
      <c r="Y92" s="15"/>
      <c r="Z92" s="15"/>
    </row>
    <row r="93" spans="1:26" x14ac:dyDescent="0.15">
      <c r="A93" s="15">
        <v>2</v>
      </c>
      <c r="B93" s="15" t="s">
        <v>11</v>
      </c>
      <c r="C93" s="46" t="str">
        <f>IF(B93="Smartphone", "Electronics", IF(B93="Laptop", "Computing", IF(B93="Tablet", "Mobile", IF(B93="Smartwatch", "Wearables", IF(B93="Headphones", "Audio", "Photography")))))</f>
        <v>Computing</v>
      </c>
      <c r="D93" s="47">
        <v>43922</v>
      </c>
      <c r="E93" s="48" t="str">
        <f>IF(OR(MONTH(D93)=9, MONTH(D93)=10, MONTH(D93)=11), "Spring",
 IF(OR(MONTH(D93)=12, MONTH(D93)=1, MONTH(D93)=2), "Summer",
 IF(OR(MONTH(D93)=3, MONTH(D93)=4, MONTH(D93)=5), "Autumn",
 IF(OR(MONTH(D93)=6, MONTH(D93)=7, MONTH(D93)=8), "Winter", "Unknown"
))))</f>
        <v>Autumn</v>
      </c>
      <c r="F93" s="15">
        <v>91</v>
      </c>
      <c r="G93" s="15">
        <v>61</v>
      </c>
      <c r="H93" s="46">
        <f>F93+G93</f>
        <v>152</v>
      </c>
      <c r="I93" s="49">
        <v>521</v>
      </c>
      <c r="J93" s="46">
        <f t="shared" si="1"/>
        <v>-369</v>
      </c>
      <c r="K93" s="15">
        <v>2</v>
      </c>
      <c r="L93" s="15">
        <f>H93-K93</f>
        <v>150</v>
      </c>
      <c r="M93" s="15">
        <v>59</v>
      </c>
      <c r="N93" s="50" t="e">
        <f>IF(B93="Camera",#REF!, IF(B93="Headphones",#REF!, IF(B93="Laptop",#REF!, IF(B93="Smartphone",#REF!, IF(B93="Smartwatch",#REF!,#REF!)))))</f>
        <v>#REF!</v>
      </c>
      <c r="O93" s="50" t="e">
        <f>M93-N93</f>
        <v>#REF!</v>
      </c>
      <c r="P93" s="51">
        <f>K93/((F93+M93)/2)</f>
        <v>2.6666666666666668E-2</v>
      </c>
      <c r="Q93" s="15">
        <v>9</v>
      </c>
      <c r="R93" s="15">
        <v>0.95397718104058205</v>
      </c>
      <c r="S93" s="52">
        <v>80.017560849593806</v>
      </c>
      <c r="U93" s="15"/>
      <c r="V93" s="15"/>
      <c r="W93" s="15"/>
      <c r="X93" s="15"/>
      <c r="Y93" s="15"/>
      <c r="Z93" s="15"/>
    </row>
    <row r="94" spans="1:26" x14ac:dyDescent="0.15">
      <c r="A94" s="15">
        <v>3</v>
      </c>
      <c r="B94" s="15" t="s">
        <v>12</v>
      </c>
      <c r="C94" s="46" t="str">
        <f>IF(B94="Smartphone", "Electronics", IF(B94="Laptop", "Computing", IF(B94="Tablet", "Mobile", IF(B94="Smartwatch", "Wearables", IF(B94="Headphones", "Audio", "Photography")))))</f>
        <v>Mobile</v>
      </c>
      <c r="D94" s="47">
        <v>43922</v>
      </c>
      <c r="E94" s="48" t="str">
        <f>IF(OR(MONTH(D94)=9, MONTH(D94)=10, MONTH(D94)=11), "Spring",
 IF(OR(MONTH(D94)=12, MONTH(D94)=1, MONTH(D94)=2), "Summer",
 IF(OR(MONTH(D94)=3, MONTH(D94)=4, MONTH(D94)=5), "Autumn",
 IF(OR(MONTH(D94)=6, MONTH(D94)=7, MONTH(D94)=8), "Winter", "Unknown"
))))</f>
        <v>Autumn</v>
      </c>
      <c r="F94" s="15">
        <v>89</v>
      </c>
      <c r="G94" s="15">
        <v>194</v>
      </c>
      <c r="H94" s="46">
        <f>F94+G94</f>
        <v>283</v>
      </c>
      <c r="I94" s="49">
        <v>277</v>
      </c>
      <c r="J94" s="46">
        <f t="shared" si="1"/>
        <v>6</v>
      </c>
      <c r="K94" s="15">
        <v>134</v>
      </c>
      <c r="L94" s="15">
        <f>H94-K94</f>
        <v>149</v>
      </c>
      <c r="M94" s="15">
        <v>60</v>
      </c>
      <c r="N94" s="50" t="e">
        <f>IF(B94="Camera",#REF!, IF(B94="Headphones",#REF!, IF(B94="Laptop",#REF!, IF(B94="Smartphone",#REF!, IF(B94="Smartwatch",#REF!,#REF!)))))</f>
        <v>#REF!</v>
      </c>
      <c r="O94" s="50" t="e">
        <f>M94-N94</f>
        <v>#REF!</v>
      </c>
      <c r="P94" s="51">
        <f>K94/((F94+M94)/2)</f>
        <v>1.7986577181208054</v>
      </c>
      <c r="Q94" s="15">
        <v>16</v>
      </c>
      <c r="R94" s="15">
        <v>0.97129682907395498</v>
      </c>
      <c r="S94" s="52">
        <v>231.70100700918999</v>
      </c>
      <c r="U94" s="15"/>
      <c r="V94" s="15"/>
      <c r="W94" s="15"/>
      <c r="X94" s="15"/>
      <c r="Y94" s="15"/>
      <c r="Z94" s="15"/>
    </row>
    <row r="95" spans="1:26" x14ac:dyDescent="0.15">
      <c r="A95" s="15">
        <v>4</v>
      </c>
      <c r="B95" s="15" t="s">
        <v>13</v>
      </c>
      <c r="C95" s="46" t="str">
        <f>IF(B95="Smartphone", "Electronics", IF(B95="Laptop", "Computing", IF(B95="Tablet", "Mobile", IF(B95="Smartwatch", "Wearables", IF(B95="Headphones", "Audio", "Photography")))))</f>
        <v>Wearables</v>
      </c>
      <c r="D95" s="47">
        <v>43922</v>
      </c>
      <c r="E95" s="48" t="str">
        <f>IF(OR(MONTH(D95)=9, MONTH(D95)=10, MONTH(D95)=11), "Spring",
 IF(OR(MONTH(D95)=12, MONTH(D95)=1, MONTH(D95)=2), "Summer",
 IF(OR(MONTH(D95)=3, MONTH(D95)=4, MONTH(D95)=5), "Autumn",
 IF(OR(MONTH(D95)=6, MONTH(D95)=7, MONTH(D95)=8), "Winter", "Unknown"
))))</f>
        <v>Autumn</v>
      </c>
      <c r="F95" s="15">
        <v>44</v>
      </c>
      <c r="G95" s="15">
        <v>449</v>
      </c>
      <c r="H95" s="46">
        <f>F95+G95</f>
        <v>493</v>
      </c>
      <c r="I95" s="49">
        <v>744</v>
      </c>
      <c r="J95" s="46">
        <f t="shared" si="1"/>
        <v>-251</v>
      </c>
      <c r="K95" s="15">
        <v>415</v>
      </c>
      <c r="L95" s="15">
        <f>H95-K95</f>
        <v>78</v>
      </c>
      <c r="M95" s="15">
        <v>34</v>
      </c>
      <c r="N95" s="50" t="e">
        <f>IF(B95="Camera",#REF!, IF(B95="Headphones",#REF!, IF(B95="Laptop",#REF!, IF(B95="Smartphone",#REF!, IF(B95="Smartwatch",#REF!,#REF!)))))</f>
        <v>#REF!</v>
      </c>
      <c r="O95" s="50" t="e">
        <f>M95-N95</f>
        <v>#REF!</v>
      </c>
      <c r="P95" s="51">
        <f>K95/((F95+M95)/2)</f>
        <v>10.641025641025641</v>
      </c>
      <c r="Q95" s="15">
        <v>13</v>
      </c>
      <c r="R95" s="15">
        <v>0.96541120389127699</v>
      </c>
      <c r="S95" s="52">
        <v>9.2572260359371104</v>
      </c>
      <c r="U95" s="15"/>
      <c r="V95" s="15"/>
      <c r="W95" s="15"/>
      <c r="X95" s="15"/>
      <c r="Y95" s="15"/>
      <c r="Z95" s="15"/>
    </row>
    <row r="96" spans="1:26" x14ac:dyDescent="0.15">
      <c r="A96" s="15">
        <v>5</v>
      </c>
      <c r="B96" s="15" t="s">
        <v>14</v>
      </c>
      <c r="C96" s="46" t="str">
        <f>IF(B96="Smartphone", "Electronics", IF(B96="Laptop", "Computing", IF(B96="Tablet", "Mobile", IF(B96="Smartwatch", "Wearables", IF(B96="Headphones", "Audio", "Photography")))))</f>
        <v>Audio</v>
      </c>
      <c r="D96" s="47">
        <v>43922</v>
      </c>
      <c r="E96" s="48" t="str">
        <f>IF(OR(MONTH(D96)=9, MONTH(D96)=10, MONTH(D96)=11), "Spring",
 IF(OR(MONTH(D96)=12, MONTH(D96)=1, MONTH(D96)=2), "Summer",
 IF(OR(MONTH(D96)=3, MONTH(D96)=4, MONTH(D96)=5), "Autumn",
 IF(OR(MONTH(D96)=6, MONTH(D96)=7, MONTH(D96)=8), "Winter", "Unknown"
))))</f>
        <v>Autumn</v>
      </c>
      <c r="F96" s="15">
        <v>88</v>
      </c>
      <c r="G96" s="15">
        <v>445</v>
      </c>
      <c r="H96" s="46">
        <f>F96+G96</f>
        <v>533</v>
      </c>
      <c r="I96" s="49">
        <v>1029</v>
      </c>
      <c r="J96" s="46">
        <f t="shared" si="1"/>
        <v>-496</v>
      </c>
      <c r="K96" s="15">
        <v>382</v>
      </c>
      <c r="L96" s="15">
        <f>H96-K96</f>
        <v>151</v>
      </c>
      <c r="M96" s="15">
        <v>63</v>
      </c>
      <c r="N96" s="50" t="e">
        <f>IF(B96="Camera",#REF!, IF(B96="Headphones",#REF!, IF(B96="Laptop",#REF!, IF(B96="Smartphone",#REF!, IF(B96="Smartwatch",#REF!,#REF!)))))</f>
        <v>#REF!</v>
      </c>
      <c r="O96" s="50" t="e">
        <f>M96-N96</f>
        <v>#REF!</v>
      </c>
      <c r="P96" s="51">
        <f>K96/((F96+M96)/2)</f>
        <v>5.0596026490066226</v>
      </c>
      <c r="Q96" s="15">
        <v>9</v>
      </c>
      <c r="R96" s="15">
        <v>0.87358605132990097</v>
      </c>
      <c r="S96" s="52">
        <v>51.269356376127497</v>
      </c>
      <c r="U96" s="15"/>
      <c r="V96" s="15"/>
      <c r="W96" s="15"/>
      <c r="X96" s="15"/>
      <c r="Y96" s="15"/>
      <c r="Z96" s="15"/>
    </row>
    <row r="97" spans="1:26" x14ac:dyDescent="0.15">
      <c r="A97" s="15">
        <v>6</v>
      </c>
      <c r="B97" s="15" t="s">
        <v>15</v>
      </c>
      <c r="C97" s="46" t="str">
        <f>IF(B97="Smartphone", "Electronics", IF(B97="Laptop", "Computing", IF(B97="Tablet", "Mobile", IF(B97="Smartwatch", "Wearables", IF(B97="Headphones", "Audio", "Photography")))))</f>
        <v>Photography</v>
      </c>
      <c r="D97" s="47">
        <v>43922</v>
      </c>
      <c r="E97" s="48" t="str">
        <f>IF(OR(MONTH(D97)=9, MONTH(D97)=10, MONTH(D97)=11), "Spring",
 IF(OR(MONTH(D97)=12, MONTH(D97)=1, MONTH(D97)=2), "Summer",
 IF(OR(MONTH(D97)=3, MONTH(D97)=4, MONTH(D97)=5), "Autumn",
 IF(OR(MONTH(D97)=6, MONTH(D97)=7, MONTH(D97)=8), "Winter", "Unknown"
))))</f>
        <v>Autumn</v>
      </c>
      <c r="F97" s="15">
        <v>27</v>
      </c>
      <c r="G97" s="15">
        <v>185</v>
      </c>
      <c r="H97" s="46">
        <f>F97+G97</f>
        <v>212</v>
      </c>
      <c r="I97" s="49">
        <v>843</v>
      </c>
      <c r="J97" s="46">
        <f t="shared" si="1"/>
        <v>-631</v>
      </c>
      <c r="K97" s="15">
        <v>176</v>
      </c>
      <c r="L97" s="15">
        <f>H97-K97</f>
        <v>36</v>
      </c>
      <c r="M97" s="15">
        <v>9</v>
      </c>
      <c r="N97" s="50" t="e">
        <f>IF(B97="Camera",#REF!, IF(B97="Headphones",#REF!, IF(B97="Laptop",#REF!, IF(B97="Smartphone",#REF!, IF(B97="Smartwatch",#REF!,#REF!)))))</f>
        <v>#REF!</v>
      </c>
      <c r="O97" s="50" t="e">
        <f>M97-N97</f>
        <v>#REF!</v>
      </c>
      <c r="P97" s="51">
        <f>K97/((F97+M97)/2)</f>
        <v>9.7777777777777786</v>
      </c>
      <c r="Q97" s="15">
        <v>20</v>
      </c>
      <c r="R97" s="15">
        <v>0.95070524656398503</v>
      </c>
      <c r="S97" s="52">
        <v>49.6869904073558</v>
      </c>
    </row>
    <row r="98" spans="1:26" x14ac:dyDescent="0.15">
      <c r="A98" s="15">
        <v>1</v>
      </c>
      <c r="B98" s="15" t="s">
        <v>10</v>
      </c>
      <c r="C98" s="46" t="str">
        <f>IF(B98="Smartphone", "Electronics", IF(B98="Laptop", "Computing", IF(B98="Tablet", "Mobile", IF(B98="Smartwatch", "Wearables", IF(B98="Headphones", "Audio", "Photography")))))</f>
        <v>Electronics</v>
      </c>
      <c r="D98" s="47">
        <v>43952</v>
      </c>
      <c r="E98" s="48" t="str">
        <f>IF(OR(MONTH(D98)=9, MONTH(D98)=10, MONTH(D98)=11), "Spring",
 IF(OR(MONTH(D98)=12, MONTH(D98)=1, MONTH(D98)=2), "Summer",
 IF(OR(MONTH(D98)=3, MONTH(D98)=4, MONTH(D98)=5), "Autumn",
 IF(OR(MONTH(D98)=6, MONTH(D98)=7, MONTH(D98)=8), "Winter", "Unknown"
))))</f>
        <v>Autumn</v>
      </c>
      <c r="F98" s="15">
        <v>2</v>
      </c>
      <c r="G98" s="15">
        <v>52</v>
      </c>
      <c r="H98" s="46">
        <f>F98+G98</f>
        <v>54</v>
      </c>
      <c r="I98" s="49">
        <v>642</v>
      </c>
      <c r="J98" s="46">
        <f t="shared" si="1"/>
        <v>-588</v>
      </c>
      <c r="K98" s="15">
        <v>0</v>
      </c>
      <c r="L98" s="15">
        <f>H98-K98</f>
        <v>54</v>
      </c>
      <c r="M98" s="15">
        <v>52</v>
      </c>
      <c r="N98" s="50" t="e">
        <f>IF(B98="Camera",#REF!, IF(B98="Headphones",#REF!, IF(B98="Laptop",#REF!, IF(B98="Smartphone",#REF!, IF(B98="Smartwatch",#REF!,#REF!)))))</f>
        <v>#REF!</v>
      </c>
      <c r="O98" s="50" t="e">
        <f>M98-N98</f>
        <v>#REF!</v>
      </c>
      <c r="P98" s="51">
        <f>K98/((F98+M98)/2)</f>
        <v>0</v>
      </c>
      <c r="Q98" s="15">
        <v>4</v>
      </c>
      <c r="R98" s="15">
        <v>0.91058204887543204</v>
      </c>
      <c r="S98" s="52">
        <v>71.755905806463005</v>
      </c>
      <c r="U98" s="15"/>
      <c r="V98" s="15"/>
      <c r="W98" s="15"/>
      <c r="X98" s="15"/>
      <c r="Y98" s="15"/>
      <c r="Z98" s="15"/>
    </row>
    <row r="99" spans="1:26" x14ac:dyDescent="0.15">
      <c r="A99" s="15">
        <v>2</v>
      </c>
      <c r="B99" s="15" t="s">
        <v>11</v>
      </c>
      <c r="C99" s="46" t="str">
        <f>IF(B99="Smartphone", "Electronics", IF(B99="Laptop", "Computing", IF(B99="Tablet", "Mobile", IF(B99="Smartwatch", "Wearables", IF(B99="Headphones", "Audio", "Photography")))))</f>
        <v>Computing</v>
      </c>
      <c r="D99" s="47">
        <v>43952</v>
      </c>
      <c r="E99" s="48" t="str">
        <f>IF(OR(MONTH(D99)=9, MONTH(D99)=10, MONTH(D99)=11), "Spring",
 IF(OR(MONTH(D99)=12, MONTH(D99)=1, MONTH(D99)=2), "Summer",
 IF(OR(MONTH(D99)=3, MONTH(D99)=4, MONTH(D99)=5), "Autumn",
 IF(OR(MONTH(D99)=6, MONTH(D99)=7, MONTH(D99)=8), "Winter", "Unknown"
))))</f>
        <v>Autumn</v>
      </c>
      <c r="F99" s="15">
        <v>7</v>
      </c>
      <c r="G99" s="15">
        <v>193</v>
      </c>
      <c r="H99" s="46">
        <f>F99+G99</f>
        <v>200</v>
      </c>
      <c r="I99" s="49">
        <v>161</v>
      </c>
      <c r="J99" s="46">
        <f t="shared" si="1"/>
        <v>39</v>
      </c>
      <c r="K99" s="15">
        <v>161</v>
      </c>
      <c r="L99" s="15">
        <f>H99-K99</f>
        <v>39</v>
      </c>
      <c r="M99" s="15">
        <v>32</v>
      </c>
      <c r="N99" s="50" t="e">
        <f>IF(B99="Camera",#REF!, IF(B99="Headphones",#REF!, IF(B99="Laptop",#REF!, IF(B99="Smartphone",#REF!, IF(B99="Smartwatch",#REF!,#REF!)))))</f>
        <v>#REF!</v>
      </c>
      <c r="O99" s="50" t="e">
        <f>M99-N99</f>
        <v>#REF!</v>
      </c>
      <c r="P99" s="51">
        <f>K99/((F99+M99)/2)</f>
        <v>8.2564102564102573</v>
      </c>
      <c r="Q99" s="15">
        <v>22</v>
      </c>
      <c r="R99" s="15">
        <v>0.986295388517618</v>
      </c>
      <c r="S99" s="52">
        <v>137.48359877874699</v>
      </c>
      <c r="U99" s="15"/>
      <c r="V99" s="15"/>
      <c r="W99" s="15"/>
      <c r="X99" s="15"/>
      <c r="Y99" s="15"/>
      <c r="Z99" s="15"/>
    </row>
    <row r="100" spans="1:26" x14ac:dyDescent="0.15">
      <c r="A100" s="15">
        <v>3</v>
      </c>
      <c r="B100" s="15" t="s">
        <v>12</v>
      </c>
      <c r="C100" s="46" t="str">
        <f>IF(B100="Smartphone", "Electronics", IF(B100="Laptop", "Computing", IF(B100="Tablet", "Mobile", IF(B100="Smartwatch", "Wearables", IF(B100="Headphones", "Audio", "Photography")))))</f>
        <v>Mobile</v>
      </c>
      <c r="D100" s="47">
        <v>43952</v>
      </c>
      <c r="E100" s="48" t="str">
        <f>IF(OR(MONTH(D100)=9, MONTH(D100)=10, MONTH(D100)=11), "Spring",
 IF(OR(MONTH(D100)=12, MONTH(D100)=1, MONTH(D100)=2), "Summer",
 IF(OR(MONTH(D100)=3, MONTH(D100)=4, MONTH(D100)=5), "Autumn",
 IF(OR(MONTH(D100)=6, MONTH(D100)=7, MONTH(D100)=8), "Winter", "Unknown"
))))</f>
        <v>Autumn</v>
      </c>
      <c r="F100" s="15">
        <v>4</v>
      </c>
      <c r="G100" s="15">
        <v>79</v>
      </c>
      <c r="H100" s="46">
        <f>F100+G100</f>
        <v>83</v>
      </c>
      <c r="I100" s="49">
        <v>166</v>
      </c>
      <c r="J100" s="46">
        <f t="shared" si="1"/>
        <v>-83</v>
      </c>
      <c r="K100" s="15">
        <v>126</v>
      </c>
      <c r="L100" s="15">
        <f>H100-K100</f>
        <v>-43</v>
      </c>
      <c r="M100" s="15">
        <v>5</v>
      </c>
      <c r="N100" s="50" t="e">
        <f>IF(B100="Camera",#REF!, IF(B100="Headphones",#REF!, IF(B100="Laptop",#REF!, IF(B100="Smartphone",#REF!, IF(B100="Smartwatch",#REF!,#REF!)))))</f>
        <v>#REF!</v>
      </c>
      <c r="O100" s="50" t="e">
        <f>M100-N100</f>
        <v>#REF!</v>
      </c>
      <c r="P100" s="51">
        <f>K100/((F100+M100)/2)</f>
        <v>28</v>
      </c>
      <c r="Q100" s="15">
        <v>10</v>
      </c>
      <c r="R100" s="15">
        <v>0.89381358318664095</v>
      </c>
      <c r="S100" s="52">
        <v>333.69087311309602</v>
      </c>
      <c r="U100" s="15"/>
      <c r="V100" s="15"/>
      <c r="W100" s="15"/>
      <c r="X100" s="15"/>
      <c r="Y100" s="15"/>
      <c r="Z100" s="15"/>
    </row>
    <row r="101" spans="1:26" x14ac:dyDescent="0.15">
      <c r="A101" s="15">
        <v>4</v>
      </c>
      <c r="B101" s="15" t="s">
        <v>13</v>
      </c>
      <c r="C101" s="46" t="str">
        <f>IF(B101="Smartphone", "Electronics", IF(B101="Laptop", "Computing", IF(B101="Tablet", "Mobile", IF(B101="Smartwatch", "Wearables", IF(B101="Headphones", "Audio", "Photography")))))</f>
        <v>Wearables</v>
      </c>
      <c r="D101" s="47">
        <v>43952</v>
      </c>
      <c r="E101" s="48" t="str">
        <f>IF(OR(MONTH(D101)=9, MONTH(D101)=10, MONTH(D101)=11), "Spring",
 IF(OR(MONTH(D101)=12, MONTH(D101)=1, MONTH(D101)=2), "Summer",
 IF(OR(MONTH(D101)=3, MONTH(D101)=4, MONTH(D101)=5), "Autumn",
 IF(OR(MONTH(D101)=6, MONTH(D101)=7, MONTH(D101)=8), "Winter", "Unknown"
))))</f>
        <v>Autumn</v>
      </c>
      <c r="F101" s="15">
        <v>15</v>
      </c>
      <c r="G101" s="15">
        <v>286</v>
      </c>
      <c r="H101" s="46">
        <f>F101+G101</f>
        <v>301</v>
      </c>
      <c r="I101" s="49">
        <v>200</v>
      </c>
      <c r="J101" s="46">
        <f t="shared" si="1"/>
        <v>101</v>
      </c>
      <c r="K101" s="15">
        <v>200</v>
      </c>
      <c r="L101" s="15">
        <f>H101-K101</f>
        <v>101</v>
      </c>
      <c r="M101" s="15">
        <v>86</v>
      </c>
      <c r="N101" s="50" t="e">
        <f>IF(B101="Camera",#REF!, IF(B101="Headphones",#REF!, IF(B101="Laptop",#REF!, IF(B101="Smartphone",#REF!, IF(B101="Smartwatch",#REF!,#REF!)))))</f>
        <v>#REF!</v>
      </c>
      <c r="O101" s="50" t="e">
        <f>M101-N101</f>
        <v>#REF!</v>
      </c>
      <c r="P101" s="51">
        <f>K101/((F101+M101)/2)</f>
        <v>3.9603960396039604</v>
      </c>
      <c r="Q101" s="15">
        <v>26</v>
      </c>
      <c r="R101" s="15">
        <v>0.88217641813158298</v>
      </c>
      <c r="S101" s="52">
        <v>233.903699161758</v>
      </c>
      <c r="U101" s="15"/>
      <c r="V101" s="15"/>
      <c r="W101" s="15"/>
      <c r="X101" s="15"/>
      <c r="Y101" s="15"/>
      <c r="Z101" s="15"/>
    </row>
    <row r="102" spans="1:26" x14ac:dyDescent="0.15">
      <c r="A102" s="15">
        <v>5</v>
      </c>
      <c r="B102" s="15" t="s">
        <v>14</v>
      </c>
      <c r="C102" s="46" t="str">
        <f>IF(B102="Smartphone", "Electronics", IF(B102="Laptop", "Computing", IF(B102="Tablet", "Mobile", IF(B102="Smartwatch", "Wearables", IF(B102="Headphones", "Audio", "Photography")))))</f>
        <v>Audio</v>
      </c>
      <c r="D102" s="47">
        <v>43952</v>
      </c>
      <c r="E102" s="48" t="str">
        <f>IF(OR(MONTH(D102)=9, MONTH(D102)=10, MONTH(D102)=11), "Spring",
 IF(OR(MONTH(D102)=12, MONTH(D102)=1, MONTH(D102)=2), "Summer",
 IF(OR(MONTH(D102)=3, MONTH(D102)=4, MONTH(D102)=5), "Autumn",
 IF(OR(MONTH(D102)=6, MONTH(D102)=7, MONTH(D102)=8), "Winter", "Unknown"
))))</f>
        <v>Autumn</v>
      </c>
      <c r="F102" s="15">
        <v>86</v>
      </c>
      <c r="G102" s="15">
        <v>328</v>
      </c>
      <c r="H102" s="46">
        <f>F102+G102</f>
        <v>414</v>
      </c>
      <c r="I102" s="49">
        <v>533</v>
      </c>
      <c r="J102" s="46">
        <f t="shared" si="1"/>
        <v>-119</v>
      </c>
      <c r="K102" s="15">
        <v>237</v>
      </c>
      <c r="L102" s="15">
        <f>H102-K102</f>
        <v>177</v>
      </c>
      <c r="M102" s="15">
        <v>91</v>
      </c>
      <c r="N102" s="50" t="e">
        <f>IF(B102="Camera",#REF!, IF(B102="Headphones",#REF!, IF(B102="Laptop",#REF!, IF(B102="Smartphone",#REF!, IF(B102="Smartwatch",#REF!,#REF!)))))</f>
        <v>#REF!</v>
      </c>
      <c r="O102" s="50" t="e">
        <f>M102-N102</f>
        <v>#REF!</v>
      </c>
      <c r="P102" s="51">
        <f>K102/((F102+M102)/2)</f>
        <v>2.6779661016949152</v>
      </c>
      <c r="Q102" s="15">
        <v>26</v>
      </c>
      <c r="R102" s="15">
        <v>0.86931015615785601</v>
      </c>
      <c r="S102" s="52">
        <v>167.07415842139099</v>
      </c>
      <c r="U102" s="15"/>
      <c r="V102" s="15"/>
      <c r="W102" s="15"/>
      <c r="X102" s="15"/>
      <c r="Y102" s="15"/>
      <c r="Z102" s="15"/>
    </row>
    <row r="103" spans="1:26" x14ac:dyDescent="0.15">
      <c r="A103" s="15">
        <v>6</v>
      </c>
      <c r="B103" s="15" t="s">
        <v>15</v>
      </c>
      <c r="C103" s="46" t="str">
        <f>IF(B103="Smartphone", "Electronics", IF(B103="Laptop", "Computing", IF(B103="Tablet", "Mobile", IF(B103="Smartwatch", "Wearables", IF(B103="Headphones", "Audio", "Photography")))))</f>
        <v>Photography</v>
      </c>
      <c r="D103" s="47">
        <v>43952</v>
      </c>
      <c r="E103" s="48" t="str">
        <f>IF(OR(MONTH(D103)=9, MONTH(D103)=10, MONTH(D103)=11), "Spring",
 IF(OR(MONTH(D103)=12, MONTH(D103)=1, MONTH(D103)=2), "Summer",
 IF(OR(MONTH(D103)=3, MONTH(D103)=4, MONTH(D103)=5), "Autumn",
 IF(OR(MONTH(D103)=6, MONTH(D103)=7, MONTH(D103)=8), "Winter", "Unknown"
))))</f>
        <v>Autumn</v>
      </c>
      <c r="F103" s="15">
        <v>29</v>
      </c>
      <c r="G103" s="15">
        <v>397</v>
      </c>
      <c r="H103" s="46">
        <f>F103+G103</f>
        <v>426</v>
      </c>
      <c r="I103" s="49">
        <v>374</v>
      </c>
      <c r="J103" s="46">
        <f t="shared" si="1"/>
        <v>52</v>
      </c>
      <c r="K103" s="15">
        <v>374</v>
      </c>
      <c r="L103" s="15">
        <f>H103-K103</f>
        <v>52</v>
      </c>
      <c r="M103" s="15">
        <v>23</v>
      </c>
      <c r="N103" s="50" t="e">
        <f>IF(B103="Camera",#REF!, IF(B103="Headphones",#REF!, IF(B103="Laptop",#REF!, IF(B103="Smartphone",#REF!, IF(B103="Smartwatch",#REF!,#REF!)))))</f>
        <v>#REF!</v>
      </c>
      <c r="O103" s="50" t="e">
        <f>M103-N103</f>
        <v>#REF!</v>
      </c>
      <c r="P103" s="51">
        <f>K103/((F103+M103)/2)</f>
        <v>14.384615384615385</v>
      </c>
      <c r="Q103" s="15">
        <v>22</v>
      </c>
      <c r="R103" s="15">
        <v>0.90946439471177698</v>
      </c>
      <c r="S103" s="52">
        <v>155.67122555973901</v>
      </c>
    </row>
    <row r="104" spans="1:26" x14ac:dyDescent="0.15">
      <c r="A104" s="15">
        <v>1</v>
      </c>
      <c r="B104" s="15" t="s">
        <v>10</v>
      </c>
      <c r="C104" s="46" t="str">
        <f>IF(B104="Smartphone", "Electronics", IF(B104="Laptop", "Computing", IF(B104="Tablet", "Mobile", IF(B104="Smartwatch", "Wearables", IF(B104="Headphones", "Audio", "Photography")))))</f>
        <v>Electronics</v>
      </c>
      <c r="D104" s="47">
        <v>43983</v>
      </c>
      <c r="E104" s="48" t="str">
        <f>IF(OR(MONTH(D104)=9, MONTH(D104)=10, MONTH(D104)=11), "Spring",
 IF(OR(MONTH(D104)=12, MONTH(D104)=1, MONTH(D104)=2), "Summer",
 IF(OR(MONTH(D104)=3, MONTH(D104)=4, MONTH(D104)=5), "Autumn",
 IF(OR(MONTH(D104)=6, MONTH(D104)=7, MONTH(D104)=8), "Winter", "Unknown"
))))</f>
        <v>Winter</v>
      </c>
      <c r="F104" s="15">
        <v>2</v>
      </c>
      <c r="G104" s="15">
        <v>164</v>
      </c>
      <c r="H104" s="46">
        <f>F104+G104</f>
        <v>166</v>
      </c>
      <c r="I104" s="49">
        <v>694</v>
      </c>
      <c r="J104" s="46">
        <f t="shared" si="1"/>
        <v>-528</v>
      </c>
      <c r="K104" s="15">
        <v>76</v>
      </c>
      <c r="L104" s="15">
        <f>H104-K104</f>
        <v>90</v>
      </c>
      <c r="M104" s="15">
        <v>88</v>
      </c>
      <c r="N104" s="50" t="e">
        <f>IF(B104="Camera",#REF!, IF(B104="Headphones",#REF!, IF(B104="Laptop",#REF!, IF(B104="Smartphone",#REF!, IF(B104="Smartwatch",#REF!,#REF!)))))</f>
        <v>#REF!</v>
      </c>
      <c r="O104" s="50" t="e">
        <f>M104-N104</f>
        <v>#REF!</v>
      </c>
      <c r="P104" s="51">
        <f>K104/((F104+M104)/2)</f>
        <v>1.6888888888888889</v>
      </c>
      <c r="Q104" s="15">
        <v>12</v>
      </c>
      <c r="R104" s="15">
        <v>0.923336273379605</v>
      </c>
      <c r="S104" s="52">
        <v>59.493305043019099</v>
      </c>
      <c r="U104" s="15"/>
      <c r="V104" s="15"/>
      <c r="W104" s="15"/>
      <c r="X104" s="15"/>
      <c r="Y104" s="15"/>
      <c r="Z104" s="15"/>
    </row>
    <row r="105" spans="1:26" x14ac:dyDescent="0.15">
      <c r="A105" s="15">
        <v>2</v>
      </c>
      <c r="B105" s="15" t="s">
        <v>11</v>
      </c>
      <c r="C105" s="46" t="str">
        <f>IF(B105="Smartphone", "Electronics", IF(B105="Laptop", "Computing", IF(B105="Tablet", "Mobile", IF(B105="Smartwatch", "Wearables", IF(B105="Headphones", "Audio", "Photography")))))</f>
        <v>Computing</v>
      </c>
      <c r="D105" s="47">
        <v>43983</v>
      </c>
      <c r="E105" s="48" t="str">
        <f>IF(OR(MONTH(D105)=9, MONTH(D105)=10, MONTH(D105)=11), "Spring",
 IF(OR(MONTH(D105)=12, MONTH(D105)=1, MONTH(D105)=2), "Summer",
 IF(OR(MONTH(D105)=3, MONTH(D105)=4, MONTH(D105)=5), "Autumn",
 IF(OR(MONTH(D105)=6, MONTH(D105)=7, MONTH(D105)=8), "Winter", "Unknown"
))))</f>
        <v>Winter</v>
      </c>
      <c r="F105" s="15">
        <v>55</v>
      </c>
      <c r="G105" s="15">
        <v>153</v>
      </c>
      <c r="H105" s="46">
        <f>F105+G105</f>
        <v>208</v>
      </c>
      <c r="I105" s="49">
        <v>955</v>
      </c>
      <c r="J105" s="46">
        <f t="shared" si="1"/>
        <v>-747</v>
      </c>
      <c r="K105" s="15">
        <v>89</v>
      </c>
      <c r="L105" s="15">
        <f>H105-K105</f>
        <v>119</v>
      </c>
      <c r="M105" s="15">
        <v>64</v>
      </c>
      <c r="N105" s="50" t="e">
        <f>IF(B105="Camera",#REF!, IF(B105="Headphones",#REF!, IF(B105="Laptop",#REF!, IF(B105="Smartphone",#REF!, IF(B105="Smartwatch",#REF!,#REF!)))))</f>
        <v>#REF!</v>
      </c>
      <c r="O105" s="50" t="e">
        <f>M105-N105</f>
        <v>#REF!</v>
      </c>
      <c r="P105" s="51">
        <f>K105/((F105+M105)/2)</f>
        <v>1.4957983193277311</v>
      </c>
      <c r="Q105" s="15">
        <v>17</v>
      </c>
      <c r="R105" s="15">
        <v>0.92429811414636298</v>
      </c>
      <c r="S105" s="52">
        <v>6.28795822700486</v>
      </c>
      <c r="U105" s="15"/>
      <c r="V105" s="15"/>
      <c r="W105" s="15"/>
      <c r="X105" s="15"/>
      <c r="Y105" s="15"/>
      <c r="Z105" s="15"/>
    </row>
    <row r="106" spans="1:26" x14ac:dyDescent="0.15">
      <c r="A106" s="15">
        <v>3</v>
      </c>
      <c r="B106" s="15" t="s">
        <v>12</v>
      </c>
      <c r="C106" s="46" t="str">
        <f>IF(B106="Smartphone", "Electronics", IF(B106="Laptop", "Computing", IF(B106="Tablet", "Mobile", IF(B106="Smartwatch", "Wearables", IF(B106="Headphones", "Audio", "Photography")))))</f>
        <v>Mobile</v>
      </c>
      <c r="D106" s="47">
        <v>43983</v>
      </c>
      <c r="E106" s="48" t="str">
        <f>IF(OR(MONTH(D106)=9, MONTH(D106)=10, MONTH(D106)=11), "Spring",
 IF(OR(MONTH(D106)=12, MONTH(D106)=1, MONTH(D106)=2), "Summer",
 IF(OR(MONTH(D106)=3, MONTH(D106)=4, MONTH(D106)=5), "Autumn",
 IF(OR(MONTH(D106)=6, MONTH(D106)=7, MONTH(D106)=8), "Winter", "Unknown"
))))</f>
        <v>Winter</v>
      </c>
      <c r="F106" s="15">
        <v>35</v>
      </c>
      <c r="G106" s="15">
        <v>167</v>
      </c>
      <c r="H106" s="46">
        <f>F106+G106</f>
        <v>202</v>
      </c>
      <c r="I106" s="49">
        <v>230</v>
      </c>
      <c r="J106" s="46">
        <f t="shared" si="1"/>
        <v>-28</v>
      </c>
      <c r="K106" s="15">
        <v>89</v>
      </c>
      <c r="L106" s="15">
        <f>H106-K106</f>
        <v>113</v>
      </c>
      <c r="M106" s="15">
        <v>78</v>
      </c>
      <c r="N106" s="50" t="e">
        <f>IF(B106="Camera",#REF!, IF(B106="Headphones",#REF!, IF(B106="Laptop",#REF!, IF(B106="Smartphone",#REF!, IF(B106="Smartwatch",#REF!,#REF!)))))</f>
        <v>#REF!</v>
      </c>
      <c r="O106" s="50" t="e">
        <f>M106-N106</f>
        <v>#REF!</v>
      </c>
      <c r="P106" s="51">
        <f>K106/((F106+M106)/2)</f>
        <v>1.5752212389380531</v>
      </c>
      <c r="Q106" s="15">
        <v>14</v>
      </c>
      <c r="R106" s="15">
        <v>0.917458627015592</v>
      </c>
      <c r="S106" s="52">
        <v>212.249850327274</v>
      </c>
      <c r="U106" s="15"/>
      <c r="V106" s="15"/>
      <c r="W106" s="15"/>
      <c r="X106" s="15"/>
      <c r="Y106" s="15"/>
      <c r="Z106" s="15"/>
    </row>
    <row r="107" spans="1:26" x14ac:dyDescent="0.15">
      <c r="A107" s="15">
        <v>4</v>
      </c>
      <c r="B107" s="15" t="s">
        <v>13</v>
      </c>
      <c r="C107" s="46" t="str">
        <f>IF(B107="Smartphone", "Electronics", IF(B107="Laptop", "Computing", IF(B107="Tablet", "Mobile", IF(B107="Smartwatch", "Wearables", IF(B107="Headphones", "Audio", "Photography")))))</f>
        <v>Wearables</v>
      </c>
      <c r="D107" s="47">
        <v>43983</v>
      </c>
      <c r="E107" s="48" t="str">
        <f>IF(OR(MONTH(D107)=9, MONTH(D107)=10, MONTH(D107)=11), "Spring",
 IF(OR(MONTH(D107)=12, MONTH(D107)=1, MONTH(D107)=2), "Summer",
 IF(OR(MONTH(D107)=3, MONTH(D107)=4, MONTH(D107)=5), "Autumn",
 IF(OR(MONTH(D107)=6, MONTH(D107)=7, MONTH(D107)=8), "Winter", "Unknown"
))))</f>
        <v>Winter</v>
      </c>
      <c r="F107" s="15">
        <v>24</v>
      </c>
      <c r="G107" s="15">
        <v>54</v>
      </c>
      <c r="H107" s="46">
        <f>F107+G107</f>
        <v>78</v>
      </c>
      <c r="I107" s="49">
        <v>291</v>
      </c>
      <c r="J107" s="46">
        <f t="shared" si="1"/>
        <v>-213</v>
      </c>
      <c r="K107" s="15">
        <v>28</v>
      </c>
      <c r="L107" s="15">
        <f>H107-K107</f>
        <v>50</v>
      </c>
      <c r="M107" s="15">
        <v>26</v>
      </c>
      <c r="N107" s="50" t="e">
        <f>IF(B107="Camera",#REF!, IF(B107="Headphones",#REF!, IF(B107="Laptop",#REF!, IF(B107="Smartphone",#REF!, IF(B107="Smartwatch",#REF!,#REF!)))))</f>
        <v>#REF!</v>
      </c>
      <c r="O107" s="50" t="e">
        <f>M107-N107</f>
        <v>#REF!</v>
      </c>
      <c r="P107" s="51">
        <f>K107/((F107+M107)/2)</f>
        <v>1.1200000000000001</v>
      </c>
      <c r="Q107" s="15">
        <v>14</v>
      </c>
      <c r="R107" s="15">
        <v>0.93355185063399004</v>
      </c>
      <c r="S107" s="52">
        <v>107.670401316786</v>
      </c>
      <c r="U107" s="15"/>
      <c r="V107" s="15"/>
      <c r="W107" s="15"/>
      <c r="X107" s="15"/>
      <c r="Y107" s="15"/>
      <c r="Z107" s="15"/>
    </row>
    <row r="108" spans="1:26" x14ac:dyDescent="0.15">
      <c r="A108" s="15">
        <v>5</v>
      </c>
      <c r="B108" s="15" t="s">
        <v>14</v>
      </c>
      <c r="C108" s="46" t="str">
        <f>IF(B108="Smartphone", "Electronics", IF(B108="Laptop", "Computing", IF(B108="Tablet", "Mobile", IF(B108="Smartwatch", "Wearables", IF(B108="Headphones", "Audio", "Photography")))))</f>
        <v>Audio</v>
      </c>
      <c r="D108" s="47">
        <v>43983</v>
      </c>
      <c r="E108" s="48" t="str">
        <f>IF(OR(MONTH(D108)=9, MONTH(D108)=10, MONTH(D108)=11), "Spring",
 IF(OR(MONTH(D108)=12, MONTH(D108)=1, MONTH(D108)=2), "Summer",
 IF(OR(MONTH(D108)=3, MONTH(D108)=4, MONTH(D108)=5), "Autumn",
 IF(OR(MONTH(D108)=6, MONTH(D108)=7, MONTH(D108)=8), "Winter", "Unknown"
))))</f>
        <v>Winter</v>
      </c>
      <c r="F108" s="15">
        <v>23</v>
      </c>
      <c r="G108" s="15">
        <v>409</v>
      </c>
      <c r="H108" s="46">
        <f>F108+G108</f>
        <v>432</v>
      </c>
      <c r="I108" s="49">
        <v>1216</v>
      </c>
      <c r="J108" s="46">
        <f t="shared" si="1"/>
        <v>-784</v>
      </c>
      <c r="K108" s="15">
        <v>347</v>
      </c>
      <c r="L108" s="15">
        <f>H108-K108</f>
        <v>85</v>
      </c>
      <c r="M108" s="15">
        <v>62</v>
      </c>
      <c r="N108" s="50" t="e">
        <f>IF(B108="Camera",#REF!, IF(B108="Headphones",#REF!, IF(B108="Laptop",#REF!, IF(B108="Smartphone",#REF!, IF(B108="Smartwatch",#REF!,#REF!)))))</f>
        <v>#REF!</v>
      </c>
      <c r="O108" s="50" t="e">
        <f>M108-N108</f>
        <v>#REF!</v>
      </c>
      <c r="P108" s="51">
        <f>K108/((F108+M108)/2)</f>
        <v>8.1647058823529406</v>
      </c>
      <c r="Q108" s="15">
        <v>25</v>
      </c>
      <c r="R108" s="15">
        <v>0.88887290820428</v>
      </c>
      <c r="S108" s="52">
        <v>66.993160202438503</v>
      </c>
      <c r="U108" s="15"/>
      <c r="V108" s="15"/>
      <c r="W108" s="15"/>
      <c r="X108" s="15"/>
      <c r="Y108" s="15"/>
      <c r="Z108" s="15"/>
    </row>
    <row r="109" spans="1:26" x14ac:dyDescent="0.15">
      <c r="A109" s="15">
        <v>6</v>
      </c>
      <c r="B109" s="15" t="s">
        <v>15</v>
      </c>
      <c r="C109" s="46" t="str">
        <f>IF(B109="Smartphone", "Electronics", IF(B109="Laptop", "Computing", IF(B109="Tablet", "Mobile", IF(B109="Smartwatch", "Wearables", IF(B109="Headphones", "Audio", "Photography")))))</f>
        <v>Photography</v>
      </c>
      <c r="D109" s="47">
        <v>43983</v>
      </c>
      <c r="E109" s="48" t="str">
        <f>IF(OR(MONTH(D109)=9, MONTH(D109)=10, MONTH(D109)=11), "Spring",
 IF(OR(MONTH(D109)=12, MONTH(D109)=1, MONTH(D109)=2), "Summer",
 IF(OR(MONTH(D109)=3, MONTH(D109)=4, MONTH(D109)=5), "Autumn",
 IF(OR(MONTH(D109)=6, MONTH(D109)=7, MONTH(D109)=8), "Winter", "Unknown"
))))</f>
        <v>Winter</v>
      </c>
      <c r="F109" s="15">
        <v>23</v>
      </c>
      <c r="G109" s="15">
        <v>297</v>
      </c>
      <c r="H109" s="46">
        <f>F109+G109</f>
        <v>320</v>
      </c>
      <c r="I109" s="49">
        <v>100</v>
      </c>
      <c r="J109" s="46">
        <f t="shared" si="1"/>
        <v>220</v>
      </c>
      <c r="K109" s="15">
        <v>100</v>
      </c>
      <c r="L109" s="15">
        <f>H109-K109</f>
        <v>220</v>
      </c>
      <c r="M109" s="15">
        <v>197</v>
      </c>
      <c r="N109" s="50" t="e">
        <f>IF(B109="Camera",#REF!, IF(B109="Headphones",#REF!, IF(B109="Laptop",#REF!, IF(B109="Smartphone",#REF!, IF(B109="Smartwatch",#REF!,#REF!)))))</f>
        <v>#REF!</v>
      </c>
      <c r="O109" s="50" t="e">
        <f>M109-N109</f>
        <v>#REF!</v>
      </c>
      <c r="P109" s="51">
        <f>K109/((F109+M109)/2)</f>
        <v>0.90909090909090906</v>
      </c>
      <c r="Q109" s="15">
        <v>2</v>
      </c>
      <c r="R109" s="15">
        <v>0.85637423422040604</v>
      </c>
      <c r="S109" s="52">
        <v>609.98941973681099</v>
      </c>
    </row>
    <row r="110" spans="1:26" x14ac:dyDescent="0.15">
      <c r="A110" s="15">
        <v>1</v>
      </c>
      <c r="B110" s="15" t="s">
        <v>10</v>
      </c>
      <c r="C110" s="46" t="str">
        <f>IF(B110="Smartphone", "Electronics", IF(B110="Laptop", "Computing", IF(B110="Tablet", "Mobile", IF(B110="Smartwatch", "Wearables", IF(B110="Headphones", "Audio", "Photography")))))</f>
        <v>Electronics</v>
      </c>
      <c r="D110" s="47">
        <v>44013</v>
      </c>
      <c r="E110" s="48" t="str">
        <f>IF(OR(MONTH(D110)=9, MONTH(D110)=10, MONTH(D110)=11), "Spring",
 IF(OR(MONTH(D110)=12, MONTH(D110)=1, MONTH(D110)=2), "Summer",
 IF(OR(MONTH(D110)=3, MONTH(D110)=4, MONTH(D110)=5), "Autumn",
 IF(OR(MONTH(D110)=6, MONTH(D110)=7, MONTH(D110)=8), "Winter", "Unknown"
))))</f>
        <v>Winter</v>
      </c>
      <c r="F110" s="15">
        <v>3</v>
      </c>
      <c r="G110" s="15">
        <v>268</v>
      </c>
      <c r="H110" s="46">
        <f>F110+G110</f>
        <v>271</v>
      </c>
      <c r="I110" s="49">
        <v>814</v>
      </c>
      <c r="J110" s="46">
        <f t="shared" si="1"/>
        <v>-543</v>
      </c>
      <c r="K110" s="15">
        <v>435</v>
      </c>
      <c r="L110" s="15">
        <f>H110-K110</f>
        <v>-164</v>
      </c>
      <c r="M110" s="15">
        <v>22</v>
      </c>
      <c r="N110" s="50" t="e">
        <f>IF(B110="Camera",#REF!, IF(B110="Headphones",#REF!, IF(B110="Laptop",#REF!, IF(B110="Smartphone",#REF!, IF(B110="Smartwatch",#REF!,#REF!)))))</f>
        <v>#REF!</v>
      </c>
      <c r="O110" s="50" t="e">
        <f>M110-N110</f>
        <v>#REF!</v>
      </c>
      <c r="P110" s="51">
        <f>K110/((F110+M110)/2)</f>
        <v>34.799999999999997</v>
      </c>
      <c r="Q110" s="15">
        <v>21</v>
      </c>
      <c r="R110" s="15">
        <v>0.85200860015431701</v>
      </c>
      <c r="S110" s="52">
        <v>67.090763794273002</v>
      </c>
      <c r="U110" s="15"/>
      <c r="V110" s="15"/>
      <c r="W110" s="15"/>
      <c r="X110" s="15"/>
      <c r="Y110" s="15"/>
      <c r="Z110" s="15"/>
    </row>
    <row r="111" spans="1:26" x14ac:dyDescent="0.15">
      <c r="A111" s="15">
        <v>2</v>
      </c>
      <c r="B111" s="15" t="s">
        <v>11</v>
      </c>
      <c r="C111" s="46" t="str">
        <f>IF(B111="Smartphone", "Electronics", IF(B111="Laptop", "Computing", IF(B111="Tablet", "Mobile", IF(B111="Smartwatch", "Wearables", IF(B111="Headphones", "Audio", "Photography")))))</f>
        <v>Computing</v>
      </c>
      <c r="D111" s="47">
        <v>44013</v>
      </c>
      <c r="E111" s="48" t="str">
        <f>IF(OR(MONTH(D111)=9, MONTH(D111)=10, MONTH(D111)=11), "Spring",
 IF(OR(MONTH(D111)=12, MONTH(D111)=1, MONTH(D111)=2), "Summer",
 IF(OR(MONTH(D111)=3, MONTH(D111)=4, MONTH(D111)=5), "Autumn",
 IF(OR(MONTH(D111)=6, MONTH(D111)=7, MONTH(D111)=8), "Winter", "Unknown"
))))</f>
        <v>Winter</v>
      </c>
      <c r="F111" s="15">
        <v>56</v>
      </c>
      <c r="G111" s="15">
        <v>370</v>
      </c>
      <c r="H111" s="46">
        <f>F111+G111</f>
        <v>426</v>
      </c>
      <c r="I111" s="49">
        <v>551</v>
      </c>
      <c r="J111" s="46">
        <f t="shared" si="1"/>
        <v>-125</v>
      </c>
      <c r="K111" s="15">
        <v>308</v>
      </c>
      <c r="L111" s="15">
        <f>H111-K111</f>
        <v>118</v>
      </c>
      <c r="M111" s="15">
        <v>62</v>
      </c>
      <c r="N111" s="50" t="e">
        <f>IF(B111="Camera",#REF!, IF(B111="Headphones",#REF!, IF(B111="Laptop",#REF!, IF(B111="Smartphone",#REF!, IF(B111="Smartwatch",#REF!,#REF!)))))</f>
        <v>#REF!</v>
      </c>
      <c r="O111" s="50" t="e">
        <f>M111-N111</f>
        <v>#REF!</v>
      </c>
      <c r="P111" s="51">
        <f>K111/((F111+M111)/2)</f>
        <v>5.2203389830508478</v>
      </c>
      <c r="Q111" s="15">
        <v>25</v>
      </c>
      <c r="R111" s="15">
        <v>0.94875255476517295</v>
      </c>
      <c r="S111" s="52">
        <v>51.244305208049497</v>
      </c>
      <c r="U111" s="15"/>
      <c r="V111" s="15"/>
      <c r="W111" s="15"/>
      <c r="X111" s="15"/>
      <c r="Y111" s="15"/>
      <c r="Z111" s="15"/>
    </row>
    <row r="112" spans="1:26" x14ac:dyDescent="0.15">
      <c r="A112" s="15">
        <v>3</v>
      </c>
      <c r="B112" s="15" t="s">
        <v>12</v>
      </c>
      <c r="C112" s="46" t="str">
        <f>IF(B112="Smartphone", "Electronics", IF(B112="Laptop", "Computing", IF(B112="Tablet", "Mobile", IF(B112="Smartwatch", "Wearables", IF(B112="Headphones", "Audio", "Photography")))))</f>
        <v>Mobile</v>
      </c>
      <c r="D112" s="47">
        <v>44013</v>
      </c>
      <c r="E112" s="48" t="str">
        <f>IF(OR(MONTH(D112)=9, MONTH(D112)=10, MONTH(D112)=11), "Spring",
 IF(OR(MONTH(D112)=12, MONTH(D112)=1, MONTH(D112)=2), "Summer",
 IF(OR(MONTH(D112)=3, MONTH(D112)=4, MONTH(D112)=5), "Autumn",
 IF(OR(MONTH(D112)=6, MONTH(D112)=7, MONTH(D112)=8), "Winter", "Unknown"
))))</f>
        <v>Winter</v>
      </c>
      <c r="F112" s="15">
        <v>85</v>
      </c>
      <c r="G112" s="15">
        <v>170</v>
      </c>
      <c r="H112" s="46">
        <f>F112+G112</f>
        <v>255</v>
      </c>
      <c r="I112" s="49">
        <v>505</v>
      </c>
      <c r="J112" s="46">
        <f t="shared" si="1"/>
        <v>-250</v>
      </c>
      <c r="K112" s="15">
        <v>373</v>
      </c>
      <c r="L112" s="15">
        <f>H112-K112</f>
        <v>-118</v>
      </c>
      <c r="M112" s="15">
        <v>8</v>
      </c>
      <c r="N112" s="50" t="e">
        <f>IF(B112="Camera",#REF!, IF(B112="Headphones",#REF!, IF(B112="Laptop",#REF!, IF(B112="Smartphone",#REF!, IF(B112="Smartwatch",#REF!,#REF!)))))</f>
        <v>#REF!</v>
      </c>
      <c r="O112" s="50" t="e">
        <f>M112-N112</f>
        <v>#REF!</v>
      </c>
      <c r="P112" s="51">
        <f>K112/((F112+M112)/2)</f>
        <v>8.021505376344086</v>
      </c>
      <c r="Q112" s="15">
        <v>20</v>
      </c>
      <c r="R112" s="15">
        <v>0.92351611552641399</v>
      </c>
      <c r="S112" s="52">
        <v>53.541457254677198</v>
      </c>
      <c r="U112" s="15"/>
      <c r="V112" s="15"/>
      <c r="W112" s="15"/>
      <c r="X112" s="15"/>
      <c r="Y112" s="15"/>
      <c r="Z112" s="15"/>
    </row>
    <row r="113" spans="1:26" x14ac:dyDescent="0.15">
      <c r="A113" s="15">
        <v>4</v>
      </c>
      <c r="B113" s="15" t="s">
        <v>13</v>
      </c>
      <c r="C113" s="46" t="str">
        <f>IF(B113="Smartphone", "Electronics", IF(B113="Laptop", "Computing", IF(B113="Tablet", "Mobile", IF(B113="Smartwatch", "Wearables", IF(B113="Headphones", "Audio", "Photography")))))</f>
        <v>Wearables</v>
      </c>
      <c r="D113" s="47">
        <v>44013</v>
      </c>
      <c r="E113" s="48" t="str">
        <f>IF(OR(MONTH(D113)=9, MONTH(D113)=10, MONTH(D113)=11), "Spring",
 IF(OR(MONTH(D113)=12, MONTH(D113)=1, MONTH(D113)=2), "Summer",
 IF(OR(MONTH(D113)=3, MONTH(D113)=4, MONTH(D113)=5), "Autumn",
 IF(OR(MONTH(D113)=6, MONTH(D113)=7, MONTH(D113)=8), "Winter", "Unknown"
))))</f>
        <v>Winter</v>
      </c>
      <c r="F113" s="15">
        <v>80</v>
      </c>
      <c r="G113" s="15">
        <v>335</v>
      </c>
      <c r="H113" s="46">
        <f>F113+G113</f>
        <v>415</v>
      </c>
      <c r="I113" s="49">
        <v>741</v>
      </c>
      <c r="J113" s="46">
        <f t="shared" si="1"/>
        <v>-326</v>
      </c>
      <c r="K113" s="15">
        <v>253</v>
      </c>
      <c r="L113" s="15">
        <f>H113-K113</f>
        <v>162</v>
      </c>
      <c r="M113" s="15">
        <v>82</v>
      </c>
      <c r="N113" s="50" t="e">
        <f>IF(B113="Camera",#REF!, IF(B113="Headphones",#REF!, IF(B113="Laptop",#REF!, IF(B113="Smartphone",#REF!, IF(B113="Smartwatch",#REF!,#REF!)))))</f>
        <v>#REF!</v>
      </c>
      <c r="O113" s="50" t="e">
        <f>M113-N113</f>
        <v>#REF!</v>
      </c>
      <c r="P113" s="51">
        <f>K113/((F113+M113)/2)</f>
        <v>3.1234567901234569</v>
      </c>
      <c r="Q113" s="15">
        <v>11</v>
      </c>
      <c r="R113" s="15">
        <v>0.80720811145248295</v>
      </c>
      <c r="S113" s="52">
        <v>51.8566078897422</v>
      </c>
      <c r="U113" s="15"/>
      <c r="V113" s="15"/>
      <c r="W113" s="15"/>
      <c r="X113" s="15"/>
      <c r="Y113" s="15"/>
      <c r="Z113" s="15"/>
    </row>
    <row r="114" spans="1:26" x14ac:dyDescent="0.15">
      <c r="A114" s="15">
        <v>5</v>
      </c>
      <c r="B114" s="15" t="s">
        <v>14</v>
      </c>
      <c r="C114" s="46" t="str">
        <f>IF(B114="Smartphone", "Electronics", IF(B114="Laptop", "Computing", IF(B114="Tablet", "Mobile", IF(B114="Smartwatch", "Wearables", IF(B114="Headphones", "Audio", "Photography")))))</f>
        <v>Audio</v>
      </c>
      <c r="D114" s="47">
        <v>44013</v>
      </c>
      <c r="E114" s="48" t="str">
        <f>IF(OR(MONTH(D114)=9, MONTH(D114)=10, MONTH(D114)=11), "Spring",
 IF(OR(MONTH(D114)=12, MONTH(D114)=1, MONTH(D114)=2), "Summer",
 IF(OR(MONTH(D114)=3, MONTH(D114)=4, MONTH(D114)=5), "Autumn",
 IF(OR(MONTH(D114)=6, MONTH(D114)=7, MONTH(D114)=8), "Winter", "Unknown"
))))</f>
        <v>Winter</v>
      </c>
      <c r="F114" s="15">
        <v>34</v>
      </c>
      <c r="G114" s="15">
        <v>198</v>
      </c>
      <c r="H114" s="46">
        <f>F114+G114</f>
        <v>232</v>
      </c>
      <c r="I114" s="49">
        <v>1950</v>
      </c>
      <c r="J114" s="46">
        <f t="shared" si="1"/>
        <v>-1718</v>
      </c>
      <c r="K114" s="15">
        <v>165</v>
      </c>
      <c r="L114" s="15">
        <f>H114-K114</f>
        <v>67</v>
      </c>
      <c r="M114" s="15">
        <v>33</v>
      </c>
      <c r="N114" s="50" t="e">
        <f>IF(B114="Camera",#REF!, IF(B114="Headphones",#REF!, IF(B114="Laptop",#REF!, IF(B114="Smartphone",#REF!, IF(B114="Smartwatch",#REF!,#REF!)))))</f>
        <v>#REF!</v>
      </c>
      <c r="O114" s="50" t="e">
        <f>M114-N114</f>
        <v>#REF!</v>
      </c>
      <c r="P114" s="51">
        <f>K114/((F114+M114)/2)</f>
        <v>4.9253731343283578</v>
      </c>
      <c r="Q114" s="15">
        <v>16</v>
      </c>
      <c r="R114" s="15">
        <v>0.95483767133999697</v>
      </c>
      <c r="S114" s="52">
        <v>50.6032694128439</v>
      </c>
      <c r="U114" s="15"/>
      <c r="V114" s="15"/>
      <c r="W114" s="15"/>
      <c r="X114" s="15"/>
      <c r="Y114" s="15"/>
      <c r="Z114" s="15"/>
    </row>
    <row r="115" spans="1:26" x14ac:dyDescent="0.15">
      <c r="A115" s="15">
        <v>6</v>
      </c>
      <c r="B115" s="15" t="s">
        <v>15</v>
      </c>
      <c r="C115" s="46" t="str">
        <f>IF(B115="Smartphone", "Electronics", IF(B115="Laptop", "Computing", IF(B115="Tablet", "Mobile", IF(B115="Smartwatch", "Wearables", IF(B115="Headphones", "Audio", "Photography")))))</f>
        <v>Photography</v>
      </c>
      <c r="D115" s="47">
        <v>44013</v>
      </c>
      <c r="E115" s="48" t="str">
        <f>IF(OR(MONTH(D115)=9, MONTH(D115)=10, MONTH(D115)=11), "Spring",
 IF(OR(MONTH(D115)=12, MONTH(D115)=1, MONTH(D115)=2), "Summer",
 IF(OR(MONTH(D115)=3, MONTH(D115)=4, MONTH(D115)=5), "Autumn",
 IF(OR(MONTH(D115)=6, MONTH(D115)=7, MONTH(D115)=8), "Winter", "Unknown"
))))</f>
        <v>Winter</v>
      </c>
      <c r="F115" s="15">
        <v>96</v>
      </c>
      <c r="G115" s="15">
        <v>133</v>
      </c>
      <c r="H115" s="46">
        <f>F115+G115</f>
        <v>229</v>
      </c>
      <c r="I115" s="49">
        <v>547</v>
      </c>
      <c r="J115" s="46">
        <f t="shared" si="1"/>
        <v>-318</v>
      </c>
      <c r="K115" s="15">
        <v>145</v>
      </c>
      <c r="L115" s="15">
        <f>H115-K115</f>
        <v>84</v>
      </c>
      <c r="M115" s="15">
        <v>4</v>
      </c>
      <c r="N115" s="50" t="e">
        <f>IF(B115="Camera",#REF!, IF(B115="Headphones",#REF!, IF(B115="Laptop",#REF!, IF(B115="Smartphone",#REF!, IF(B115="Smartwatch",#REF!,#REF!)))))</f>
        <v>#REF!</v>
      </c>
      <c r="O115" s="50" t="e">
        <f>M115-N115</f>
        <v>#REF!</v>
      </c>
      <c r="P115" s="51">
        <f>K115/((F115+M115)/2)</f>
        <v>2.9</v>
      </c>
      <c r="Q115" s="15">
        <v>19</v>
      </c>
      <c r="R115" s="15">
        <v>0.99402175732013198</v>
      </c>
      <c r="S115" s="52">
        <v>67.736677653765796</v>
      </c>
    </row>
    <row r="116" spans="1:26" x14ac:dyDescent="0.15">
      <c r="A116" s="15">
        <v>1</v>
      </c>
      <c r="B116" s="15" t="s">
        <v>10</v>
      </c>
      <c r="C116" s="46" t="str">
        <f>IF(B116="Smartphone", "Electronics", IF(B116="Laptop", "Computing", IF(B116="Tablet", "Mobile", IF(B116="Smartwatch", "Wearables", IF(B116="Headphones", "Audio", "Photography")))))</f>
        <v>Electronics</v>
      </c>
      <c r="D116" s="47">
        <v>44044</v>
      </c>
      <c r="E116" s="48" t="str">
        <f>IF(OR(MONTH(D116)=9, MONTH(D116)=10, MONTH(D116)=11), "Spring",
 IF(OR(MONTH(D116)=12, MONTH(D116)=1, MONTH(D116)=2), "Summer",
 IF(OR(MONTH(D116)=3, MONTH(D116)=4, MONTH(D116)=5), "Autumn",
 IF(OR(MONTH(D116)=6, MONTH(D116)=7, MONTH(D116)=8), "Winter", "Unknown"
))))</f>
        <v>Winter</v>
      </c>
      <c r="F116" s="15">
        <v>16</v>
      </c>
      <c r="G116" s="15">
        <v>455</v>
      </c>
      <c r="H116" s="46">
        <f>F116+G116</f>
        <v>471</v>
      </c>
      <c r="I116" s="49">
        <v>729</v>
      </c>
      <c r="J116" s="46">
        <f t="shared" si="1"/>
        <v>-258</v>
      </c>
      <c r="K116" s="15">
        <v>525</v>
      </c>
      <c r="L116" s="15">
        <f>H116-K116</f>
        <v>-54</v>
      </c>
      <c r="M116" s="15">
        <v>93</v>
      </c>
      <c r="N116" s="50" t="e">
        <f>IF(B116="Camera",#REF!, IF(B116="Headphones",#REF!, IF(B116="Laptop",#REF!, IF(B116="Smartphone",#REF!, IF(B116="Smartwatch",#REF!,#REF!)))))</f>
        <v>#REF!</v>
      </c>
      <c r="O116" s="50" t="e">
        <f>M116-N116</f>
        <v>#REF!</v>
      </c>
      <c r="P116" s="51">
        <f>K116/((F116+M116)/2)</f>
        <v>9.6330275229357802</v>
      </c>
      <c r="Q116" s="15">
        <v>23</v>
      </c>
      <c r="R116" s="15">
        <v>0.86420415746207302</v>
      </c>
      <c r="S116" s="52">
        <v>36.015415387457402</v>
      </c>
      <c r="U116" s="15"/>
      <c r="V116" s="15"/>
      <c r="W116" s="15"/>
      <c r="X116" s="15"/>
      <c r="Y116" s="15"/>
      <c r="Z116" s="15"/>
    </row>
    <row r="117" spans="1:26" x14ac:dyDescent="0.15">
      <c r="A117" s="15">
        <v>2</v>
      </c>
      <c r="B117" s="15" t="s">
        <v>11</v>
      </c>
      <c r="C117" s="46" t="str">
        <f>IF(B117="Smartphone", "Electronics", IF(B117="Laptop", "Computing", IF(B117="Tablet", "Mobile", IF(B117="Smartwatch", "Wearables", IF(B117="Headphones", "Audio", "Photography")))))</f>
        <v>Computing</v>
      </c>
      <c r="D117" s="47">
        <v>44044</v>
      </c>
      <c r="E117" s="48" t="str">
        <f>IF(OR(MONTH(D117)=9, MONTH(D117)=10, MONTH(D117)=11), "Spring",
 IF(OR(MONTH(D117)=12, MONTH(D117)=1, MONTH(D117)=2), "Summer",
 IF(OR(MONTH(D117)=3, MONTH(D117)=4, MONTH(D117)=5), "Autumn",
 IF(OR(MONTH(D117)=6, MONTH(D117)=7, MONTH(D117)=8), "Winter", "Unknown"
))))</f>
        <v>Winter</v>
      </c>
      <c r="F117" s="15">
        <v>92</v>
      </c>
      <c r="G117" s="15">
        <v>280</v>
      </c>
      <c r="H117" s="46">
        <f>F117+G117</f>
        <v>372</v>
      </c>
      <c r="I117" s="49">
        <v>290</v>
      </c>
      <c r="J117" s="46">
        <f t="shared" si="1"/>
        <v>82</v>
      </c>
      <c r="K117" s="15">
        <v>220</v>
      </c>
      <c r="L117" s="15">
        <f>H117-K117</f>
        <v>152</v>
      </c>
      <c r="M117" s="15">
        <v>60</v>
      </c>
      <c r="N117" s="50" t="e">
        <f>IF(B117="Camera",#REF!, IF(B117="Headphones",#REF!, IF(B117="Laptop",#REF!, IF(B117="Smartphone",#REF!, IF(B117="Smartwatch",#REF!,#REF!)))))</f>
        <v>#REF!</v>
      </c>
      <c r="O117" s="50" t="e">
        <f>M117-N117</f>
        <v>#REF!</v>
      </c>
      <c r="P117" s="51">
        <f>K117/((F117+M117)/2)</f>
        <v>2.8947368421052633</v>
      </c>
      <c r="Q117" s="15">
        <v>6</v>
      </c>
      <c r="R117" s="15">
        <v>0.916808002313802</v>
      </c>
      <c r="S117" s="52">
        <v>39.964661014959503</v>
      </c>
      <c r="U117" s="15"/>
      <c r="V117" s="15"/>
      <c r="W117" s="15"/>
      <c r="X117" s="15"/>
      <c r="Y117" s="15"/>
      <c r="Z117" s="15"/>
    </row>
    <row r="118" spans="1:26" x14ac:dyDescent="0.15">
      <c r="A118" s="15">
        <v>3</v>
      </c>
      <c r="B118" s="15" t="s">
        <v>12</v>
      </c>
      <c r="C118" s="46" t="str">
        <f>IF(B118="Smartphone", "Electronics", IF(B118="Laptop", "Computing", IF(B118="Tablet", "Mobile", IF(B118="Smartwatch", "Wearables", IF(B118="Headphones", "Audio", "Photography")))))</f>
        <v>Mobile</v>
      </c>
      <c r="D118" s="47">
        <v>44044</v>
      </c>
      <c r="E118" s="48" t="str">
        <f>IF(OR(MONTH(D118)=9, MONTH(D118)=10, MONTH(D118)=11), "Spring",
 IF(OR(MONTH(D118)=12, MONTH(D118)=1, MONTH(D118)=2), "Summer",
 IF(OR(MONTH(D118)=3, MONTH(D118)=4, MONTH(D118)=5), "Autumn",
 IF(OR(MONTH(D118)=6, MONTH(D118)=7, MONTH(D118)=8), "Winter", "Unknown"
))))</f>
        <v>Winter</v>
      </c>
      <c r="F118" s="15">
        <v>9</v>
      </c>
      <c r="G118" s="15">
        <v>337</v>
      </c>
      <c r="H118" s="46">
        <f>F118+G118</f>
        <v>346</v>
      </c>
      <c r="I118" s="49">
        <v>188</v>
      </c>
      <c r="J118" s="46">
        <f t="shared" si="1"/>
        <v>158</v>
      </c>
      <c r="K118" s="15">
        <v>188</v>
      </c>
      <c r="L118" s="15">
        <f>H118-K118</f>
        <v>158</v>
      </c>
      <c r="M118" s="15">
        <v>149</v>
      </c>
      <c r="N118" s="50" t="e">
        <f>IF(B118="Camera",#REF!, IF(B118="Headphones",#REF!, IF(B118="Laptop",#REF!, IF(B118="Smartphone",#REF!, IF(B118="Smartwatch",#REF!,#REF!)))))</f>
        <v>#REF!</v>
      </c>
      <c r="O118" s="50" t="e">
        <f>M118-N118</f>
        <v>#REF!</v>
      </c>
      <c r="P118" s="51">
        <f>K118/((F118+M118)/2)</f>
        <v>2.3797468354430378</v>
      </c>
      <c r="Q118" s="15">
        <v>24</v>
      </c>
      <c r="R118" s="15">
        <v>0.87632709531838204</v>
      </c>
      <c r="S118" s="52">
        <v>166.70621480786599</v>
      </c>
      <c r="U118" s="15"/>
      <c r="V118" s="15"/>
      <c r="W118" s="15"/>
      <c r="X118" s="15"/>
      <c r="Y118" s="15"/>
      <c r="Z118" s="15"/>
    </row>
    <row r="119" spans="1:26" x14ac:dyDescent="0.15">
      <c r="A119" s="15">
        <v>4</v>
      </c>
      <c r="B119" s="15" t="s">
        <v>13</v>
      </c>
      <c r="C119" s="46" t="str">
        <f>IF(B119="Smartphone", "Electronics", IF(B119="Laptop", "Computing", IF(B119="Tablet", "Mobile", IF(B119="Smartwatch", "Wearables", IF(B119="Headphones", "Audio", "Photography")))))</f>
        <v>Wearables</v>
      </c>
      <c r="D119" s="47">
        <v>44044</v>
      </c>
      <c r="E119" s="48" t="str">
        <f>IF(OR(MONTH(D119)=9, MONTH(D119)=10, MONTH(D119)=11), "Spring",
 IF(OR(MONTH(D119)=12, MONTH(D119)=1, MONTH(D119)=2), "Summer",
 IF(OR(MONTH(D119)=3, MONTH(D119)=4, MONTH(D119)=5), "Autumn",
 IF(OR(MONTH(D119)=6, MONTH(D119)=7, MONTH(D119)=8), "Winter", "Unknown"
))))</f>
        <v>Winter</v>
      </c>
      <c r="F119" s="15">
        <v>62</v>
      </c>
      <c r="G119" s="15">
        <v>210</v>
      </c>
      <c r="H119" s="46">
        <f>F119+G119</f>
        <v>272</v>
      </c>
      <c r="I119" s="49">
        <v>697</v>
      </c>
      <c r="J119" s="46">
        <f t="shared" si="1"/>
        <v>-425</v>
      </c>
      <c r="K119" s="15">
        <v>196</v>
      </c>
      <c r="L119" s="15">
        <f>H119-K119</f>
        <v>76</v>
      </c>
      <c r="M119" s="15">
        <v>14</v>
      </c>
      <c r="N119" s="50" t="e">
        <f>IF(B119="Camera",#REF!, IF(B119="Headphones",#REF!, IF(B119="Laptop",#REF!, IF(B119="Smartphone",#REF!, IF(B119="Smartwatch",#REF!,#REF!)))))</f>
        <v>#REF!</v>
      </c>
      <c r="O119" s="50" t="e">
        <f>M119-N119</f>
        <v>#REF!</v>
      </c>
      <c r="P119" s="51">
        <f>K119/((F119+M119)/2)</f>
        <v>5.1578947368421053</v>
      </c>
      <c r="Q119" s="15">
        <v>19</v>
      </c>
      <c r="R119" s="15">
        <v>0.93141534627355804</v>
      </c>
      <c r="S119" s="52">
        <v>41.263031310170497</v>
      </c>
      <c r="U119" s="15"/>
      <c r="V119" s="15"/>
      <c r="W119" s="15"/>
      <c r="X119" s="15"/>
      <c r="Y119" s="15"/>
      <c r="Z119" s="15"/>
    </row>
    <row r="120" spans="1:26" x14ac:dyDescent="0.15">
      <c r="A120" s="15">
        <v>5</v>
      </c>
      <c r="B120" s="15" t="s">
        <v>14</v>
      </c>
      <c r="C120" s="46" t="str">
        <f>IF(B120="Smartphone", "Electronics", IF(B120="Laptop", "Computing", IF(B120="Tablet", "Mobile", IF(B120="Smartwatch", "Wearables", IF(B120="Headphones", "Audio", "Photography")))))</f>
        <v>Audio</v>
      </c>
      <c r="D120" s="47">
        <v>44044</v>
      </c>
      <c r="E120" s="48" t="str">
        <f>IF(OR(MONTH(D120)=9, MONTH(D120)=10, MONTH(D120)=11), "Spring",
 IF(OR(MONTH(D120)=12, MONTH(D120)=1, MONTH(D120)=2), "Summer",
 IF(OR(MONTH(D120)=3, MONTH(D120)=4, MONTH(D120)=5), "Autumn",
 IF(OR(MONTH(D120)=6, MONTH(D120)=7, MONTH(D120)=8), "Winter", "Unknown"
))))</f>
        <v>Winter</v>
      </c>
      <c r="F120" s="15">
        <v>81</v>
      </c>
      <c r="G120" s="15">
        <v>321</v>
      </c>
      <c r="H120" s="46">
        <f>F120+G120</f>
        <v>402</v>
      </c>
      <c r="I120" s="49">
        <v>1211</v>
      </c>
      <c r="J120" s="46">
        <f t="shared" si="1"/>
        <v>-809</v>
      </c>
      <c r="K120" s="15">
        <v>313</v>
      </c>
      <c r="L120" s="15">
        <f>H120-K120</f>
        <v>89</v>
      </c>
      <c r="M120" s="15">
        <v>8</v>
      </c>
      <c r="N120" s="50" t="e">
        <f>IF(B120="Camera",#REF!, IF(B120="Headphones",#REF!, IF(B120="Laptop",#REF!, IF(B120="Smartphone",#REF!, IF(B120="Smartwatch",#REF!,#REF!)))))</f>
        <v>#REF!</v>
      </c>
      <c r="O120" s="50" t="e">
        <f>M120-N120</f>
        <v>#REF!</v>
      </c>
      <c r="P120" s="51">
        <f>K120/((F120+M120)/2)</f>
        <v>7.0337078651685392</v>
      </c>
      <c r="Q120" s="15">
        <v>5</v>
      </c>
      <c r="R120" s="15">
        <v>0.84169955554623799</v>
      </c>
      <c r="S120" s="52">
        <v>99.048631314318598</v>
      </c>
      <c r="U120" s="15"/>
      <c r="V120" s="15"/>
      <c r="W120" s="15"/>
      <c r="X120" s="15"/>
      <c r="Y120" s="15"/>
      <c r="Z120" s="15"/>
    </row>
    <row r="121" spans="1:26" x14ac:dyDescent="0.15">
      <c r="A121" s="15">
        <v>6</v>
      </c>
      <c r="B121" s="15" t="s">
        <v>15</v>
      </c>
      <c r="C121" s="46" t="str">
        <f>IF(B121="Smartphone", "Electronics", IF(B121="Laptop", "Computing", IF(B121="Tablet", "Mobile", IF(B121="Smartwatch", "Wearables", IF(B121="Headphones", "Audio", "Photography")))))</f>
        <v>Photography</v>
      </c>
      <c r="D121" s="47">
        <v>44044</v>
      </c>
      <c r="E121" s="48" t="str">
        <f>IF(OR(MONTH(D121)=9, MONTH(D121)=10, MONTH(D121)=11), "Spring",
 IF(OR(MONTH(D121)=12, MONTH(D121)=1, MONTH(D121)=2), "Summer",
 IF(OR(MONTH(D121)=3, MONTH(D121)=4, MONTH(D121)=5), "Autumn",
 IF(OR(MONTH(D121)=6, MONTH(D121)=7, MONTH(D121)=8), "Winter", "Unknown"
))))</f>
        <v>Winter</v>
      </c>
      <c r="F121" s="15">
        <v>79</v>
      </c>
      <c r="G121" s="15">
        <v>87</v>
      </c>
      <c r="H121" s="46">
        <f>F121+G121</f>
        <v>166</v>
      </c>
      <c r="I121" s="49">
        <v>523</v>
      </c>
      <c r="J121" s="46">
        <f t="shared" si="1"/>
        <v>-357</v>
      </c>
      <c r="K121" s="15">
        <v>72</v>
      </c>
      <c r="L121" s="15">
        <f>H121-K121</f>
        <v>94</v>
      </c>
      <c r="M121" s="15">
        <v>15</v>
      </c>
      <c r="N121" s="50" t="e">
        <f>IF(B121="Camera",#REF!, IF(B121="Headphones",#REF!, IF(B121="Laptop",#REF!, IF(B121="Smartphone",#REF!, IF(B121="Smartwatch",#REF!,#REF!)))))</f>
        <v>#REF!</v>
      </c>
      <c r="O121" s="50" t="e">
        <f>M121-N121</f>
        <v>#REF!</v>
      </c>
      <c r="P121" s="51">
        <f>K121/((F121+M121)/2)</f>
        <v>1.5319148936170213</v>
      </c>
      <c r="Q121" s="15">
        <v>26</v>
      </c>
      <c r="R121" s="15">
        <v>0.89642771714506098</v>
      </c>
      <c r="S121" s="52">
        <v>63.189353321870001</v>
      </c>
    </row>
    <row r="122" spans="1:26" x14ac:dyDescent="0.15">
      <c r="A122" s="15">
        <v>1</v>
      </c>
      <c r="B122" s="15" t="s">
        <v>10</v>
      </c>
      <c r="C122" s="46" t="str">
        <f>IF(B122="Smartphone", "Electronics", IF(B122="Laptop", "Computing", IF(B122="Tablet", "Mobile", IF(B122="Smartwatch", "Wearables", IF(B122="Headphones", "Audio", "Photography")))))</f>
        <v>Electronics</v>
      </c>
      <c r="D122" s="47">
        <v>44075</v>
      </c>
      <c r="E122" s="48" t="str">
        <f>IF(OR(MONTH(D122)=9, MONTH(D122)=10, MONTH(D122)=11), "Spring",
 IF(OR(MONTH(D122)=12, MONTH(D122)=1, MONTH(D122)=2), "Summer",
 IF(OR(MONTH(D122)=3, MONTH(D122)=4, MONTH(D122)=5), "Autumn",
 IF(OR(MONTH(D122)=6, MONTH(D122)=7, MONTH(D122)=8), "Winter", "Unknown"
))))</f>
        <v>Spring</v>
      </c>
      <c r="F122" s="15">
        <v>156</v>
      </c>
      <c r="G122" s="15">
        <v>275</v>
      </c>
      <c r="H122" s="46">
        <f>F122+G122</f>
        <v>431</v>
      </c>
      <c r="I122" s="49">
        <v>686</v>
      </c>
      <c r="J122" s="46">
        <f t="shared" si="1"/>
        <v>-255</v>
      </c>
      <c r="K122" s="15">
        <v>404</v>
      </c>
      <c r="L122" s="15">
        <f>H122-K122</f>
        <v>27</v>
      </c>
      <c r="M122" s="15">
        <v>89</v>
      </c>
      <c r="N122" s="50" t="e">
        <f>IF(B122="Camera",#REF!, IF(B122="Headphones",#REF!, IF(B122="Laptop",#REF!, IF(B122="Smartphone",#REF!, IF(B122="Smartwatch",#REF!,#REF!)))))</f>
        <v>#REF!</v>
      </c>
      <c r="O122" s="50" t="e">
        <f>M122-N122</f>
        <v>#REF!</v>
      </c>
      <c r="P122" s="51">
        <f>K122/((F122+M122)/2)</f>
        <v>3.2979591836734694</v>
      </c>
      <c r="Q122" s="15">
        <v>4</v>
      </c>
      <c r="R122" s="15">
        <v>0.94906570639993904</v>
      </c>
      <c r="S122" s="52">
        <v>46.117616131499197</v>
      </c>
      <c r="U122" s="15"/>
      <c r="V122" s="15"/>
      <c r="W122" s="15"/>
      <c r="X122" s="15"/>
      <c r="Y122" s="15"/>
      <c r="Z122" s="15"/>
    </row>
    <row r="123" spans="1:26" x14ac:dyDescent="0.15">
      <c r="A123" s="15">
        <v>2</v>
      </c>
      <c r="B123" s="15" t="s">
        <v>11</v>
      </c>
      <c r="C123" s="46" t="str">
        <f>IF(B123="Smartphone", "Electronics", IF(B123="Laptop", "Computing", IF(B123="Tablet", "Mobile", IF(B123="Smartwatch", "Wearables", IF(B123="Headphones", "Audio", "Photography")))))</f>
        <v>Computing</v>
      </c>
      <c r="D123" s="47">
        <v>44075</v>
      </c>
      <c r="E123" s="48" t="str">
        <f>IF(OR(MONTH(D123)=9, MONTH(D123)=10, MONTH(D123)=11), "Spring",
 IF(OR(MONTH(D123)=12, MONTH(D123)=1, MONTH(D123)=2), "Summer",
 IF(OR(MONTH(D123)=3, MONTH(D123)=4, MONTH(D123)=5), "Autumn",
 IF(OR(MONTH(D123)=6, MONTH(D123)=7, MONTH(D123)=8), "Winter", "Unknown"
))))</f>
        <v>Spring</v>
      </c>
      <c r="F123" s="15">
        <v>18</v>
      </c>
      <c r="G123" s="15">
        <v>191</v>
      </c>
      <c r="H123" s="46">
        <f>F123+G123</f>
        <v>209</v>
      </c>
      <c r="I123" s="49">
        <v>167</v>
      </c>
      <c r="J123" s="46">
        <f t="shared" si="1"/>
        <v>42</v>
      </c>
      <c r="K123" s="15">
        <v>167</v>
      </c>
      <c r="L123" s="15">
        <f>H123-K123</f>
        <v>42</v>
      </c>
      <c r="M123" s="15">
        <v>24</v>
      </c>
      <c r="N123" s="50" t="e">
        <f>IF(B123="Camera",#REF!, IF(B123="Headphones",#REF!, IF(B123="Laptop",#REF!, IF(B123="Smartphone",#REF!, IF(B123="Smartwatch",#REF!,#REF!)))))</f>
        <v>#REF!</v>
      </c>
      <c r="O123" s="50" t="e">
        <f>M123-N123</f>
        <v>#REF!</v>
      </c>
      <c r="P123" s="51">
        <f>K123/((F123+M123)/2)</f>
        <v>7.9523809523809526</v>
      </c>
      <c r="Q123" s="15">
        <v>15</v>
      </c>
      <c r="R123" s="15">
        <v>0.96178558696494199</v>
      </c>
      <c r="S123" s="52">
        <v>236.57478931033901</v>
      </c>
      <c r="U123" s="15"/>
      <c r="V123" s="15"/>
      <c r="W123" s="15"/>
      <c r="X123" s="15"/>
      <c r="Y123" s="15"/>
      <c r="Z123" s="15"/>
    </row>
    <row r="124" spans="1:26" x14ac:dyDescent="0.15">
      <c r="A124" s="15">
        <v>3</v>
      </c>
      <c r="B124" s="15" t="s">
        <v>12</v>
      </c>
      <c r="C124" s="46" t="str">
        <f>IF(B124="Smartphone", "Electronics", IF(B124="Laptop", "Computing", IF(B124="Tablet", "Mobile", IF(B124="Smartwatch", "Wearables", IF(B124="Headphones", "Audio", "Photography")))))</f>
        <v>Mobile</v>
      </c>
      <c r="D124" s="47">
        <v>44075</v>
      </c>
      <c r="E124" s="48" t="str">
        <f>IF(OR(MONTH(D124)=9, MONTH(D124)=10, MONTH(D124)=11), "Spring",
 IF(OR(MONTH(D124)=12, MONTH(D124)=1, MONTH(D124)=2), "Summer",
 IF(OR(MONTH(D124)=3, MONTH(D124)=4, MONTH(D124)=5), "Autumn",
 IF(OR(MONTH(D124)=6, MONTH(D124)=7, MONTH(D124)=8), "Winter", "Unknown"
))))</f>
        <v>Spring</v>
      </c>
      <c r="F124" s="15">
        <v>63</v>
      </c>
      <c r="G124" s="15">
        <v>341</v>
      </c>
      <c r="H124" s="46">
        <f>F124+G124</f>
        <v>404</v>
      </c>
      <c r="I124" s="49">
        <v>423</v>
      </c>
      <c r="J124" s="46">
        <f t="shared" si="1"/>
        <v>-19</v>
      </c>
      <c r="K124" s="15">
        <v>337</v>
      </c>
      <c r="L124" s="15">
        <f>H124-K124</f>
        <v>67</v>
      </c>
      <c r="M124" s="15">
        <v>18</v>
      </c>
      <c r="N124" s="50" t="e">
        <f>IF(B124="Camera",#REF!, IF(B124="Headphones",#REF!, IF(B124="Laptop",#REF!, IF(B124="Smartphone",#REF!, IF(B124="Smartwatch",#REF!,#REF!)))))</f>
        <v>#REF!</v>
      </c>
      <c r="O124" s="50" t="e">
        <f>M124-N124</f>
        <v>#REF!</v>
      </c>
      <c r="P124" s="51">
        <f>K124/((F124+M124)/2)</f>
        <v>8.3209876543209873</v>
      </c>
      <c r="Q124" s="15">
        <v>29</v>
      </c>
      <c r="R124" s="15">
        <v>0.92132479094598396</v>
      </c>
      <c r="S124" s="52">
        <v>131.604111548693</v>
      </c>
      <c r="U124" s="15"/>
      <c r="V124" s="15"/>
      <c r="W124" s="15"/>
      <c r="X124" s="15"/>
      <c r="Y124" s="15"/>
      <c r="Z124" s="15"/>
    </row>
    <row r="125" spans="1:26" x14ac:dyDescent="0.15">
      <c r="A125" s="15">
        <v>4</v>
      </c>
      <c r="B125" s="15" t="s">
        <v>13</v>
      </c>
      <c r="C125" s="46" t="str">
        <f>IF(B125="Smartphone", "Electronics", IF(B125="Laptop", "Computing", IF(B125="Tablet", "Mobile", IF(B125="Smartwatch", "Wearables", IF(B125="Headphones", "Audio", "Photography")))))</f>
        <v>Wearables</v>
      </c>
      <c r="D125" s="47">
        <v>44075</v>
      </c>
      <c r="E125" s="48" t="str">
        <f>IF(OR(MONTH(D125)=9, MONTH(D125)=10, MONTH(D125)=11), "Spring",
 IF(OR(MONTH(D125)=12, MONTH(D125)=1, MONTH(D125)=2), "Summer",
 IF(OR(MONTH(D125)=3, MONTH(D125)=4, MONTH(D125)=5), "Autumn",
 IF(OR(MONTH(D125)=6, MONTH(D125)=7, MONTH(D125)=8), "Winter", "Unknown"
))))</f>
        <v>Spring</v>
      </c>
      <c r="F125" s="15">
        <v>88</v>
      </c>
      <c r="G125" s="15">
        <v>200</v>
      </c>
      <c r="H125" s="46">
        <f>F125+G125</f>
        <v>288</v>
      </c>
      <c r="I125" s="49">
        <v>526</v>
      </c>
      <c r="J125" s="46">
        <f t="shared" si="1"/>
        <v>-238</v>
      </c>
      <c r="K125" s="15">
        <v>199</v>
      </c>
      <c r="L125" s="15">
        <f>H125-K125</f>
        <v>89</v>
      </c>
      <c r="M125" s="15">
        <v>1</v>
      </c>
      <c r="N125" s="50" t="e">
        <f>IF(B125="Camera",#REF!, IF(B125="Headphones",#REF!, IF(B125="Laptop",#REF!, IF(B125="Smartphone",#REF!, IF(B125="Smartwatch",#REF!,#REF!)))))</f>
        <v>#REF!</v>
      </c>
      <c r="O125" s="50" t="e">
        <f>M125-N125</f>
        <v>#REF!</v>
      </c>
      <c r="P125" s="51">
        <f>K125/((F125+M125)/2)</f>
        <v>4.4719101123595504</v>
      </c>
      <c r="Q125" s="15">
        <v>4</v>
      </c>
      <c r="R125" s="15">
        <v>0.88304773483951304</v>
      </c>
      <c r="S125" s="52">
        <v>45.156800021512403</v>
      </c>
      <c r="U125" s="15"/>
      <c r="V125" s="15"/>
      <c r="W125" s="15"/>
      <c r="X125" s="15"/>
      <c r="Y125" s="15"/>
      <c r="Z125" s="15"/>
    </row>
    <row r="126" spans="1:26" x14ac:dyDescent="0.15">
      <c r="A126" s="15">
        <v>5</v>
      </c>
      <c r="B126" s="15" t="s">
        <v>14</v>
      </c>
      <c r="C126" s="46" t="str">
        <f>IF(B126="Smartphone", "Electronics", IF(B126="Laptop", "Computing", IF(B126="Tablet", "Mobile", IF(B126="Smartwatch", "Wearables", IF(B126="Headphones", "Audio", "Photography")))))</f>
        <v>Audio</v>
      </c>
      <c r="D126" s="47">
        <v>44075</v>
      </c>
      <c r="E126" s="48" t="str">
        <f>IF(OR(MONTH(D126)=9, MONTH(D126)=10, MONTH(D126)=11), "Spring",
 IF(OR(MONTH(D126)=12, MONTH(D126)=1, MONTH(D126)=2), "Summer",
 IF(OR(MONTH(D126)=3, MONTH(D126)=4, MONTH(D126)=5), "Autumn",
 IF(OR(MONTH(D126)=6, MONTH(D126)=7, MONTH(D126)=8), "Winter", "Unknown"
))))</f>
        <v>Spring</v>
      </c>
      <c r="F126" s="15">
        <v>5</v>
      </c>
      <c r="G126" s="15">
        <v>163</v>
      </c>
      <c r="H126" s="46">
        <f>F126+G126</f>
        <v>168</v>
      </c>
      <c r="I126" s="49">
        <v>1471</v>
      </c>
      <c r="J126" s="46">
        <f t="shared" si="1"/>
        <v>-1303</v>
      </c>
      <c r="K126" s="15">
        <v>73</v>
      </c>
      <c r="L126" s="15">
        <f>H126-K126</f>
        <v>95</v>
      </c>
      <c r="M126" s="15">
        <v>90</v>
      </c>
      <c r="N126" s="50" t="e">
        <f>IF(B126="Camera",#REF!, IF(B126="Headphones",#REF!, IF(B126="Laptop",#REF!, IF(B126="Smartphone",#REF!, IF(B126="Smartwatch",#REF!,#REF!)))))</f>
        <v>#REF!</v>
      </c>
      <c r="O126" s="50" t="e">
        <f>M126-N126</f>
        <v>#REF!</v>
      </c>
      <c r="P126" s="51">
        <f>K126/((F126+M126)/2)</f>
        <v>1.5368421052631578</v>
      </c>
      <c r="Q126" s="15">
        <v>20</v>
      </c>
      <c r="R126" s="15">
        <v>0.82036994578281897</v>
      </c>
      <c r="S126" s="52">
        <v>53.157847709232797</v>
      </c>
      <c r="U126" s="15"/>
      <c r="V126" s="15"/>
      <c r="W126" s="15"/>
      <c r="X126" s="15"/>
      <c r="Y126" s="15"/>
      <c r="Z126" s="15"/>
    </row>
    <row r="127" spans="1:26" x14ac:dyDescent="0.15">
      <c r="A127" s="15">
        <v>6</v>
      </c>
      <c r="B127" s="15" t="s">
        <v>15</v>
      </c>
      <c r="C127" s="46" t="str">
        <f>IF(B127="Smartphone", "Electronics", IF(B127="Laptop", "Computing", IF(B127="Tablet", "Mobile", IF(B127="Smartwatch", "Wearables", IF(B127="Headphones", "Audio", "Photography")))))</f>
        <v>Photography</v>
      </c>
      <c r="D127" s="47">
        <v>44075</v>
      </c>
      <c r="E127" s="48" t="str">
        <f>IF(OR(MONTH(D127)=9, MONTH(D127)=10, MONTH(D127)=11), "Spring",
 IF(OR(MONTH(D127)=12, MONTH(D127)=1, MONTH(D127)=2), "Summer",
 IF(OR(MONTH(D127)=3, MONTH(D127)=4, MONTH(D127)=5), "Autumn",
 IF(OR(MONTH(D127)=6, MONTH(D127)=7, MONTH(D127)=8), "Winter", "Unknown"
))))</f>
        <v>Spring</v>
      </c>
      <c r="F127" s="15">
        <v>59</v>
      </c>
      <c r="G127" s="15">
        <v>286</v>
      </c>
      <c r="H127" s="46">
        <f>F127+G127</f>
        <v>345</v>
      </c>
      <c r="I127" s="49">
        <v>938</v>
      </c>
      <c r="J127" s="46">
        <f t="shared" si="1"/>
        <v>-593</v>
      </c>
      <c r="K127" s="15">
        <v>200</v>
      </c>
      <c r="L127" s="15">
        <f>H127-K127</f>
        <v>145</v>
      </c>
      <c r="M127" s="15">
        <v>86</v>
      </c>
      <c r="N127" s="50" t="e">
        <f>IF(B127="Camera",#REF!, IF(B127="Headphones",#REF!, IF(B127="Laptop",#REF!, IF(B127="Smartphone",#REF!, IF(B127="Smartwatch",#REF!,#REF!)))))</f>
        <v>#REF!</v>
      </c>
      <c r="O127" s="50" t="e">
        <f>M127-N127</f>
        <v>#REF!</v>
      </c>
      <c r="P127" s="51">
        <f>K127/((F127+M127)/2)</f>
        <v>2.7586206896551726</v>
      </c>
      <c r="Q127" s="15">
        <v>10</v>
      </c>
      <c r="R127" s="15">
        <v>0.862122514438035</v>
      </c>
      <c r="S127" s="52">
        <v>37.435082527065099</v>
      </c>
    </row>
    <row r="128" spans="1:26" x14ac:dyDescent="0.15">
      <c r="A128" s="15">
        <v>1</v>
      </c>
      <c r="B128" s="15" t="s">
        <v>10</v>
      </c>
      <c r="C128" s="46" t="str">
        <f>IF(B128="Smartphone", "Electronics", IF(B128="Laptop", "Computing", IF(B128="Tablet", "Mobile", IF(B128="Smartwatch", "Wearables", IF(B128="Headphones", "Audio", "Photography")))))</f>
        <v>Electronics</v>
      </c>
      <c r="D128" s="47">
        <v>44105</v>
      </c>
      <c r="E128" s="48" t="str">
        <f>IF(OR(MONTH(D128)=9, MONTH(D128)=10, MONTH(D128)=11), "Spring",
 IF(OR(MONTH(D128)=12, MONTH(D128)=1, MONTH(D128)=2), "Summer",
 IF(OR(MONTH(D128)=3, MONTH(D128)=4, MONTH(D128)=5), "Autumn",
 IF(OR(MONTH(D128)=6, MONTH(D128)=7, MONTH(D128)=8), "Winter", "Unknown"
))))</f>
        <v>Spring</v>
      </c>
      <c r="F128" s="15">
        <v>76</v>
      </c>
      <c r="G128" s="15">
        <v>115</v>
      </c>
      <c r="H128" s="46">
        <f>F128+G128</f>
        <v>191</v>
      </c>
      <c r="I128" s="49">
        <v>413</v>
      </c>
      <c r="J128" s="46">
        <f t="shared" si="1"/>
        <v>-222</v>
      </c>
      <c r="K128" s="15">
        <v>57</v>
      </c>
      <c r="L128" s="15">
        <f>H128-K128</f>
        <v>134</v>
      </c>
      <c r="M128" s="15">
        <v>58</v>
      </c>
      <c r="N128" s="50" t="e">
        <f>IF(B128="Camera",#REF!, IF(B128="Headphones",#REF!, IF(B128="Laptop",#REF!, IF(B128="Smartphone",#REF!, IF(B128="Smartwatch",#REF!,#REF!)))))</f>
        <v>#REF!</v>
      </c>
      <c r="O128" s="50" t="e">
        <f>M128-N128</f>
        <v>#REF!</v>
      </c>
      <c r="P128" s="51">
        <f>K128/((F128+M128)/2)</f>
        <v>0.85074626865671643</v>
      </c>
      <c r="Q128" s="15">
        <v>24</v>
      </c>
      <c r="R128" s="15">
        <v>0.87653632976226104</v>
      </c>
      <c r="S128" s="52">
        <v>83.6425321996565</v>
      </c>
      <c r="U128" s="15"/>
      <c r="V128" s="15"/>
      <c r="W128" s="15"/>
      <c r="X128" s="15"/>
      <c r="Y128" s="15"/>
      <c r="Z128" s="15"/>
    </row>
    <row r="129" spans="1:26" x14ac:dyDescent="0.15">
      <c r="A129" s="15">
        <v>2</v>
      </c>
      <c r="B129" s="15" t="s">
        <v>11</v>
      </c>
      <c r="C129" s="46" t="str">
        <f>IF(B129="Smartphone", "Electronics", IF(B129="Laptop", "Computing", IF(B129="Tablet", "Mobile", IF(B129="Smartwatch", "Wearables", IF(B129="Headphones", "Audio", "Photography")))))</f>
        <v>Computing</v>
      </c>
      <c r="D129" s="47">
        <v>44105</v>
      </c>
      <c r="E129" s="48" t="str">
        <f>IF(OR(MONTH(D129)=9, MONTH(D129)=10, MONTH(D129)=11), "Spring",
 IF(OR(MONTH(D129)=12, MONTH(D129)=1, MONTH(D129)=2), "Summer",
 IF(OR(MONTH(D129)=3, MONTH(D129)=4, MONTH(D129)=5), "Autumn",
 IF(OR(MONTH(D129)=6, MONTH(D129)=7, MONTH(D129)=8), "Winter", "Unknown"
))))</f>
        <v>Spring</v>
      </c>
      <c r="F129" s="15">
        <v>39</v>
      </c>
      <c r="G129" s="15">
        <v>410</v>
      </c>
      <c r="H129" s="46">
        <f>F129+G129</f>
        <v>449</v>
      </c>
      <c r="I129" s="49">
        <v>100</v>
      </c>
      <c r="J129" s="46">
        <f t="shared" si="1"/>
        <v>349</v>
      </c>
      <c r="K129" s="15">
        <v>100</v>
      </c>
      <c r="L129" s="15">
        <f>H129-K129</f>
        <v>349</v>
      </c>
      <c r="M129" s="15">
        <v>310</v>
      </c>
      <c r="N129" s="50" t="e">
        <f>IF(B129="Camera",#REF!, IF(B129="Headphones",#REF!, IF(B129="Laptop",#REF!, IF(B129="Smartphone",#REF!, IF(B129="Smartwatch",#REF!,#REF!)))))</f>
        <v>#REF!</v>
      </c>
      <c r="O129" s="50" t="e">
        <f>M129-N129</f>
        <v>#REF!</v>
      </c>
      <c r="P129" s="51">
        <f>K129/((F129+M129)/2)</f>
        <v>0.57306590257879653</v>
      </c>
      <c r="Q129" s="15">
        <v>22</v>
      </c>
      <c r="R129" s="15">
        <v>0.86511331083491905</v>
      </c>
      <c r="S129" s="52">
        <v>515.20202377693397</v>
      </c>
      <c r="U129" s="15"/>
      <c r="V129" s="15"/>
      <c r="W129" s="15"/>
      <c r="X129" s="15"/>
      <c r="Y129" s="15"/>
      <c r="Z129" s="15"/>
    </row>
    <row r="130" spans="1:26" x14ac:dyDescent="0.15">
      <c r="A130" s="15">
        <v>3</v>
      </c>
      <c r="B130" s="15" t="s">
        <v>12</v>
      </c>
      <c r="C130" s="46" t="str">
        <f>IF(B130="Smartphone", "Electronics", IF(B130="Laptop", "Computing", IF(B130="Tablet", "Mobile", IF(B130="Smartwatch", "Wearables", IF(B130="Headphones", "Audio", "Photography")))))</f>
        <v>Mobile</v>
      </c>
      <c r="D130" s="47">
        <v>44105</v>
      </c>
      <c r="E130" s="48" t="str">
        <f>IF(OR(MONTH(D130)=9, MONTH(D130)=10, MONTH(D130)=11), "Spring",
 IF(OR(MONTH(D130)=12, MONTH(D130)=1, MONTH(D130)=2), "Summer",
 IF(OR(MONTH(D130)=3, MONTH(D130)=4, MONTH(D130)=5), "Autumn",
 IF(OR(MONTH(D130)=6, MONTH(D130)=7, MONTH(D130)=8), "Winter", "Unknown"
))))</f>
        <v>Spring</v>
      </c>
      <c r="F130" s="15">
        <v>179</v>
      </c>
      <c r="G130" s="15">
        <v>390</v>
      </c>
      <c r="H130" s="46">
        <f>F130+G130</f>
        <v>569</v>
      </c>
      <c r="I130" s="49">
        <v>582</v>
      </c>
      <c r="J130" s="46">
        <f t="shared" si="1"/>
        <v>-13</v>
      </c>
      <c r="K130" s="15">
        <v>336</v>
      </c>
      <c r="L130" s="15">
        <f>H130-K130</f>
        <v>233</v>
      </c>
      <c r="M130" s="15">
        <v>54</v>
      </c>
      <c r="N130" s="50" t="e">
        <f>IF(B130="Camera",#REF!, IF(B130="Headphones",#REF!, IF(B130="Laptop",#REF!, IF(B130="Smartphone",#REF!, IF(B130="Smartwatch",#REF!,#REF!)))))</f>
        <v>#REF!</v>
      </c>
      <c r="O130" s="50" t="e">
        <f>M130-N130</f>
        <v>#REF!</v>
      </c>
      <c r="P130" s="51">
        <f>K130/((F130+M130)/2)</f>
        <v>2.8841201716738198</v>
      </c>
      <c r="Q130" s="15">
        <v>3</v>
      </c>
      <c r="R130" s="15">
        <v>0.90297764841567996</v>
      </c>
      <c r="S130" s="52">
        <v>13.7048162501011</v>
      </c>
      <c r="U130" s="15"/>
      <c r="V130" s="15"/>
      <c r="W130" s="15"/>
      <c r="X130" s="15"/>
      <c r="Y130" s="15"/>
      <c r="Z130" s="15"/>
    </row>
    <row r="131" spans="1:26" x14ac:dyDescent="0.15">
      <c r="A131" s="15">
        <v>4</v>
      </c>
      <c r="B131" s="15" t="s">
        <v>13</v>
      </c>
      <c r="C131" s="46" t="str">
        <f>IF(B131="Smartphone", "Electronics", IF(B131="Laptop", "Computing", IF(B131="Tablet", "Mobile", IF(B131="Smartwatch", "Wearables", IF(B131="Headphones", "Audio", "Photography")))))</f>
        <v>Wearables</v>
      </c>
      <c r="D131" s="47">
        <v>44105</v>
      </c>
      <c r="E131" s="48" t="str">
        <f>IF(OR(MONTH(D131)=9, MONTH(D131)=10, MONTH(D131)=11), "Spring",
 IF(OR(MONTH(D131)=12, MONTH(D131)=1, MONTH(D131)=2), "Summer",
 IF(OR(MONTH(D131)=3, MONTH(D131)=4, MONTH(D131)=5), "Autumn",
 IF(OR(MONTH(D131)=6, MONTH(D131)=7, MONTH(D131)=8), "Winter", "Unknown"
))))</f>
        <v>Spring</v>
      </c>
      <c r="F131" s="15">
        <v>71</v>
      </c>
      <c r="G131" s="15">
        <v>307</v>
      </c>
      <c r="H131" s="46">
        <f>F131+G131</f>
        <v>378</v>
      </c>
      <c r="I131" s="49">
        <v>529</v>
      </c>
      <c r="J131" s="46">
        <f t="shared" ref="J131:J194" si="2">H131-I131</f>
        <v>-151</v>
      </c>
      <c r="K131" s="15">
        <v>298</v>
      </c>
      <c r="L131" s="15">
        <f>H131-K131</f>
        <v>80</v>
      </c>
      <c r="M131" s="15">
        <v>9</v>
      </c>
      <c r="N131" s="50" t="e">
        <f>IF(B131="Camera",#REF!, IF(B131="Headphones",#REF!, IF(B131="Laptop",#REF!, IF(B131="Smartphone",#REF!, IF(B131="Smartwatch",#REF!,#REF!)))))</f>
        <v>#REF!</v>
      </c>
      <c r="O131" s="50" t="e">
        <f>M131-N131</f>
        <v>#REF!</v>
      </c>
      <c r="P131" s="51">
        <f>K131/((F131+M131)/2)</f>
        <v>7.45</v>
      </c>
      <c r="Q131" s="15">
        <v>26</v>
      </c>
      <c r="R131" s="15">
        <v>0.88290561319143501</v>
      </c>
      <c r="S131" s="52">
        <v>121.309993057863</v>
      </c>
      <c r="U131" s="15"/>
      <c r="V131" s="15"/>
      <c r="W131" s="15"/>
      <c r="X131" s="15"/>
      <c r="Y131" s="15"/>
      <c r="Z131" s="15"/>
    </row>
    <row r="132" spans="1:26" x14ac:dyDescent="0.15">
      <c r="A132" s="15">
        <v>5</v>
      </c>
      <c r="B132" s="15" t="s">
        <v>14</v>
      </c>
      <c r="C132" s="46" t="str">
        <f>IF(B132="Smartphone", "Electronics", IF(B132="Laptop", "Computing", IF(B132="Tablet", "Mobile", IF(B132="Smartwatch", "Wearables", IF(B132="Headphones", "Audio", "Photography")))))</f>
        <v>Audio</v>
      </c>
      <c r="D132" s="47">
        <v>44105</v>
      </c>
      <c r="E132" s="48" t="str">
        <f>IF(OR(MONTH(D132)=9, MONTH(D132)=10, MONTH(D132)=11), "Spring",
 IF(OR(MONTH(D132)=12, MONTH(D132)=1, MONTH(D132)=2), "Summer",
 IF(OR(MONTH(D132)=3, MONTH(D132)=4, MONTH(D132)=5), "Autumn",
 IF(OR(MONTH(D132)=6, MONTH(D132)=7, MONTH(D132)=8), "Winter", "Unknown"
))))</f>
        <v>Spring</v>
      </c>
      <c r="F132" s="15">
        <v>78</v>
      </c>
      <c r="G132" s="15">
        <v>268</v>
      </c>
      <c r="H132" s="46">
        <f>F132+G132</f>
        <v>346</v>
      </c>
      <c r="I132" s="49">
        <v>1515</v>
      </c>
      <c r="J132" s="46">
        <f t="shared" si="2"/>
        <v>-1169</v>
      </c>
      <c r="K132" s="15">
        <v>295</v>
      </c>
      <c r="L132" s="15">
        <f>H132-K132</f>
        <v>51</v>
      </c>
      <c r="M132" s="15">
        <v>3</v>
      </c>
      <c r="N132" s="50" t="e">
        <f>IF(B132="Camera",#REF!, IF(B132="Headphones",#REF!, IF(B132="Laptop",#REF!, IF(B132="Smartphone",#REF!, IF(B132="Smartwatch",#REF!,#REF!)))))</f>
        <v>#REF!</v>
      </c>
      <c r="O132" s="50" t="e">
        <f>M132-N132</f>
        <v>#REF!</v>
      </c>
      <c r="P132" s="51">
        <f>K132/((F132+M132)/2)</f>
        <v>7.283950617283951</v>
      </c>
      <c r="Q132" s="15">
        <v>5</v>
      </c>
      <c r="R132" s="15">
        <v>0.90860606861677196</v>
      </c>
      <c r="S132" s="52">
        <v>57.736836990382699</v>
      </c>
      <c r="U132" s="15"/>
      <c r="V132" s="15"/>
      <c r="W132" s="15"/>
      <c r="X132" s="15"/>
      <c r="Y132" s="15"/>
      <c r="Z132" s="15"/>
    </row>
    <row r="133" spans="1:26" x14ac:dyDescent="0.15">
      <c r="A133" s="15">
        <v>6</v>
      </c>
      <c r="B133" s="15" t="s">
        <v>15</v>
      </c>
      <c r="C133" s="46" t="str">
        <f>IF(B133="Smartphone", "Electronics", IF(B133="Laptop", "Computing", IF(B133="Tablet", "Mobile", IF(B133="Smartwatch", "Wearables", IF(B133="Headphones", "Audio", "Photography")))))</f>
        <v>Photography</v>
      </c>
      <c r="D133" s="47">
        <v>44105</v>
      </c>
      <c r="E133" s="48" t="str">
        <f>IF(OR(MONTH(D133)=9, MONTH(D133)=10, MONTH(D133)=11), "Spring",
 IF(OR(MONTH(D133)=12, MONTH(D133)=1, MONTH(D133)=2), "Summer",
 IF(OR(MONTH(D133)=3, MONTH(D133)=4, MONTH(D133)=5), "Autumn",
 IF(OR(MONTH(D133)=6, MONTH(D133)=7, MONTH(D133)=8), "Winter", "Unknown"
))))</f>
        <v>Spring</v>
      </c>
      <c r="F133" s="15">
        <v>32</v>
      </c>
      <c r="G133" s="15">
        <v>498</v>
      </c>
      <c r="H133" s="46">
        <f>F133+G133</f>
        <v>530</v>
      </c>
      <c r="I133" s="49">
        <v>369</v>
      </c>
      <c r="J133" s="46">
        <f t="shared" si="2"/>
        <v>161</v>
      </c>
      <c r="K133" s="15">
        <v>369</v>
      </c>
      <c r="L133" s="15">
        <f>H133-K133</f>
        <v>161</v>
      </c>
      <c r="M133" s="15">
        <v>129</v>
      </c>
      <c r="N133" s="50" t="e">
        <f>IF(B133="Camera",#REF!, IF(B133="Headphones",#REF!, IF(B133="Laptop",#REF!, IF(B133="Smartphone",#REF!, IF(B133="Smartwatch",#REF!,#REF!)))))</f>
        <v>#REF!</v>
      </c>
      <c r="O133" s="50" t="e">
        <f>M133-N133</f>
        <v>#REF!</v>
      </c>
      <c r="P133" s="51">
        <f>K133/((F133+M133)/2)</f>
        <v>4.5838509316770191</v>
      </c>
      <c r="Q133" s="15">
        <v>6</v>
      </c>
      <c r="R133" s="15">
        <v>0.96013136505238295</v>
      </c>
      <c r="S133" s="52">
        <v>100.219389199962</v>
      </c>
    </row>
    <row r="134" spans="1:26" x14ac:dyDescent="0.15">
      <c r="A134" s="15">
        <v>1</v>
      </c>
      <c r="B134" s="15" t="s">
        <v>10</v>
      </c>
      <c r="C134" s="46" t="str">
        <f>IF(B134="Smartphone", "Electronics", IF(B134="Laptop", "Computing", IF(B134="Tablet", "Mobile", IF(B134="Smartwatch", "Wearables", IF(B134="Headphones", "Audio", "Photography")))))</f>
        <v>Electronics</v>
      </c>
      <c r="D134" s="47">
        <v>44136</v>
      </c>
      <c r="E134" s="48" t="str">
        <f>IF(OR(MONTH(D134)=9, MONTH(D134)=10, MONTH(D134)=11), "Spring",
 IF(OR(MONTH(D134)=12, MONTH(D134)=1, MONTH(D134)=2), "Summer",
 IF(OR(MONTH(D134)=3, MONTH(D134)=4, MONTH(D134)=5), "Autumn",
 IF(OR(MONTH(D134)=6, MONTH(D134)=7, MONTH(D134)=8), "Winter", "Unknown"
))))</f>
        <v>Spring</v>
      </c>
      <c r="F134" s="15">
        <v>60</v>
      </c>
      <c r="G134" s="15">
        <v>380</v>
      </c>
      <c r="H134" s="46">
        <f>F134+G134</f>
        <v>440</v>
      </c>
      <c r="I134" s="49">
        <v>790</v>
      </c>
      <c r="J134" s="46">
        <f t="shared" si="2"/>
        <v>-350</v>
      </c>
      <c r="K134" s="15">
        <v>359</v>
      </c>
      <c r="L134" s="15">
        <f>H134-K134</f>
        <v>81</v>
      </c>
      <c r="M134" s="15">
        <v>21</v>
      </c>
      <c r="N134" s="50" t="e">
        <f>IF(B134="Camera",#REF!, IF(B134="Headphones",#REF!, IF(B134="Laptop",#REF!, IF(B134="Smartphone",#REF!, IF(B134="Smartwatch",#REF!,#REF!)))))</f>
        <v>#REF!</v>
      </c>
      <c r="O134" s="50" t="e">
        <f>M134-N134</f>
        <v>#REF!</v>
      </c>
      <c r="P134" s="51">
        <f>K134/((F134+M134)/2)</f>
        <v>8.8641975308641978</v>
      </c>
      <c r="Q134" s="15">
        <v>21</v>
      </c>
      <c r="R134" s="15">
        <v>0.87967688893853102</v>
      </c>
      <c r="S134" s="52">
        <v>10.1358394126928</v>
      </c>
      <c r="U134" s="15"/>
      <c r="V134" s="15"/>
      <c r="W134" s="15"/>
      <c r="X134" s="15"/>
      <c r="Y134" s="15"/>
      <c r="Z134" s="15"/>
    </row>
    <row r="135" spans="1:26" x14ac:dyDescent="0.15">
      <c r="A135" s="15">
        <v>2</v>
      </c>
      <c r="B135" s="15" t="s">
        <v>11</v>
      </c>
      <c r="C135" s="46" t="str">
        <f>IF(B135="Smartphone", "Electronics", IF(B135="Laptop", "Computing", IF(B135="Tablet", "Mobile", IF(B135="Smartwatch", "Wearables", IF(B135="Headphones", "Audio", "Photography")))))</f>
        <v>Computing</v>
      </c>
      <c r="D135" s="47">
        <v>44136</v>
      </c>
      <c r="E135" s="48" t="str">
        <f>IF(OR(MONTH(D135)=9, MONTH(D135)=10, MONTH(D135)=11), "Spring",
 IF(OR(MONTH(D135)=12, MONTH(D135)=1, MONTH(D135)=2), "Summer",
 IF(OR(MONTH(D135)=3, MONTH(D135)=4, MONTH(D135)=5), "Autumn",
 IF(OR(MONTH(D135)=6, MONTH(D135)=7, MONTH(D135)=8), "Winter", "Unknown"
))))</f>
        <v>Spring</v>
      </c>
      <c r="F135" s="15">
        <v>7</v>
      </c>
      <c r="G135" s="15">
        <v>372</v>
      </c>
      <c r="H135" s="46">
        <f>F135+G135</f>
        <v>379</v>
      </c>
      <c r="I135" s="49">
        <v>440</v>
      </c>
      <c r="J135" s="46">
        <f t="shared" si="2"/>
        <v>-61</v>
      </c>
      <c r="K135" s="15">
        <v>440</v>
      </c>
      <c r="L135" s="15">
        <f>H135-K135</f>
        <v>-61</v>
      </c>
      <c r="M135" s="15">
        <v>59</v>
      </c>
      <c r="N135" s="50" t="e">
        <f>IF(B135="Camera",#REF!, IF(B135="Headphones",#REF!, IF(B135="Laptop",#REF!, IF(B135="Smartphone",#REF!, IF(B135="Smartwatch",#REF!,#REF!)))))</f>
        <v>#REF!</v>
      </c>
      <c r="O135" s="50" t="e">
        <f>M135-N135</f>
        <v>#REF!</v>
      </c>
      <c r="P135" s="51">
        <f>K135/((F135+M135)/2)</f>
        <v>13.333333333333334</v>
      </c>
      <c r="Q135" s="15">
        <v>22</v>
      </c>
      <c r="R135" s="15">
        <v>0.83085665113728802</v>
      </c>
      <c r="S135" s="52">
        <v>18.642116854687298</v>
      </c>
      <c r="U135" s="15"/>
      <c r="V135" s="15"/>
      <c r="W135" s="15"/>
      <c r="X135" s="15"/>
      <c r="Y135" s="15"/>
      <c r="Z135" s="15"/>
    </row>
    <row r="136" spans="1:26" x14ac:dyDescent="0.15">
      <c r="A136" s="15">
        <v>3</v>
      </c>
      <c r="B136" s="15" t="s">
        <v>12</v>
      </c>
      <c r="C136" s="46" t="str">
        <f>IF(B136="Smartphone", "Electronics", IF(B136="Laptop", "Computing", IF(B136="Tablet", "Mobile", IF(B136="Smartwatch", "Wearables", IF(B136="Headphones", "Audio", "Photography")))))</f>
        <v>Mobile</v>
      </c>
      <c r="D136" s="47">
        <v>44136</v>
      </c>
      <c r="E136" s="48" t="str">
        <f>IF(OR(MONTH(D136)=9, MONTH(D136)=10, MONTH(D136)=11), "Spring",
 IF(OR(MONTH(D136)=12, MONTH(D136)=1, MONTH(D136)=2), "Summer",
 IF(OR(MONTH(D136)=3, MONTH(D136)=4, MONTH(D136)=5), "Autumn",
 IF(OR(MONTH(D136)=6, MONTH(D136)=7, MONTH(D136)=8), "Winter", "Unknown"
))))</f>
        <v>Spring</v>
      </c>
      <c r="F136" s="15">
        <v>54</v>
      </c>
      <c r="G136" s="15">
        <v>229</v>
      </c>
      <c r="H136" s="46">
        <f>F136+G136</f>
        <v>283</v>
      </c>
      <c r="I136" s="49">
        <v>258</v>
      </c>
      <c r="J136" s="46">
        <f t="shared" si="2"/>
        <v>25</v>
      </c>
      <c r="K136" s="15">
        <v>225</v>
      </c>
      <c r="L136" s="15">
        <f>H136-K136</f>
        <v>58</v>
      </c>
      <c r="M136" s="15">
        <v>4</v>
      </c>
      <c r="N136" s="50" t="e">
        <f>IF(B136="Camera",#REF!, IF(B136="Headphones",#REF!, IF(B136="Laptop",#REF!, IF(B136="Smartphone",#REF!, IF(B136="Smartwatch",#REF!,#REF!)))))</f>
        <v>#REF!</v>
      </c>
      <c r="O136" s="50" t="e">
        <f>M136-N136</f>
        <v>#REF!</v>
      </c>
      <c r="P136" s="51">
        <f>K136/((F136+M136)/2)</f>
        <v>7.7586206896551726</v>
      </c>
      <c r="Q136" s="15">
        <v>8</v>
      </c>
      <c r="R136" s="15">
        <v>0.86491462009375597</v>
      </c>
      <c r="S136" s="52">
        <v>125.735896970879</v>
      </c>
      <c r="U136" s="15"/>
      <c r="V136" s="15"/>
      <c r="W136" s="15"/>
      <c r="X136" s="15"/>
      <c r="Y136" s="15"/>
      <c r="Z136" s="15"/>
    </row>
    <row r="137" spans="1:26" x14ac:dyDescent="0.15">
      <c r="A137" s="15">
        <v>4</v>
      </c>
      <c r="B137" s="15" t="s">
        <v>13</v>
      </c>
      <c r="C137" s="46" t="str">
        <f>IF(B137="Smartphone", "Electronics", IF(B137="Laptop", "Computing", IF(B137="Tablet", "Mobile", IF(B137="Smartwatch", "Wearables", IF(B137="Headphones", "Audio", "Photography")))))</f>
        <v>Wearables</v>
      </c>
      <c r="D137" s="47">
        <v>44136</v>
      </c>
      <c r="E137" s="48" t="str">
        <f>IF(OR(MONTH(D137)=9, MONTH(D137)=10, MONTH(D137)=11), "Spring",
 IF(OR(MONTH(D137)=12, MONTH(D137)=1, MONTH(D137)=2), "Summer",
 IF(OR(MONTH(D137)=3, MONTH(D137)=4, MONTH(D137)=5), "Autumn",
 IF(OR(MONTH(D137)=6, MONTH(D137)=7, MONTH(D137)=8), "Winter", "Unknown"
))))</f>
        <v>Spring</v>
      </c>
      <c r="F137" s="15">
        <v>65</v>
      </c>
      <c r="G137" s="15">
        <v>239</v>
      </c>
      <c r="H137" s="46">
        <f>F137+G137</f>
        <v>304</v>
      </c>
      <c r="I137" s="49">
        <v>193</v>
      </c>
      <c r="J137" s="46">
        <f t="shared" si="2"/>
        <v>111</v>
      </c>
      <c r="K137" s="15">
        <v>193</v>
      </c>
      <c r="L137" s="15">
        <f>H137-K137</f>
        <v>111</v>
      </c>
      <c r="M137" s="15">
        <v>46</v>
      </c>
      <c r="N137" s="50" t="e">
        <f>IF(B137="Camera",#REF!, IF(B137="Headphones",#REF!, IF(B137="Laptop",#REF!, IF(B137="Smartphone",#REF!, IF(B137="Smartwatch",#REF!,#REF!)))))</f>
        <v>#REF!</v>
      </c>
      <c r="O137" s="50" t="e">
        <f>M137-N137</f>
        <v>#REF!</v>
      </c>
      <c r="P137" s="51">
        <f>K137/((F137+M137)/2)</f>
        <v>3.4774774774774775</v>
      </c>
      <c r="Q137" s="15">
        <v>7</v>
      </c>
      <c r="R137" s="15">
        <v>0.929179423498663</v>
      </c>
      <c r="S137" s="52">
        <v>167.02903323545701</v>
      </c>
      <c r="U137" s="15"/>
      <c r="V137" s="15"/>
      <c r="W137" s="15"/>
      <c r="X137" s="15"/>
      <c r="Y137" s="15"/>
      <c r="Z137" s="15"/>
    </row>
    <row r="138" spans="1:26" x14ac:dyDescent="0.15">
      <c r="A138" s="15">
        <v>5</v>
      </c>
      <c r="B138" s="15" t="s">
        <v>14</v>
      </c>
      <c r="C138" s="46" t="str">
        <f>IF(B138="Smartphone", "Electronics", IF(B138="Laptop", "Computing", IF(B138="Tablet", "Mobile", IF(B138="Smartwatch", "Wearables", IF(B138="Headphones", "Audio", "Photography")))))</f>
        <v>Audio</v>
      </c>
      <c r="D138" s="47">
        <v>44136</v>
      </c>
      <c r="E138" s="48" t="str">
        <f>IF(OR(MONTH(D138)=9, MONTH(D138)=10, MONTH(D138)=11), "Spring",
 IF(OR(MONTH(D138)=12, MONTH(D138)=1, MONTH(D138)=2), "Summer",
 IF(OR(MONTH(D138)=3, MONTH(D138)=4, MONTH(D138)=5), "Autumn",
 IF(OR(MONTH(D138)=6, MONTH(D138)=7, MONTH(D138)=8), "Winter", "Unknown"
))))</f>
        <v>Spring</v>
      </c>
      <c r="F138" s="15">
        <v>65</v>
      </c>
      <c r="G138" s="15">
        <v>456</v>
      </c>
      <c r="H138" s="46">
        <f>F138+G138</f>
        <v>521</v>
      </c>
      <c r="I138" s="49">
        <v>1683</v>
      </c>
      <c r="J138" s="46">
        <f t="shared" si="2"/>
        <v>-1162</v>
      </c>
      <c r="K138" s="15">
        <v>357</v>
      </c>
      <c r="L138" s="15">
        <f>H138-K138</f>
        <v>164</v>
      </c>
      <c r="M138" s="15">
        <v>99</v>
      </c>
      <c r="N138" s="50" t="e">
        <f>IF(B138="Camera",#REF!, IF(B138="Headphones",#REF!, IF(B138="Laptop",#REF!, IF(B138="Smartphone",#REF!, IF(B138="Smartwatch",#REF!,#REF!)))))</f>
        <v>#REF!</v>
      </c>
      <c r="O138" s="50" t="e">
        <f>M138-N138</f>
        <v>#REF!</v>
      </c>
      <c r="P138" s="51">
        <f>K138/((F138+M138)/2)</f>
        <v>4.3536585365853657</v>
      </c>
      <c r="Q138" s="15">
        <v>21</v>
      </c>
      <c r="R138" s="15">
        <v>0.93389718924763299</v>
      </c>
      <c r="S138" s="52">
        <v>54.5520939956142</v>
      </c>
      <c r="U138" s="15"/>
      <c r="V138" s="15"/>
      <c r="W138" s="15"/>
      <c r="X138" s="15"/>
      <c r="Y138" s="15"/>
      <c r="Z138" s="15"/>
    </row>
    <row r="139" spans="1:26" x14ac:dyDescent="0.15">
      <c r="A139" s="15">
        <v>6</v>
      </c>
      <c r="B139" s="15" t="s">
        <v>15</v>
      </c>
      <c r="C139" s="46" t="str">
        <f>IF(B139="Smartphone", "Electronics", IF(B139="Laptop", "Computing", IF(B139="Tablet", "Mobile", IF(B139="Smartwatch", "Wearables", IF(B139="Headphones", "Audio", "Photography")))))</f>
        <v>Photography</v>
      </c>
      <c r="D139" s="47">
        <v>44136</v>
      </c>
      <c r="E139" s="48" t="str">
        <f>IF(OR(MONTH(D139)=9, MONTH(D139)=10, MONTH(D139)=11), "Spring",
 IF(OR(MONTH(D139)=12, MONTH(D139)=1, MONTH(D139)=2), "Summer",
 IF(OR(MONTH(D139)=3, MONTH(D139)=4, MONTH(D139)=5), "Autumn",
 IF(OR(MONTH(D139)=6, MONTH(D139)=7, MONTH(D139)=8), "Winter", "Unknown"
))))</f>
        <v>Spring</v>
      </c>
      <c r="F139" s="15">
        <v>2</v>
      </c>
      <c r="G139" s="15">
        <v>203</v>
      </c>
      <c r="H139" s="46">
        <f>F139+G139</f>
        <v>205</v>
      </c>
      <c r="I139" s="49">
        <v>623</v>
      </c>
      <c r="J139" s="46">
        <f t="shared" si="2"/>
        <v>-418</v>
      </c>
      <c r="K139" s="15">
        <v>167</v>
      </c>
      <c r="L139" s="15">
        <f>H139-K139</f>
        <v>38</v>
      </c>
      <c r="M139" s="15">
        <v>36</v>
      </c>
      <c r="N139" s="50" t="e">
        <f>IF(B139="Camera",#REF!, IF(B139="Headphones",#REF!, IF(B139="Laptop",#REF!, IF(B139="Smartphone",#REF!, IF(B139="Smartwatch",#REF!,#REF!)))))</f>
        <v>#REF!</v>
      </c>
      <c r="O139" s="50" t="e">
        <f>M139-N139</f>
        <v>#REF!</v>
      </c>
      <c r="P139" s="51">
        <f>K139/((F139+M139)/2)</f>
        <v>8.7894736842105257</v>
      </c>
      <c r="Q139" s="15">
        <v>10</v>
      </c>
      <c r="R139" s="15">
        <v>0.92030425985081099</v>
      </c>
      <c r="S139" s="52">
        <v>32.5805222479609</v>
      </c>
    </row>
    <row r="140" spans="1:26" x14ac:dyDescent="0.15">
      <c r="A140" s="15">
        <v>1</v>
      </c>
      <c r="B140" s="15" t="s">
        <v>10</v>
      </c>
      <c r="C140" s="46" t="str">
        <f>IF(B140="Smartphone", "Electronics", IF(B140="Laptop", "Computing", IF(B140="Tablet", "Mobile", IF(B140="Smartwatch", "Wearables", IF(B140="Headphones", "Audio", "Photography")))))</f>
        <v>Electronics</v>
      </c>
      <c r="D140" s="47">
        <v>44166</v>
      </c>
      <c r="E140" s="48" t="str">
        <f>IF(OR(MONTH(D140)=9, MONTH(D140)=10, MONTH(D140)=11), "Spring",
 IF(OR(MONTH(D140)=12, MONTH(D140)=1, MONTH(D140)=2), "Summer",
 IF(OR(MONTH(D140)=3, MONTH(D140)=4, MONTH(D140)=5), "Autumn",
 IF(OR(MONTH(D140)=6, MONTH(D140)=7, MONTH(D140)=8), "Winter", "Unknown"
))))</f>
        <v>Summer</v>
      </c>
      <c r="F140" s="15">
        <v>72</v>
      </c>
      <c r="G140" s="15">
        <v>245</v>
      </c>
      <c r="H140" s="46">
        <f>F140+G140</f>
        <v>317</v>
      </c>
      <c r="I140" s="49">
        <v>396</v>
      </c>
      <c r="J140" s="46">
        <f t="shared" si="2"/>
        <v>-79</v>
      </c>
      <c r="K140" s="15">
        <v>184</v>
      </c>
      <c r="L140" s="15">
        <f>H140-K140</f>
        <v>133</v>
      </c>
      <c r="M140" s="15">
        <v>61</v>
      </c>
      <c r="N140" s="50" t="e">
        <f>IF(B140="Camera",#REF!, IF(B140="Headphones",#REF!, IF(B140="Laptop",#REF!, IF(B140="Smartphone",#REF!, IF(B140="Smartwatch",#REF!,#REF!)))))</f>
        <v>#REF!</v>
      </c>
      <c r="O140" s="50" t="e">
        <f>M140-N140</f>
        <v>#REF!</v>
      </c>
      <c r="P140" s="51">
        <f>K140/((F140+M140)/2)</f>
        <v>2.7669172932330826</v>
      </c>
      <c r="Q140" s="15">
        <v>6</v>
      </c>
      <c r="R140" s="15">
        <v>0.96503686529440003</v>
      </c>
      <c r="S140" s="52">
        <v>78.022831992084207</v>
      </c>
      <c r="U140" s="15"/>
      <c r="V140" s="15"/>
      <c r="W140" s="15"/>
      <c r="X140" s="15"/>
      <c r="Y140" s="15"/>
      <c r="Z140" s="15"/>
    </row>
    <row r="141" spans="1:26" x14ac:dyDescent="0.15">
      <c r="A141" s="15">
        <v>2</v>
      </c>
      <c r="B141" s="15" t="s">
        <v>11</v>
      </c>
      <c r="C141" s="46" t="str">
        <f>IF(B141="Smartphone", "Electronics", IF(B141="Laptop", "Computing", IF(B141="Tablet", "Mobile", IF(B141="Smartwatch", "Wearables", IF(B141="Headphones", "Audio", "Photography")))))</f>
        <v>Computing</v>
      </c>
      <c r="D141" s="47">
        <v>44166</v>
      </c>
      <c r="E141" s="48" t="str">
        <f>IF(OR(MONTH(D141)=9, MONTH(D141)=10, MONTH(D141)=11), "Spring",
 IF(OR(MONTH(D141)=12, MONTH(D141)=1, MONTH(D141)=2), "Summer",
 IF(OR(MONTH(D141)=3, MONTH(D141)=4, MONTH(D141)=5), "Autumn",
 IF(OR(MONTH(D141)=6, MONTH(D141)=7, MONTH(D141)=8), "Winter", "Unknown"
))))</f>
        <v>Summer</v>
      </c>
      <c r="F141" s="15">
        <v>15</v>
      </c>
      <c r="G141" s="15">
        <v>360</v>
      </c>
      <c r="H141" s="46">
        <f>F141+G141</f>
        <v>375</v>
      </c>
      <c r="I141" s="49">
        <v>593</v>
      </c>
      <c r="J141" s="46">
        <f t="shared" si="2"/>
        <v>-218</v>
      </c>
      <c r="K141" s="15">
        <v>298</v>
      </c>
      <c r="L141" s="15">
        <f>H141-K141</f>
        <v>77</v>
      </c>
      <c r="M141" s="15">
        <v>62</v>
      </c>
      <c r="N141" s="50" t="e">
        <f>IF(B141="Camera",#REF!, IF(B141="Headphones",#REF!, IF(B141="Laptop",#REF!, IF(B141="Smartphone",#REF!, IF(B141="Smartwatch",#REF!,#REF!)))))</f>
        <v>#REF!</v>
      </c>
      <c r="O141" s="50" t="e">
        <f>M141-N141</f>
        <v>#REF!</v>
      </c>
      <c r="P141" s="51">
        <f>K141/((F141+M141)/2)</f>
        <v>7.7402597402597406</v>
      </c>
      <c r="Q141" s="15">
        <v>14</v>
      </c>
      <c r="R141" s="15">
        <v>0.89068184650615001</v>
      </c>
      <c r="S141" s="52">
        <v>68.242828477636195</v>
      </c>
      <c r="U141" s="15"/>
      <c r="V141" s="15"/>
      <c r="W141" s="15"/>
      <c r="X141" s="15"/>
      <c r="Y141" s="15"/>
      <c r="Z141" s="15"/>
    </row>
    <row r="142" spans="1:26" x14ac:dyDescent="0.15">
      <c r="A142" s="15">
        <v>3</v>
      </c>
      <c r="B142" s="15" t="s">
        <v>12</v>
      </c>
      <c r="C142" s="46" t="str">
        <f>IF(B142="Smartphone", "Electronics", IF(B142="Laptop", "Computing", IF(B142="Tablet", "Mobile", IF(B142="Smartwatch", "Wearables", IF(B142="Headphones", "Audio", "Photography")))))</f>
        <v>Mobile</v>
      </c>
      <c r="D142" s="47">
        <v>44166</v>
      </c>
      <c r="E142" s="48" t="str">
        <f>IF(OR(MONTH(D142)=9, MONTH(D142)=10, MONTH(D142)=11), "Spring",
 IF(OR(MONTH(D142)=12, MONTH(D142)=1, MONTH(D142)=2), "Summer",
 IF(OR(MONTH(D142)=3, MONTH(D142)=4, MONTH(D142)=5), "Autumn",
 IF(OR(MONTH(D142)=6, MONTH(D142)=7, MONTH(D142)=8), "Winter", "Unknown"
))))</f>
        <v>Summer</v>
      </c>
      <c r="F142" s="15">
        <v>90</v>
      </c>
      <c r="G142" s="15">
        <v>311</v>
      </c>
      <c r="H142" s="46">
        <f>F142+G142</f>
        <v>401</v>
      </c>
      <c r="I142" s="49">
        <v>784</v>
      </c>
      <c r="J142" s="46">
        <f t="shared" si="2"/>
        <v>-383</v>
      </c>
      <c r="K142" s="15">
        <v>258</v>
      </c>
      <c r="L142" s="15">
        <f>H142-K142</f>
        <v>143</v>
      </c>
      <c r="M142" s="15">
        <v>53</v>
      </c>
      <c r="N142" s="50" t="e">
        <f>IF(B142="Camera",#REF!, IF(B142="Headphones",#REF!, IF(B142="Laptop",#REF!, IF(B142="Smartphone",#REF!, IF(B142="Smartwatch",#REF!,#REF!)))))</f>
        <v>#REF!</v>
      </c>
      <c r="O142" s="50" t="e">
        <f>M142-N142</f>
        <v>#REF!</v>
      </c>
      <c r="P142" s="51">
        <f>K142/((F142+M142)/2)</f>
        <v>3.6083916083916083</v>
      </c>
      <c r="Q142" s="15">
        <v>4</v>
      </c>
      <c r="R142" s="15">
        <v>1</v>
      </c>
      <c r="S142" s="52">
        <v>36.848570779596699</v>
      </c>
      <c r="U142" s="15"/>
      <c r="V142" s="15"/>
      <c r="W142" s="15"/>
      <c r="X142" s="15"/>
      <c r="Y142" s="15"/>
      <c r="Z142" s="15"/>
    </row>
    <row r="143" spans="1:26" x14ac:dyDescent="0.15">
      <c r="A143" s="15">
        <v>4</v>
      </c>
      <c r="B143" s="15" t="s">
        <v>13</v>
      </c>
      <c r="C143" s="46" t="str">
        <f>IF(B143="Smartphone", "Electronics", IF(B143="Laptop", "Computing", IF(B143="Tablet", "Mobile", IF(B143="Smartwatch", "Wearables", IF(B143="Headphones", "Audio", "Photography")))))</f>
        <v>Wearables</v>
      </c>
      <c r="D143" s="47">
        <v>44166</v>
      </c>
      <c r="E143" s="48" t="str">
        <f>IF(OR(MONTH(D143)=9, MONTH(D143)=10, MONTH(D143)=11), "Spring",
 IF(OR(MONTH(D143)=12, MONTH(D143)=1, MONTH(D143)=2), "Summer",
 IF(OR(MONTH(D143)=3, MONTH(D143)=4, MONTH(D143)=5), "Autumn",
 IF(OR(MONTH(D143)=6, MONTH(D143)=7, MONTH(D143)=8), "Winter", "Unknown"
))))</f>
        <v>Summer</v>
      </c>
      <c r="F143" s="15">
        <v>48</v>
      </c>
      <c r="G143" s="15">
        <v>468</v>
      </c>
      <c r="H143" s="46">
        <f>F143+G143</f>
        <v>516</v>
      </c>
      <c r="I143" s="49">
        <v>482</v>
      </c>
      <c r="J143" s="46">
        <f t="shared" si="2"/>
        <v>34</v>
      </c>
      <c r="K143" s="15">
        <v>453</v>
      </c>
      <c r="L143" s="15">
        <f>H143-K143</f>
        <v>63</v>
      </c>
      <c r="M143" s="15">
        <v>15</v>
      </c>
      <c r="N143" s="50" t="e">
        <f>IF(B143="Camera",#REF!, IF(B143="Headphones",#REF!, IF(B143="Laptop",#REF!, IF(B143="Smartphone",#REF!, IF(B143="Smartwatch",#REF!,#REF!)))))</f>
        <v>#REF!</v>
      </c>
      <c r="O143" s="50" t="e">
        <f>M143-N143</f>
        <v>#REF!</v>
      </c>
      <c r="P143" s="51">
        <f>K143/((F143+M143)/2)</f>
        <v>14.380952380952381</v>
      </c>
      <c r="Q143" s="15">
        <v>28</v>
      </c>
      <c r="R143" s="15">
        <v>0.94090935680529497</v>
      </c>
      <c r="S143" s="52">
        <v>109.474317110116</v>
      </c>
      <c r="U143" s="15"/>
      <c r="V143" s="15"/>
      <c r="W143" s="15"/>
      <c r="X143" s="15"/>
      <c r="Y143" s="15"/>
      <c r="Z143" s="15"/>
    </row>
    <row r="144" spans="1:26" x14ac:dyDescent="0.15">
      <c r="A144" s="15">
        <v>5</v>
      </c>
      <c r="B144" s="15" t="s">
        <v>14</v>
      </c>
      <c r="C144" s="46" t="str">
        <f>IF(B144="Smartphone", "Electronics", IF(B144="Laptop", "Computing", IF(B144="Tablet", "Mobile", IF(B144="Smartwatch", "Wearables", IF(B144="Headphones", "Audio", "Photography")))))</f>
        <v>Audio</v>
      </c>
      <c r="D144" s="47">
        <v>44166</v>
      </c>
      <c r="E144" s="48" t="str">
        <f>IF(OR(MONTH(D144)=9, MONTH(D144)=10, MONTH(D144)=11), "Spring",
 IF(OR(MONTH(D144)=12, MONTH(D144)=1, MONTH(D144)=2), "Summer",
 IF(OR(MONTH(D144)=3, MONTH(D144)=4, MONTH(D144)=5), "Autumn",
 IF(OR(MONTH(D144)=6, MONTH(D144)=7, MONTH(D144)=8), "Winter", "Unknown"
))))</f>
        <v>Summer</v>
      </c>
      <c r="F144" s="15">
        <v>35</v>
      </c>
      <c r="G144" s="15">
        <v>455</v>
      </c>
      <c r="H144" s="46">
        <f>F144+G144</f>
        <v>490</v>
      </c>
      <c r="I144" s="49">
        <v>1707</v>
      </c>
      <c r="J144" s="46">
        <f t="shared" si="2"/>
        <v>-1217</v>
      </c>
      <c r="K144" s="15">
        <v>422</v>
      </c>
      <c r="L144" s="15">
        <f>H144-K144</f>
        <v>68</v>
      </c>
      <c r="M144" s="15">
        <v>33</v>
      </c>
      <c r="N144" s="50" t="e">
        <f>IF(B144="Camera",#REF!, IF(B144="Headphones",#REF!, IF(B144="Laptop",#REF!, IF(B144="Smartphone",#REF!, IF(B144="Smartwatch",#REF!,#REF!)))))</f>
        <v>#REF!</v>
      </c>
      <c r="O144" s="50" t="e">
        <f>M144-N144</f>
        <v>#REF!</v>
      </c>
      <c r="P144" s="51">
        <f>K144/((F144+M144)/2)</f>
        <v>12.411764705882353</v>
      </c>
      <c r="Q144" s="15">
        <v>25</v>
      </c>
      <c r="R144" s="15">
        <v>0.8</v>
      </c>
      <c r="S144" s="52">
        <v>55.858679142285503</v>
      </c>
      <c r="U144" s="15"/>
      <c r="V144" s="15"/>
      <c r="W144" s="15"/>
      <c r="X144" s="15"/>
      <c r="Y144" s="15"/>
      <c r="Z144" s="15"/>
    </row>
    <row r="145" spans="1:26" x14ac:dyDescent="0.15">
      <c r="A145" s="15">
        <v>6</v>
      </c>
      <c r="B145" s="15" t="s">
        <v>15</v>
      </c>
      <c r="C145" s="46" t="str">
        <f>IF(B145="Smartphone", "Electronics", IF(B145="Laptop", "Computing", IF(B145="Tablet", "Mobile", IF(B145="Smartwatch", "Wearables", IF(B145="Headphones", "Audio", "Photography")))))</f>
        <v>Photography</v>
      </c>
      <c r="D145" s="47">
        <v>44166</v>
      </c>
      <c r="E145" s="48" t="str">
        <f>IF(OR(MONTH(D145)=9, MONTH(D145)=10, MONTH(D145)=11), "Spring",
 IF(OR(MONTH(D145)=12, MONTH(D145)=1, MONTH(D145)=2), "Summer",
 IF(OR(MONTH(D145)=3, MONTH(D145)=4, MONTH(D145)=5), "Autumn",
 IF(OR(MONTH(D145)=6, MONTH(D145)=7, MONTH(D145)=8), "Winter", "Unknown"
))))</f>
        <v>Summer</v>
      </c>
      <c r="F145" s="15">
        <v>42</v>
      </c>
      <c r="G145" s="15">
        <v>476</v>
      </c>
      <c r="H145" s="46">
        <f>F145+G145</f>
        <v>518</v>
      </c>
      <c r="I145" s="49">
        <v>100</v>
      </c>
      <c r="J145" s="46">
        <f t="shared" si="2"/>
        <v>418</v>
      </c>
      <c r="K145" s="15">
        <v>100</v>
      </c>
      <c r="L145" s="15">
        <f>H145-K145</f>
        <v>418</v>
      </c>
      <c r="M145" s="15">
        <v>376</v>
      </c>
      <c r="N145" s="50" t="e">
        <f>IF(B145="Camera",#REF!, IF(B145="Headphones",#REF!, IF(B145="Laptop",#REF!, IF(B145="Smartphone",#REF!, IF(B145="Smartwatch",#REF!,#REF!)))))</f>
        <v>#REF!</v>
      </c>
      <c r="O145" s="50" t="e">
        <f>M145-N145</f>
        <v>#REF!</v>
      </c>
      <c r="P145" s="51">
        <f>K145/((F145+M145)/2)</f>
        <v>0.4784688995215311</v>
      </c>
      <c r="Q145" s="15">
        <v>13</v>
      </c>
      <c r="R145" s="15">
        <v>0.99003293149817795</v>
      </c>
      <c r="S145" s="52">
        <v>198.97545583846099</v>
      </c>
    </row>
    <row r="146" spans="1:26" x14ac:dyDescent="0.15">
      <c r="A146" s="15">
        <v>1</v>
      </c>
      <c r="B146" s="15" t="s">
        <v>10</v>
      </c>
      <c r="C146" s="46" t="str">
        <f>IF(B146="Smartphone", "Electronics", IF(B146="Laptop", "Computing", IF(B146="Tablet", "Mobile", IF(B146="Smartwatch", "Wearables", IF(B146="Headphones", "Audio", "Photography")))))</f>
        <v>Electronics</v>
      </c>
      <c r="D146" s="47">
        <v>44197</v>
      </c>
      <c r="E146" s="48" t="str">
        <f>IF(OR(MONTH(D146)=9, MONTH(D146)=10, MONTH(D146)=11), "Spring",
 IF(OR(MONTH(D146)=12, MONTH(D146)=1, MONTH(D146)=2), "Summer",
 IF(OR(MONTH(D146)=3, MONTH(D146)=4, MONTH(D146)=5), "Autumn",
 IF(OR(MONTH(D146)=6, MONTH(D146)=7, MONTH(D146)=8), "Winter", "Unknown"
))))</f>
        <v>Summer</v>
      </c>
      <c r="F146" s="15">
        <v>88</v>
      </c>
      <c r="G146" s="15">
        <v>192</v>
      </c>
      <c r="H146" s="46">
        <f>F146+G146</f>
        <v>280</v>
      </c>
      <c r="I146" s="49">
        <v>557</v>
      </c>
      <c r="J146" s="46">
        <f t="shared" si="2"/>
        <v>-277</v>
      </c>
      <c r="K146" s="15">
        <v>168</v>
      </c>
      <c r="L146" s="15">
        <f>H146-K146</f>
        <v>112</v>
      </c>
      <c r="M146" s="15">
        <v>24</v>
      </c>
      <c r="N146" s="50" t="e">
        <f>IF(B146="Camera",#REF!, IF(B146="Headphones",#REF!, IF(B146="Laptop",#REF!, IF(B146="Smartphone",#REF!, IF(B146="Smartwatch",#REF!,#REF!)))))</f>
        <v>#REF!</v>
      </c>
      <c r="O146" s="50" t="e">
        <f>M146-N146</f>
        <v>#REF!</v>
      </c>
      <c r="P146" s="51">
        <f>K146/((F146+M146)/2)</f>
        <v>3</v>
      </c>
      <c r="Q146" s="15">
        <v>20</v>
      </c>
      <c r="R146" s="15">
        <v>0.86165066949321301</v>
      </c>
      <c r="S146" s="52">
        <v>67.532850004412893</v>
      </c>
      <c r="U146" s="15"/>
      <c r="V146" s="15"/>
      <c r="W146" s="15"/>
      <c r="X146" s="15"/>
      <c r="Y146" s="15"/>
      <c r="Z146" s="15"/>
    </row>
    <row r="147" spans="1:26" x14ac:dyDescent="0.15">
      <c r="A147" s="15">
        <v>2</v>
      </c>
      <c r="B147" s="15" t="s">
        <v>11</v>
      </c>
      <c r="C147" s="46" t="str">
        <f>IF(B147="Smartphone", "Electronics", IF(B147="Laptop", "Computing", IF(B147="Tablet", "Mobile", IF(B147="Smartwatch", "Wearables", IF(B147="Headphones", "Audio", "Photography")))))</f>
        <v>Computing</v>
      </c>
      <c r="D147" s="47">
        <v>44197</v>
      </c>
      <c r="E147" s="48" t="str">
        <f>IF(OR(MONTH(D147)=9, MONTH(D147)=10, MONTH(D147)=11), "Spring",
 IF(OR(MONTH(D147)=12, MONTH(D147)=1, MONTH(D147)=2), "Summer",
 IF(OR(MONTH(D147)=3, MONTH(D147)=4, MONTH(D147)=5), "Autumn",
 IF(OR(MONTH(D147)=6, MONTH(D147)=7, MONTH(D147)=8), "Winter", "Unknown"
))))</f>
        <v>Summer</v>
      </c>
      <c r="F147" s="15">
        <v>118</v>
      </c>
      <c r="G147" s="15">
        <v>391</v>
      </c>
      <c r="H147" s="46">
        <f>F147+G147</f>
        <v>509</v>
      </c>
      <c r="I147" s="49">
        <v>318</v>
      </c>
      <c r="J147" s="46">
        <f t="shared" si="2"/>
        <v>191</v>
      </c>
      <c r="K147" s="15">
        <v>318</v>
      </c>
      <c r="L147" s="15">
        <f>H147-K147</f>
        <v>191</v>
      </c>
      <c r="M147" s="15">
        <v>168</v>
      </c>
      <c r="N147" s="50" t="e">
        <f>IF(B147="Camera",#REF!, IF(B147="Headphones",#REF!, IF(B147="Laptop",#REF!, IF(B147="Smartphone",#REF!, IF(B147="Smartwatch",#REF!,#REF!)))))</f>
        <v>#REF!</v>
      </c>
      <c r="O147" s="50" t="e">
        <f>M147-N147</f>
        <v>#REF!</v>
      </c>
      <c r="P147" s="51">
        <f>K147/((F147+M147)/2)</f>
        <v>2.2237762237762237</v>
      </c>
      <c r="Q147" s="15">
        <v>17</v>
      </c>
      <c r="R147" s="15">
        <v>0.84829494052715304</v>
      </c>
      <c r="S147" s="52">
        <v>121.039390529896</v>
      </c>
      <c r="U147" s="15"/>
      <c r="V147" s="15"/>
      <c r="W147" s="15"/>
      <c r="X147" s="15"/>
      <c r="Y147" s="15"/>
      <c r="Z147" s="15"/>
    </row>
    <row r="148" spans="1:26" x14ac:dyDescent="0.15">
      <c r="A148" s="15">
        <v>3</v>
      </c>
      <c r="B148" s="15" t="s">
        <v>12</v>
      </c>
      <c r="C148" s="46" t="str">
        <f>IF(B148="Smartphone", "Electronics", IF(B148="Laptop", "Computing", IF(B148="Tablet", "Mobile", IF(B148="Smartwatch", "Wearables", IF(B148="Headphones", "Audio", "Photography")))))</f>
        <v>Mobile</v>
      </c>
      <c r="D148" s="47">
        <v>44197</v>
      </c>
      <c r="E148" s="48" t="str">
        <f>IF(OR(MONTH(D148)=9, MONTH(D148)=10, MONTH(D148)=11), "Spring",
 IF(OR(MONTH(D148)=12, MONTH(D148)=1, MONTH(D148)=2), "Summer",
 IF(OR(MONTH(D148)=3, MONTH(D148)=4, MONTH(D148)=5), "Autumn",
 IF(OR(MONTH(D148)=6, MONTH(D148)=7, MONTH(D148)=8), "Winter", "Unknown"
))))</f>
        <v>Summer</v>
      </c>
      <c r="F148" s="15">
        <v>71</v>
      </c>
      <c r="G148" s="15">
        <v>365</v>
      </c>
      <c r="H148" s="46">
        <f>F148+G148</f>
        <v>436</v>
      </c>
      <c r="I148" s="49">
        <v>676</v>
      </c>
      <c r="J148" s="46">
        <f t="shared" si="2"/>
        <v>-240</v>
      </c>
      <c r="K148" s="15">
        <v>321</v>
      </c>
      <c r="L148" s="15">
        <f>H148-K148</f>
        <v>115</v>
      </c>
      <c r="M148" s="15">
        <v>44</v>
      </c>
      <c r="N148" s="50" t="e">
        <f>IF(B148="Camera",#REF!, IF(B148="Headphones",#REF!, IF(B148="Laptop",#REF!, IF(B148="Smartphone",#REF!, IF(B148="Smartwatch",#REF!,#REF!)))))</f>
        <v>#REF!</v>
      </c>
      <c r="O148" s="50" t="e">
        <f>M148-N148</f>
        <v>#REF!</v>
      </c>
      <c r="P148" s="51">
        <f>K148/((F148+M148)/2)</f>
        <v>5.5826086956521737</v>
      </c>
      <c r="Q148" s="15">
        <v>23</v>
      </c>
      <c r="R148" s="15">
        <v>0.92618855549164403</v>
      </c>
      <c r="S148" s="52">
        <v>34.3407144615962</v>
      </c>
      <c r="U148" s="15"/>
      <c r="V148" s="15"/>
      <c r="W148" s="15"/>
      <c r="X148" s="15"/>
      <c r="Y148" s="15"/>
      <c r="Z148" s="15"/>
    </row>
    <row r="149" spans="1:26" x14ac:dyDescent="0.15">
      <c r="A149" s="15">
        <v>4</v>
      </c>
      <c r="B149" s="15" t="s">
        <v>13</v>
      </c>
      <c r="C149" s="46" t="str">
        <f>IF(B149="Smartphone", "Electronics", IF(B149="Laptop", "Computing", IF(B149="Tablet", "Mobile", IF(B149="Smartwatch", "Wearables", IF(B149="Headphones", "Audio", "Photography")))))</f>
        <v>Wearables</v>
      </c>
      <c r="D149" s="47">
        <v>44197</v>
      </c>
      <c r="E149" s="48" t="str">
        <f>IF(OR(MONTH(D149)=9, MONTH(D149)=10, MONTH(D149)=11), "Spring",
 IF(OR(MONTH(D149)=12, MONTH(D149)=1, MONTH(D149)=2), "Summer",
 IF(OR(MONTH(D149)=3, MONTH(D149)=4, MONTH(D149)=5), "Autumn",
 IF(OR(MONTH(D149)=6, MONTH(D149)=7, MONTH(D149)=8), "Winter", "Unknown"
))))</f>
        <v>Summer</v>
      </c>
      <c r="F149" s="15">
        <v>40</v>
      </c>
      <c r="G149" s="15">
        <v>150</v>
      </c>
      <c r="H149" s="46">
        <f>F149+G149</f>
        <v>190</v>
      </c>
      <c r="I149" s="49">
        <v>681</v>
      </c>
      <c r="J149" s="46">
        <f t="shared" si="2"/>
        <v>-491</v>
      </c>
      <c r="K149" s="15">
        <v>92</v>
      </c>
      <c r="L149" s="15">
        <f>H149-K149</f>
        <v>98</v>
      </c>
      <c r="M149" s="15">
        <v>85</v>
      </c>
      <c r="N149" s="50" t="e">
        <f>IF(B149="Camera",#REF!, IF(B149="Headphones",#REF!, IF(B149="Laptop",#REF!, IF(B149="Smartphone",#REF!, IF(B149="Smartwatch",#REF!,#REF!)))))</f>
        <v>#REF!</v>
      </c>
      <c r="O149" s="50" t="e">
        <f>M149-N149</f>
        <v>#REF!</v>
      </c>
      <c r="P149" s="51">
        <f>K149/((F149+M149)/2)</f>
        <v>1.472</v>
      </c>
      <c r="Q149" s="15">
        <v>7</v>
      </c>
      <c r="R149" s="15">
        <v>0.81309097638317196</v>
      </c>
      <c r="S149" s="52">
        <v>64.809087332883706</v>
      </c>
      <c r="U149" s="15"/>
      <c r="V149" s="15"/>
      <c r="W149" s="15"/>
      <c r="X149" s="15"/>
      <c r="Y149" s="15"/>
      <c r="Z149" s="15"/>
    </row>
    <row r="150" spans="1:26" x14ac:dyDescent="0.15">
      <c r="A150" s="15">
        <v>5</v>
      </c>
      <c r="B150" s="15" t="s">
        <v>14</v>
      </c>
      <c r="C150" s="46" t="str">
        <f>IF(B150="Smartphone", "Electronics", IF(B150="Laptop", "Computing", IF(B150="Tablet", "Mobile", IF(B150="Smartwatch", "Wearables", IF(B150="Headphones", "Audio", "Photography")))))</f>
        <v>Audio</v>
      </c>
      <c r="D150" s="47">
        <v>44197</v>
      </c>
      <c r="E150" s="48" t="str">
        <f>IF(OR(MONTH(D150)=9, MONTH(D150)=10, MONTH(D150)=11), "Spring",
 IF(OR(MONTH(D150)=12, MONTH(D150)=1, MONTH(D150)=2), "Summer",
 IF(OR(MONTH(D150)=3, MONTH(D150)=4, MONTH(D150)=5), "Autumn",
 IF(OR(MONTH(D150)=6, MONTH(D150)=7, MONTH(D150)=8), "Winter", "Unknown"
))))</f>
        <v>Summer</v>
      </c>
      <c r="F150" s="15">
        <v>72</v>
      </c>
      <c r="G150" s="15">
        <v>293</v>
      </c>
      <c r="H150" s="46">
        <f>F150+G150</f>
        <v>365</v>
      </c>
      <c r="I150" s="49">
        <v>1204</v>
      </c>
      <c r="J150" s="46">
        <f t="shared" si="2"/>
        <v>-839</v>
      </c>
      <c r="K150" s="15">
        <v>281</v>
      </c>
      <c r="L150" s="15">
        <f>H150-K150</f>
        <v>84</v>
      </c>
      <c r="M150" s="15">
        <v>12</v>
      </c>
      <c r="N150" s="50" t="e">
        <f>IF(B150="Camera",#REF!, IF(B150="Headphones",#REF!, IF(B150="Laptop",#REF!, IF(B150="Smartphone",#REF!, IF(B150="Smartwatch",#REF!,#REF!)))))</f>
        <v>#REF!</v>
      </c>
      <c r="O150" s="50" t="e">
        <f>M150-N150</f>
        <v>#REF!</v>
      </c>
      <c r="P150" s="51">
        <f>K150/((F150+M150)/2)</f>
        <v>6.6904761904761907</v>
      </c>
      <c r="Q150" s="15">
        <v>4</v>
      </c>
      <c r="R150" s="15">
        <v>0.86522653843391895</v>
      </c>
      <c r="S150" s="52">
        <v>66.801345449583593</v>
      </c>
      <c r="U150" s="15"/>
      <c r="V150" s="15"/>
      <c r="W150" s="15"/>
      <c r="X150" s="15"/>
      <c r="Y150" s="15"/>
      <c r="Z150" s="15"/>
    </row>
    <row r="151" spans="1:26" x14ac:dyDescent="0.15">
      <c r="A151" s="15">
        <v>6</v>
      </c>
      <c r="B151" s="15" t="s">
        <v>15</v>
      </c>
      <c r="C151" s="46" t="str">
        <f>IF(B151="Smartphone", "Electronics", IF(B151="Laptop", "Computing", IF(B151="Tablet", "Mobile", IF(B151="Smartwatch", "Wearables", IF(B151="Headphones", "Audio", "Photography")))))</f>
        <v>Photography</v>
      </c>
      <c r="D151" s="47">
        <v>44197</v>
      </c>
      <c r="E151" s="48" t="str">
        <f>IF(OR(MONTH(D151)=9, MONTH(D151)=10, MONTH(D151)=11), "Spring",
 IF(OR(MONTH(D151)=12, MONTH(D151)=1, MONTH(D151)=2), "Summer",
 IF(OR(MONTH(D151)=3, MONTH(D151)=4, MONTH(D151)=5), "Autumn",
 IF(OR(MONTH(D151)=6, MONTH(D151)=7, MONTH(D151)=8), "Winter", "Unknown"
))))</f>
        <v>Summer</v>
      </c>
      <c r="F151" s="15">
        <v>96</v>
      </c>
      <c r="G151" s="15">
        <v>61</v>
      </c>
      <c r="H151" s="46">
        <f>F151+G151</f>
        <v>157</v>
      </c>
      <c r="I151" s="49">
        <v>720</v>
      </c>
      <c r="J151" s="46">
        <f t="shared" si="2"/>
        <v>-563</v>
      </c>
      <c r="K151" s="15">
        <v>9</v>
      </c>
      <c r="L151" s="15">
        <f>H151-K151</f>
        <v>148</v>
      </c>
      <c r="M151" s="15">
        <v>52</v>
      </c>
      <c r="N151" s="50" t="e">
        <f>IF(B151="Camera",#REF!, IF(B151="Headphones",#REF!, IF(B151="Laptop",#REF!, IF(B151="Smartphone",#REF!, IF(B151="Smartwatch",#REF!,#REF!)))))</f>
        <v>#REF!</v>
      </c>
      <c r="O151" s="50" t="e">
        <f>M151-N151</f>
        <v>#REF!</v>
      </c>
      <c r="P151" s="51">
        <f>K151/((F151+M151)/2)</f>
        <v>0.12162162162162163</v>
      </c>
      <c r="Q151" s="15">
        <v>29</v>
      </c>
      <c r="R151" s="15">
        <v>0.97785492703121002</v>
      </c>
      <c r="S151" s="52">
        <v>44.424320410784397</v>
      </c>
    </row>
    <row r="152" spans="1:26" x14ac:dyDescent="0.15">
      <c r="A152" s="15">
        <v>1</v>
      </c>
      <c r="B152" s="15" t="s">
        <v>10</v>
      </c>
      <c r="C152" s="46" t="str">
        <f>IF(B152="Smartphone", "Electronics", IF(B152="Laptop", "Computing", IF(B152="Tablet", "Mobile", IF(B152="Smartwatch", "Wearables", IF(B152="Headphones", "Audio", "Photography")))))</f>
        <v>Electronics</v>
      </c>
      <c r="D152" s="47">
        <v>44228</v>
      </c>
      <c r="E152" s="48" t="str">
        <f>IF(OR(MONTH(D152)=9, MONTH(D152)=10, MONTH(D152)=11), "Spring",
 IF(OR(MONTH(D152)=12, MONTH(D152)=1, MONTH(D152)=2), "Summer",
 IF(OR(MONTH(D152)=3, MONTH(D152)=4, MONTH(D152)=5), "Autumn",
 IF(OR(MONTH(D152)=6, MONTH(D152)=7, MONTH(D152)=8), "Winter", "Unknown"
))))</f>
        <v>Summer</v>
      </c>
      <c r="F152" s="15">
        <v>87</v>
      </c>
      <c r="G152" s="15">
        <v>288</v>
      </c>
      <c r="H152" s="46">
        <f>F152+G152</f>
        <v>375</v>
      </c>
      <c r="I152" s="49">
        <v>581</v>
      </c>
      <c r="J152" s="46">
        <f t="shared" si="2"/>
        <v>-206</v>
      </c>
      <c r="K152" s="15">
        <v>213</v>
      </c>
      <c r="L152" s="15">
        <f>H152-K152</f>
        <v>162</v>
      </c>
      <c r="M152" s="15">
        <v>75</v>
      </c>
      <c r="N152" s="50" t="e">
        <f>IF(B152="Camera",#REF!, IF(B152="Headphones",#REF!, IF(B152="Laptop",#REF!, IF(B152="Smartphone",#REF!, IF(B152="Smartwatch",#REF!,#REF!)))))</f>
        <v>#REF!</v>
      </c>
      <c r="O152" s="50" t="e">
        <f>M152-N152</f>
        <v>#REF!</v>
      </c>
      <c r="P152" s="51">
        <f>K152/((F152+M152)/2)</f>
        <v>2.6296296296296298</v>
      </c>
      <c r="Q152" s="15">
        <v>14</v>
      </c>
      <c r="R152" s="15">
        <v>0.92781087894987502</v>
      </c>
      <c r="S152" s="52">
        <v>75.4583143191349</v>
      </c>
      <c r="U152" s="15"/>
      <c r="V152" s="15"/>
      <c r="W152" s="15"/>
      <c r="X152" s="15"/>
      <c r="Y152" s="15"/>
      <c r="Z152" s="15"/>
    </row>
    <row r="153" spans="1:26" x14ac:dyDescent="0.15">
      <c r="A153" s="15">
        <v>2</v>
      </c>
      <c r="B153" s="15" t="s">
        <v>11</v>
      </c>
      <c r="C153" s="46" t="str">
        <f>IF(B153="Smartphone", "Electronics", IF(B153="Laptop", "Computing", IF(B153="Tablet", "Mobile", IF(B153="Smartwatch", "Wearables", IF(B153="Headphones", "Audio", "Photography")))))</f>
        <v>Computing</v>
      </c>
      <c r="D153" s="47">
        <v>44228</v>
      </c>
      <c r="E153" s="48" t="str">
        <f>IF(OR(MONTH(D153)=9, MONTH(D153)=10, MONTH(D153)=11), "Spring",
 IF(OR(MONTH(D153)=12, MONTH(D153)=1, MONTH(D153)=2), "Summer",
 IF(OR(MONTH(D153)=3, MONTH(D153)=4, MONTH(D153)=5), "Autumn",
 IF(OR(MONTH(D153)=6, MONTH(D153)=7, MONTH(D153)=8), "Winter", "Unknown"
))))</f>
        <v>Summer</v>
      </c>
      <c r="F153" s="15">
        <v>80</v>
      </c>
      <c r="G153" s="15">
        <v>98</v>
      </c>
      <c r="H153" s="46">
        <f>F153+G153</f>
        <v>178</v>
      </c>
      <c r="I153" s="49">
        <v>314</v>
      </c>
      <c r="J153" s="46">
        <f t="shared" si="2"/>
        <v>-136</v>
      </c>
      <c r="K153" s="15">
        <v>63</v>
      </c>
      <c r="L153" s="15">
        <f>H153-K153</f>
        <v>115</v>
      </c>
      <c r="M153" s="15">
        <v>47</v>
      </c>
      <c r="N153" s="50" t="e">
        <f>IF(B153="Camera",#REF!, IF(B153="Headphones",#REF!, IF(B153="Laptop",#REF!, IF(B153="Smartphone",#REF!, IF(B153="Smartwatch",#REF!,#REF!)))))</f>
        <v>#REF!</v>
      </c>
      <c r="O153" s="50" t="e">
        <f>M153-N153</f>
        <v>#REF!</v>
      </c>
      <c r="P153" s="51">
        <f>K153/((F153+M153)/2)</f>
        <v>0.99212598425196852</v>
      </c>
      <c r="Q153" s="15">
        <v>3</v>
      </c>
      <c r="R153" s="15">
        <v>0.94061198904696097</v>
      </c>
      <c r="S153" s="52">
        <v>141.38193603373</v>
      </c>
      <c r="U153" s="15"/>
      <c r="V153" s="15"/>
      <c r="W153" s="15"/>
      <c r="X153" s="15"/>
      <c r="Y153" s="15"/>
      <c r="Z153" s="15"/>
    </row>
    <row r="154" spans="1:26" x14ac:dyDescent="0.15">
      <c r="A154" s="15">
        <v>3</v>
      </c>
      <c r="B154" s="15" t="s">
        <v>12</v>
      </c>
      <c r="C154" s="46" t="str">
        <f>IF(B154="Smartphone", "Electronics", IF(B154="Laptop", "Computing", IF(B154="Tablet", "Mobile", IF(B154="Smartwatch", "Wearables", IF(B154="Headphones", "Audio", "Photography")))))</f>
        <v>Mobile</v>
      </c>
      <c r="D154" s="47">
        <v>44228</v>
      </c>
      <c r="E154" s="48" t="str">
        <f>IF(OR(MONTH(D154)=9, MONTH(D154)=10, MONTH(D154)=11), "Spring",
 IF(OR(MONTH(D154)=12, MONTH(D154)=1, MONTH(D154)=2), "Summer",
 IF(OR(MONTH(D154)=3, MONTH(D154)=4, MONTH(D154)=5), "Autumn",
 IF(OR(MONTH(D154)=6, MONTH(D154)=7, MONTH(D154)=8), "Winter", "Unknown"
))))</f>
        <v>Summer</v>
      </c>
      <c r="F154" s="15">
        <v>84</v>
      </c>
      <c r="G154" s="15">
        <v>91</v>
      </c>
      <c r="H154" s="46">
        <f>F154+G154</f>
        <v>175</v>
      </c>
      <c r="I154" s="49">
        <v>466</v>
      </c>
      <c r="J154" s="46">
        <f t="shared" si="2"/>
        <v>-291</v>
      </c>
      <c r="K154" s="15">
        <v>28</v>
      </c>
      <c r="L154" s="15">
        <f>H154-K154</f>
        <v>147</v>
      </c>
      <c r="M154" s="15">
        <v>92</v>
      </c>
      <c r="N154" s="50" t="e">
        <f>IF(B154="Camera",#REF!, IF(B154="Headphones",#REF!, IF(B154="Laptop",#REF!, IF(B154="Smartphone",#REF!, IF(B154="Smartwatch",#REF!,#REF!)))))</f>
        <v>#REF!</v>
      </c>
      <c r="O154" s="50" t="e">
        <f>M154-N154</f>
        <v>#REF!</v>
      </c>
      <c r="P154" s="51">
        <f>K154/((F154+M154)/2)</f>
        <v>0.31818181818181818</v>
      </c>
      <c r="Q154" s="15">
        <v>24</v>
      </c>
      <c r="R154" s="15">
        <v>0.86715446997512602</v>
      </c>
      <c r="S154" s="52">
        <v>89.501818690247106</v>
      </c>
      <c r="U154" s="15"/>
      <c r="V154" s="15"/>
      <c r="W154" s="15"/>
      <c r="X154" s="15"/>
      <c r="Y154" s="15"/>
      <c r="Z154" s="15"/>
    </row>
    <row r="155" spans="1:26" x14ac:dyDescent="0.15">
      <c r="A155" s="15">
        <v>4</v>
      </c>
      <c r="B155" s="15" t="s">
        <v>13</v>
      </c>
      <c r="C155" s="46" t="str">
        <f>IF(B155="Smartphone", "Electronics", IF(B155="Laptop", "Computing", IF(B155="Tablet", "Mobile", IF(B155="Smartwatch", "Wearables", IF(B155="Headphones", "Audio", "Photography")))))</f>
        <v>Wearables</v>
      </c>
      <c r="D155" s="47">
        <v>44228</v>
      </c>
      <c r="E155" s="48" t="str">
        <f>IF(OR(MONTH(D155)=9, MONTH(D155)=10, MONTH(D155)=11), "Spring",
 IF(OR(MONTH(D155)=12, MONTH(D155)=1, MONTH(D155)=2), "Summer",
 IF(OR(MONTH(D155)=3, MONTH(D155)=4, MONTH(D155)=5), "Autumn",
 IF(OR(MONTH(D155)=6, MONTH(D155)=7, MONTH(D155)=8), "Winter", "Unknown"
))))</f>
        <v>Summer</v>
      </c>
      <c r="F155" s="15">
        <v>75</v>
      </c>
      <c r="G155" s="15">
        <v>215</v>
      </c>
      <c r="H155" s="46">
        <f>F155+G155</f>
        <v>290</v>
      </c>
      <c r="I155" s="49">
        <v>813</v>
      </c>
      <c r="J155" s="46">
        <f t="shared" si="2"/>
        <v>-523</v>
      </c>
      <c r="K155" s="15">
        <v>261</v>
      </c>
      <c r="L155" s="15">
        <f>H155-K155</f>
        <v>29</v>
      </c>
      <c r="M155" s="15">
        <v>87</v>
      </c>
      <c r="N155" s="50" t="e">
        <f>IF(B155="Camera",#REF!, IF(B155="Headphones",#REF!, IF(B155="Laptop",#REF!, IF(B155="Smartphone",#REF!, IF(B155="Smartwatch",#REF!,#REF!)))))</f>
        <v>#REF!</v>
      </c>
      <c r="O155" s="50" t="e">
        <f>M155-N155</f>
        <v>#REF!</v>
      </c>
      <c r="P155" s="51">
        <f>K155/((F155+M155)/2)</f>
        <v>3.2222222222222223</v>
      </c>
      <c r="Q155" s="15">
        <v>5</v>
      </c>
      <c r="R155" s="15">
        <v>0.82308150005159397</v>
      </c>
      <c r="S155" s="52">
        <v>47.894323331075803</v>
      </c>
      <c r="U155" s="15"/>
      <c r="V155" s="15"/>
      <c r="W155" s="15"/>
      <c r="X155" s="15"/>
      <c r="Y155" s="15"/>
      <c r="Z155" s="15"/>
    </row>
    <row r="156" spans="1:26" x14ac:dyDescent="0.15">
      <c r="A156" s="15">
        <v>5</v>
      </c>
      <c r="B156" s="15" t="s">
        <v>14</v>
      </c>
      <c r="C156" s="46" t="str">
        <f>IF(B156="Smartphone", "Electronics", IF(B156="Laptop", "Computing", IF(B156="Tablet", "Mobile", IF(B156="Smartwatch", "Wearables", IF(B156="Headphones", "Audio", "Photography")))))</f>
        <v>Audio</v>
      </c>
      <c r="D156" s="47">
        <v>44228</v>
      </c>
      <c r="E156" s="48" t="str">
        <f>IF(OR(MONTH(D156)=9, MONTH(D156)=10, MONTH(D156)=11), "Spring",
 IF(OR(MONTH(D156)=12, MONTH(D156)=1, MONTH(D156)=2), "Summer",
 IF(OR(MONTH(D156)=3, MONTH(D156)=4, MONTH(D156)=5), "Autumn",
 IF(OR(MONTH(D156)=6, MONTH(D156)=7, MONTH(D156)=8), "Winter", "Unknown"
))))</f>
        <v>Summer</v>
      </c>
      <c r="F156" s="15">
        <v>28</v>
      </c>
      <c r="G156" s="15">
        <v>131</v>
      </c>
      <c r="H156" s="46">
        <f>F156+G156</f>
        <v>159</v>
      </c>
      <c r="I156" s="49">
        <v>1245</v>
      </c>
      <c r="J156" s="46">
        <f t="shared" si="2"/>
        <v>-1086</v>
      </c>
      <c r="K156" s="15">
        <v>124</v>
      </c>
      <c r="L156" s="15">
        <f>H156-K156</f>
        <v>35</v>
      </c>
      <c r="M156" s="15">
        <v>7</v>
      </c>
      <c r="N156" s="50" t="e">
        <f>IF(B156="Camera",#REF!, IF(B156="Headphones",#REF!, IF(B156="Laptop",#REF!, IF(B156="Smartphone",#REF!, IF(B156="Smartwatch",#REF!,#REF!)))))</f>
        <v>#REF!</v>
      </c>
      <c r="O156" s="50" t="e">
        <f>M156-N156</f>
        <v>#REF!</v>
      </c>
      <c r="P156" s="51">
        <f>K156/((F156+M156)/2)</f>
        <v>7.0857142857142854</v>
      </c>
      <c r="Q156" s="15">
        <v>16</v>
      </c>
      <c r="R156" s="15">
        <v>0.93534087146568601</v>
      </c>
      <c r="S156" s="52">
        <v>29.698729868128002</v>
      </c>
      <c r="U156" s="15"/>
      <c r="V156" s="15"/>
      <c r="W156" s="15"/>
      <c r="X156" s="15"/>
      <c r="Y156" s="15"/>
      <c r="Z156" s="15"/>
    </row>
    <row r="157" spans="1:26" x14ac:dyDescent="0.15">
      <c r="A157" s="15">
        <v>6</v>
      </c>
      <c r="B157" s="15" t="s">
        <v>15</v>
      </c>
      <c r="C157" s="46" t="str">
        <f>IF(B157="Smartphone", "Electronics", IF(B157="Laptop", "Computing", IF(B157="Tablet", "Mobile", IF(B157="Smartwatch", "Wearables", IF(B157="Headphones", "Audio", "Photography")))))</f>
        <v>Photography</v>
      </c>
      <c r="D157" s="47">
        <v>44228</v>
      </c>
      <c r="E157" s="48" t="str">
        <f>IF(OR(MONTH(D157)=9, MONTH(D157)=10, MONTH(D157)=11), "Spring",
 IF(OR(MONTH(D157)=12, MONTH(D157)=1, MONTH(D157)=2), "Summer",
 IF(OR(MONTH(D157)=3, MONTH(D157)=4, MONTH(D157)=5), "Autumn",
 IF(OR(MONTH(D157)=6, MONTH(D157)=7, MONTH(D157)=8), "Winter", "Unknown"
))))</f>
        <v>Summer</v>
      </c>
      <c r="F157" s="15">
        <v>51</v>
      </c>
      <c r="G157" s="15">
        <v>478</v>
      </c>
      <c r="H157" s="46">
        <f>F157+G157</f>
        <v>529</v>
      </c>
      <c r="I157" s="49">
        <v>443</v>
      </c>
      <c r="J157" s="46">
        <f t="shared" si="2"/>
        <v>86</v>
      </c>
      <c r="K157" s="15">
        <v>443</v>
      </c>
      <c r="L157" s="15">
        <f>H157-K157</f>
        <v>86</v>
      </c>
      <c r="M157" s="15">
        <v>35</v>
      </c>
      <c r="N157" s="50" t="e">
        <f>IF(B157="Camera",#REF!, IF(B157="Headphones",#REF!, IF(B157="Laptop",#REF!, IF(B157="Smartphone",#REF!, IF(B157="Smartwatch",#REF!,#REF!)))))</f>
        <v>#REF!</v>
      </c>
      <c r="O157" s="50" t="e">
        <f>M157-N157</f>
        <v>#REF!</v>
      </c>
      <c r="P157" s="51">
        <f>K157/((F157+M157)/2)</f>
        <v>10.302325581395349</v>
      </c>
      <c r="Q157" s="15">
        <v>26</v>
      </c>
      <c r="R157" s="15">
        <v>0.94651280781209701</v>
      </c>
      <c r="S157" s="52">
        <v>59.190266063401303</v>
      </c>
    </row>
    <row r="158" spans="1:26" x14ac:dyDescent="0.15">
      <c r="A158" s="15">
        <v>1</v>
      </c>
      <c r="B158" s="15" t="s">
        <v>10</v>
      </c>
      <c r="C158" s="46" t="str">
        <f>IF(B158="Smartphone", "Electronics", IF(B158="Laptop", "Computing", IF(B158="Tablet", "Mobile", IF(B158="Smartwatch", "Wearables", IF(B158="Headphones", "Audio", "Photography")))))</f>
        <v>Electronics</v>
      </c>
      <c r="D158" s="47">
        <v>44256</v>
      </c>
      <c r="E158" s="48" t="str">
        <f>IF(OR(MONTH(D158)=9, MONTH(D158)=10, MONTH(D158)=11), "Spring",
 IF(OR(MONTH(D158)=12, MONTH(D158)=1, MONTH(D158)=2), "Summer",
 IF(OR(MONTH(D158)=3, MONTH(D158)=4, MONTH(D158)=5), "Autumn",
 IF(OR(MONTH(D158)=6, MONTH(D158)=7, MONTH(D158)=8), "Winter", "Unknown"
))))</f>
        <v>Autumn</v>
      </c>
      <c r="F158" s="15">
        <v>44</v>
      </c>
      <c r="G158" s="15">
        <v>340</v>
      </c>
      <c r="H158" s="46">
        <f>F158+G158</f>
        <v>384</v>
      </c>
      <c r="I158" s="49">
        <v>438</v>
      </c>
      <c r="J158" s="46">
        <f t="shared" si="2"/>
        <v>-54</v>
      </c>
      <c r="K158" s="15">
        <v>302</v>
      </c>
      <c r="L158" s="15">
        <f>H158-K158</f>
        <v>82</v>
      </c>
      <c r="M158" s="15">
        <v>38</v>
      </c>
      <c r="N158" s="50" t="e">
        <f>IF(B158="Camera",#REF!, IF(B158="Headphones",#REF!, IF(B158="Laptop",#REF!, IF(B158="Smartphone",#REF!, IF(B158="Smartwatch",#REF!,#REF!)))))</f>
        <v>#REF!</v>
      </c>
      <c r="O158" s="50" t="e">
        <f>M158-N158</f>
        <v>#REF!</v>
      </c>
      <c r="P158" s="51">
        <f>K158/((F158+M158)/2)</f>
        <v>7.3658536585365857</v>
      </c>
      <c r="Q158" s="15">
        <v>23</v>
      </c>
      <c r="R158" s="15">
        <v>0.94424966930405496</v>
      </c>
      <c r="S158" s="52">
        <v>95.132957793332494</v>
      </c>
      <c r="U158" s="15"/>
      <c r="V158" s="15"/>
      <c r="W158" s="15"/>
      <c r="X158" s="15"/>
      <c r="Y158" s="15"/>
      <c r="Z158" s="15"/>
    </row>
    <row r="159" spans="1:26" x14ac:dyDescent="0.15">
      <c r="A159" s="15">
        <v>2</v>
      </c>
      <c r="B159" s="15" t="s">
        <v>11</v>
      </c>
      <c r="C159" s="46" t="str">
        <f>IF(B159="Smartphone", "Electronics", IF(B159="Laptop", "Computing", IF(B159="Tablet", "Mobile", IF(B159="Smartwatch", "Wearables", IF(B159="Headphones", "Audio", "Photography")))))</f>
        <v>Computing</v>
      </c>
      <c r="D159" s="47">
        <v>44256</v>
      </c>
      <c r="E159" s="48" t="str">
        <f>IF(OR(MONTH(D159)=9, MONTH(D159)=10, MONTH(D159)=11), "Spring",
 IF(OR(MONTH(D159)=12, MONTH(D159)=1, MONTH(D159)=2), "Summer",
 IF(OR(MONTH(D159)=3, MONTH(D159)=4, MONTH(D159)=5), "Autumn",
 IF(OR(MONTH(D159)=6, MONTH(D159)=7, MONTH(D159)=8), "Winter", "Unknown"
))))</f>
        <v>Autumn</v>
      </c>
      <c r="F159" s="15">
        <v>3</v>
      </c>
      <c r="G159" s="15">
        <v>207</v>
      </c>
      <c r="H159" s="46">
        <f>F159+G159</f>
        <v>210</v>
      </c>
      <c r="I159" s="49">
        <v>737</v>
      </c>
      <c r="J159" s="46">
        <f t="shared" si="2"/>
        <v>-527</v>
      </c>
      <c r="K159" s="15">
        <v>156</v>
      </c>
      <c r="L159" s="15">
        <f>H159-K159</f>
        <v>54</v>
      </c>
      <c r="M159" s="15">
        <v>51</v>
      </c>
      <c r="N159" s="50" t="e">
        <f>IF(B159="Camera",#REF!, IF(B159="Headphones",#REF!, IF(B159="Laptop",#REF!, IF(B159="Smartphone",#REF!, IF(B159="Smartwatch",#REF!,#REF!)))))</f>
        <v>#REF!</v>
      </c>
      <c r="O159" s="50" t="e">
        <f>M159-N159</f>
        <v>#REF!</v>
      </c>
      <c r="P159" s="51">
        <f>K159/((F159+M159)/2)</f>
        <v>5.7777777777777777</v>
      </c>
      <c r="Q159" s="15">
        <v>20</v>
      </c>
      <c r="R159" s="15">
        <v>0.91045346150589301</v>
      </c>
      <c r="S159" s="52">
        <v>46.3109528624218</v>
      </c>
      <c r="U159" s="15"/>
      <c r="V159" s="15"/>
      <c r="W159" s="15"/>
      <c r="X159" s="15"/>
      <c r="Y159" s="15"/>
      <c r="Z159" s="15"/>
    </row>
    <row r="160" spans="1:26" x14ac:dyDescent="0.15">
      <c r="A160" s="15">
        <v>3</v>
      </c>
      <c r="B160" s="15" t="s">
        <v>12</v>
      </c>
      <c r="C160" s="46" t="str">
        <f>IF(B160="Smartphone", "Electronics", IF(B160="Laptop", "Computing", IF(B160="Tablet", "Mobile", IF(B160="Smartwatch", "Wearables", IF(B160="Headphones", "Audio", "Photography")))))</f>
        <v>Mobile</v>
      </c>
      <c r="D160" s="47">
        <v>44256</v>
      </c>
      <c r="E160" s="48" t="str">
        <f>IF(OR(MONTH(D160)=9, MONTH(D160)=10, MONTH(D160)=11), "Spring",
 IF(OR(MONTH(D160)=12, MONTH(D160)=1, MONTH(D160)=2), "Summer",
 IF(OR(MONTH(D160)=3, MONTH(D160)=4, MONTH(D160)=5), "Autumn",
 IF(OR(MONTH(D160)=6, MONTH(D160)=7, MONTH(D160)=8), "Winter", "Unknown"
))))</f>
        <v>Autumn</v>
      </c>
      <c r="F160" s="15">
        <v>152</v>
      </c>
      <c r="G160" s="15">
        <v>265</v>
      </c>
      <c r="H160" s="46">
        <f>F160+G160</f>
        <v>417</v>
      </c>
      <c r="I160" s="49">
        <v>535</v>
      </c>
      <c r="J160" s="46">
        <f t="shared" si="2"/>
        <v>-118</v>
      </c>
      <c r="K160" s="15">
        <v>464</v>
      </c>
      <c r="L160" s="15">
        <f>H160-K160</f>
        <v>-47</v>
      </c>
      <c r="M160" s="15">
        <v>50</v>
      </c>
      <c r="N160" s="50" t="e">
        <f>IF(B160="Camera",#REF!, IF(B160="Headphones",#REF!, IF(B160="Laptop",#REF!, IF(B160="Smartphone",#REF!, IF(B160="Smartwatch",#REF!,#REF!)))))</f>
        <v>#REF!</v>
      </c>
      <c r="O160" s="50" t="e">
        <f>M160-N160</f>
        <v>#REF!</v>
      </c>
      <c r="P160" s="51">
        <f>K160/((F160+M160)/2)</f>
        <v>4.5940594059405937</v>
      </c>
      <c r="Q160" s="15">
        <v>4</v>
      </c>
      <c r="R160" s="15">
        <v>0.85164658782639602</v>
      </c>
      <c r="S160" s="52">
        <v>77.333980467971898</v>
      </c>
      <c r="U160" s="15"/>
      <c r="V160" s="15"/>
      <c r="W160" s="15"/>
      <c r="X160" s="15"/>
      <c r="Y160" s="15"/>
      <c r="Z160" s="15"/>
    </row>
    <row r="161" spans="1:26" x14ac:dyDescent="0.15">
      <c r="A161" s="15">
        <v>4</v>
      </c>
      <c r="B161" s="15" t="s">
        <v>13</v>
      </c>
      <c r="C161" s="46" t="str">
        <f>IF(B161="Smartphone", "Electronics", IF(B161="Laptop", "Computing", IF(B161="Tablet", "Mobile", IF(B161="Smartwatch", "Wearables", IF(B161="Headphones", "Audio", "Photography")))))</f>
        <v>Wearables</v>
      </c>
      <c r="D161" s="47">
        <v>44256</v>
      </c>
      <c r="E161" s="48" t="str">
        <f>IF(OR(MONTH(D161)=9, MONTH(D161)=10, MONTH(D161)=11), "Spring",
 IF(OR(MONTH(D161)=12, MONTH(D161)=1, MONTH(D161)=2), "Summer",
 IF(OR(MONTH(D161)=3, MONTH(D161)=4, MONTH(D161)=5), "Autumn",
 IF(OR(MONTH(D161)=6, MONTH(D161)=7, MONTH(D161)=8), "Winter", "Unknown"
))))</f>
        <v>Autumn</v>
      </c>
      <c r="F161" s="15">
        <v>41</v>
      </c>
      <c r="G161" s="15">
        <v>207</v>
      </c>
      <c r="H161" s="46">
        <f>F161+G161</f>
        <v>248</v>
      </c>
      <c r="I161" s="49">
        <v>598</v>
      </c>
      <c r="J161" s="46">
        <f t="shared" si="2"/>
        <v>-350</v>
      </c>
      <c r="K161" s="15">
        <v>178</v>
      </c>
      <c r="L161" s="15">
        <f>H161-K161</f>
        <v>70</v>
      </c>
      <c r="M161" s="15">
        <v>29</v>
      </c>
      <c r="N161" s="50" t="e">
        <f>IF(B161="Camera",#REF!, IF(B161="Headphones",#REF!, IF(B161="Laptop",#REF!, IF(B161="Smartphone",#REF!, IF(B161="Smartwatch",#REF!,#REF!)))))</f>
        <v>#REF!</v>
      </c>
      <c r="O161" s="50" t="e">
        <f>M161-N161</f>
        <v>#REF!</v>
      </c>
      <c r="P161" s="51">
        <f>K161/((F161+M161)/2)</f>
        <v>5.0857142857142854</v>
      </c>
      <c r="Q161" s="15">
        <v>24</v>
      </c>
      <c r="R161" s="15">
        <v>1</v>
      </c>
      <c r="S161" s="52">
        <v>50.6281303575972</v>
      </c>
      <c r="U161" s="15"/>
      <c r="V161" s="15"/>
      <c r="W161" s="15"/>
      <c r="X161" s="15"/>
      <c r="Y161" s="15"/>
      <c r="Z161" s="15"/>
    </row>
    <row r="162" spans="1:26" x14ac:dyDescent="0.15">
      <c r="A162" s="15">
        <v>5</v>
      </c>
      <c r="B162" s="15" t="s">
        <v>14</v>
      </c>
      <c r="C162" s="46" t="str">
        <f>IF(B162="Smartphone", "Electronics", IF(B162="Laptop", "Computing", IF(B162="Tablet", "Mobile", IF(B162="Smartwatch", "Wearables", IF(B162="Headphones", "Audio", "Photography")))))</f>
        <v>Audio</v>
      </c>
      <c r="D162" s="47">
        <v>44256</v>
      </c>
      <c r="E162" s="48" t="str">
        <f>IF(OR(MONTH(D162)=9, MONTH(D162)=10, MONTH(D162)=11), "Spring",
 IF(OR(MONTH(D162)=12, MONTH(D162)=1, MONTH(D162)=2), "Summer",
 IF(OR(MONTH(D162)=3, MONTH(D162)=4, MONTH(D162)=5), "Autumn",
 IF(OR(MONTH(D162)=6, MONTH(D162)=7, MONTH(D162)=8), "Winter", "Unknown"
))))</f>
        <v>Autumn</v>
      </c>
      <c r="F162" s="15">
        <v>99</v>
      </c>
      <c r="G162" s="15">
        <v>183</v>
      </c>
      <c r="H162" s="46">
        <f>F162+G162</f>
        <v>282</v>
      </c>
      <c r="I162" s="49">
        <v>1358</v>
      </c>
      <c r="J162" s="46">
        <f t="shared" si="2"/>
        <v>-1076</v>
      </c>
      <c r="K162" s="15">
        <v>139</v>
      </c>
      <c r="L162" s="15">
        <f>H162-K162</f>
        <v>143</v>
      </c>
      <c r="M162" s="15">
        <v>44</v>
      </c>
      <c r="N162" s="50" t="e">
        <f>IF(B162="Camera",#REF!, IF(B162="Headphones",#REF!, IF(B162="Laptop",#REF!, IF(B162="Smartphone",#REF!, IF(B162="Smartwatch",#REF!,#REF!)))))</f>
        <v>#REF!</v>
      </c>
      <c r="O162" s="50" t="e">
        <f>M162-N162</f>
        <v>#REF!</v>
      </c>
      <c r="P162" s="51">
        <f>K162/((F162+M162)/2)</f>
        <v>1.944055944055944</v>
      </c>
      <c r="Q162" s="15">
        <v>24</v>
      </c>
      <c r="R162" s="15">
        <v>0.92398937214920795</v>
      </c>
      <c r="S162" s="52">
        <v>25.367471795186798</v>
      </c>
      <c r="U162" s="15"/>
      <c r="V162" s="15"/>
      <c r="W162" s="15"/>
      <c r="X162" s="15"/>
      <c r="Y162" s="15"/>
      <c r="Z162" s="15"/>
    </row>
    <row r="163" spans="1:26" x14ac:dyDescent="0.15">
      <c r="A163" s="15">
        <v>6</v>
      </c>
      <c r="B163" s="15" t="s">
        <v>15</v>
      </c>
      <c r="C163" s="46" t="str">
        <f>IF(B163="Smartphone", "Electronics", IF(B163="Laptop", "Computing", IF(B163="Tablet", "Mobile", IF(B163="Smartwatch", "Wearables", IF(B163="Headphones", "Audio", "Photography")))))</f>
        <v>Photography</v>
      </c>
      <c r="D163" s="47">
        <v>44256</v>
      </c>
      <c r="E163" s="48" t="str">
        <f>IF(OR(MONTH(D163)=9, MONTH(D163)=10, MONTH(D163)=11), "Spring",
 IF(OR(MONTH(D163)=12, MONTH(D163)=1, MONTH(D163)=2), "Summer",
 IF(OR(MONTH(D163)=3, MONTH(D163)=4, MONTH(D163)=5), "Autumn",
 IF(OR(MONTH(D163)=6, MONTH(D163)=7, MONTH(D163)=8), "Winter", "Unknown"
))))</f>
        <v>Autumn</v>
      </c>
      <c r="F163" s="15">
        <v>15</v>
      </c>
      <c r="G163" s="15">
        <v>116</v>
      </c>
      <c r="H163" s="46">
        <f>F163+G163</f>
        <v>131</v>
      </c>
      <c r="I163" s="49">
        <v>904</v>
      </c>
      <c r="J163" s="46">
        <f t="shared" si="2"/>
        <v>-773</v>
      </c>
      <c r="K163" s="15">
        <v>73</v>
      </c>
      <c r="L163" s="15">
        <f>H163-K163</f>
        <v>58</v>
      </c>
      <c r="M163" s="15">
        <v>43</v>
      </c>
      <c r="N163" s="50" t="e">
        <f>IF(B163="Camera",#REF!, IF(B163="Headphones",#REF!, IF(B163="Laptop",#REF!, IF(B163="Smartphone",#REF!, IF(B163="Smartwatch",#REF!,#REF!)))))</f>
        <v>#REF!</v>
      </c>
      <c r="O163" s="50" t="e">
        <f>M163-N163</f>
        <v>#REF!</v>
      </c>
      <c r="P163" s="51">
        <f>K163/((F163+M163)/2)</f>
        <v>2.5172413793103448</v>
      </c>
      <c r="Q163" s="15">
        <v>2</v>
      </c>
      <c r="R163" s="15">
        <v>0.891305667920541</v>
      </c>
      <c r="S163" s="52">
        <v>24.171766521637501</v>
      </c>
    </row>
    <row r="164" spans="1:26" x14ac:dyDescent="0.15">
      <c r="A164" s="15">
        <v>1</v>
      </c>
      <c r="B164" s="15" t="s">
        <v>10</v>
      </c>
      <c r="C164" s="46" t="str">
        <f>IF(B164="Smartphone", "Electronics", IF(B164="Laptop", "Computing", IF(B164="Tablet", "Mobile", IF(B164="Smartwatch", "Wearables", IF(B164="Headphones", "Audio", "Photography")))))</f>
        <v>Electronics</v>
      </c>
      <c r="D164" s="47">
        <v>44287</v>
      </c>
      <c r="E164" s="48" t="str">
        <f>IF(OR(MONTH(D164)=9, MONTH(D164)=10, MONTH(D164)=11), "Spring",
 IF(OR(MONTH(D164)=12, MONTH(D164)=1, MONTH(D164)=2), "Summer",
 IF(OR(MONTH(D164)=3, MONTH(D164)=4, MONTH(D164)=5), "Autumn",
 IF(OR(MONTH(D164)=6, MONTH(D164)=7, MONTH(D164)=8), "Winter", "Unknown"
))))</f>
        <v>Autumn</v>
      </c>
      <c r="F164" s="15">
        <v>185</v>
      </c>
      <c r="G164" s="15">
        <v>385</v>
      </c>
      <c r="H164" s="46">
        <f>F164+G164</f>
        <v>570</v>
      </c>
      <c r="I164" s="49">
        <v>473</v>
      </c>
      <c r="J164" s="46">
        <f t="shared" si="2"/>
        <v>97</v>
      </c>
      <c r="K164" s="15">
        <v>473</v>
      </c>
      <c r="L164" s="15">
        <f>H164-K164</f>
        <v>97</v>
      </c>
      <c r="M164" s="15">
        <v>239</v>
      </c>
      <c r="N164" s="50" t="e">
        <f>IF(B164="Camera",#REF!, IF(B164="Headphones",#REF!, IF(B164="Laptop",#REF!, IF(B164="Smartphone",#REF!, IF(B164="Smartwatch",#REF!,#REF!)))))</f>
        <v>#REF!</v>
      </c>
      <c r="O164" s="50" t="e">
        <f>M164-N164</f>
        <v>#REF!</v>
      </c>
      <c r="P164" s="51">
        <f>K164/((F164+M164)/2)</f>
        <v>2.2311320754716979</v>
      </c>
      <c r="Q164" s="15">
        <v>18</v>
      </c>
      <c r="R164" s="15">
        <v>0.89152753812583097</v>
      </c>
      <c r="S164" s="52">
        <v>16.3765348559605</v>
      </c>
      <c r="U164" s="15"/>
      <c r="V164" s="15"/>
      <c r="W164" s="15"/>
      <c r="X164" s="15"/>
      <c r="Y164" s="15"/>
      <c r="Z164" s="15"/>
    </row>
    <row r="165" spans="1:26" x14ac:dyDescent="0.15">
      <c r="A165" s="15">
        <v>2</v>
      </c>
      <c r="B165" s="15" t="s">
        <v>11</v>
      </c>
      <c r="C165" s="46" t="str">
        <f>IF(B165="Smartphone", "Electronics", IF(B165="Laptop", "Computing", IF(B165="Tablet", "Mobile", IF(B165="Smartwatch", "Wearables", IF(B165="Headphones", "Audio", "Photography")))))</f>
        <v>Computing</v>
      </c>
      <c r="D165" s="47">
        <v>44287</v>
      </c>
      <c r="E165" s="48" t="str">
        <f>IF(OR(MONTH(D165)=9, MONTH(D165)=10, MONTH(D165)=11), "Spring",
 IF(OR(MONTH(D165)=12, MONTH(D165)=1, MONTH(D165)=2), "Summer",
 IF(OR(MONTH(D165)=3, MONTH(D165)=4, MONTH(D165)=5), "Autumn",
 IF(OR(MONTH(D165)=6, MONTH(D165)=7, MONTH(D165)=8), "Winter", "Unknown"
))))</f>
        <v>Autumn</v>
      </c>
      <c r="F165" s="15">
        <v>59</v>
      </c>
      <c r="G165" s="15">
        <v>56</v>
      </c>
      <c r="H165" s="46">
        <f>F165+G165</f>
        <v>115</v>
      </c>
      <c r="I165" s="49">
        <v>635</v>
      </c>
      <c r="J165" s="46">
        <f t="shared" si="2"/>
        <v>-520</v>
      </c>
      <c r="K165" s="15">
        <v>14</v>
      </c>
      <c r="L165" s="15">
        <f>H165-K165</f>
        <v>101</v>
      </c>
      <c r="M165" s="15">
        <v>42</v>
      </c>
      <c r="N165" s="50" t="e">
        <f>IF(B165="Camera",#REF!, IF(B165="Headphones",#REF!, IF(B165="Laptop",#REF!, IF(B165="Smartphone",#REF!, IF(B165="Smartwatch",#REF!,#REF!)))))</f>
        <v>#REF!</v>
      </c>
      <c r="O165" s="50" t="e">
        <f>M165-N165</f>
        <v>#REF!</v>
      </c>
      <c r="P165" s="51">
        <f>K165/((F165+M165)/2)</f>
        <v>0.27722772277227725</v>
      </c>
      <c r="Q165" s="15">
        <v>19</v>
      </c>
      <c r="R165" s="15">
        <v>0.90747987390367701</v>
      </c>
      <c r="S165" s="52">
        <v>41.509458509858497</v>
      </c>
      <c r="U165" s="15"/>
      <c r="V165" s="15"/>
      <c r="W165" s="15"/>
      <c r="X165" s="15"/>
      <c r="Y165" s="15"/>
      <c r="Z165" s="15"/>
    </row>
    <row r="166" spans="1:26" x14ac:dyDescent="0.15">
      <c r="A166" s="15">
        <v>3</v>
      </c>
      <c r="B166" s="15" t="s">
        <v>12</v>
      </c>
      <c r="C166" s="46" t="str">
        <f>IF(B166="Smartphone", "Electronics", IF(B166="Laptop", "Computing", IF(B166="Tablet", "Mobile", IF(B166="Smartwatch", "Wearables", IF(B166="Headphones", "Audio", "Photography")))))</f>
        <v>Mobile</v>
      </c>
      <c r="D166" s="47">
        <v>44287</v>
      </c>
      <c r="E166" s="48" t="str">
        <f>IF(OR(MONTH(D166)=9, MONTH(D166)=10, MONTH(D166)=11), "Spring",
 IF(OR(MONTH(D166)=12, MONTH(D166)=1, MONTH(D166)=2), "Summer",
 IF(OR(MONTH(D166)=3, MONTH(D166)=4, MONTH(D166)=5), "Autumn",
 IF(OR(MONTH(D166)=6, MONTH(D166)=7, MONTH(D166)=8), "Winter", "Unknown"
))))</f>
        <v>Autumn</v>
      </c>
      <c r="F166" s="15">
        <v>60</v>
      </c>
      <c r="G166" s="15">
        <v>485</v>
      </c>
      <c r="H166" s="46">
        <f>F166+G166</f>
        <v>545</v>
      </c>
      <c r="I166" s="49">
        <v>588</v>
      </c>
      <c r="J166" s="46">
        <f t="shared" si="2"/>
        <v>-43</v>
      </c>
      <c r="K166" s="15">
        <v>471</v>
      </c>
      <c r="L166" s="15">
        <f>H166-K166</f>
        <v>74</v>
      </c>
      <c r="M166" s="15">
        <v>14</v>
      </c>
      <c r="N166" s="50" t="e">
        <f>IF(B166="Camera",#REF!, IF(B166="Headphones",#REF!, IF(B166="Laptop",#REF!, IF(B166="Smartphone",#REF!, IF(B166="Smartwatch",#REF!,#REF!)))))</f>
        <v>#REF!</v>
      </c>
      <c r="O166" s="50" t="e">
        <f>M166-N166</f>
        <v>#REF!</v>
      </c>
      <c r="P166" s="51">
        <f>K166/((F166+M166)/2)</f>
        <v>12.72972972972973</v>
      </c>
      <c r="Q166" s="15">
        <v>28</v>
      </c>
      <c r="R166" s="15">
        <v>0.95348041310789899</v>
      </c>
      <c r="S166" s="52">
        <v>48.196564936772702</v>
      </c>
      <c r="U166" s="15"/>
      <c r="V166" s="15"/>
      <c r="W166" s="15"/>
      <c r="X166" s="15"/>
      <c r="Y166" s="15"/>
      <c r="Z166" s="15"/>
    </row>
    <row r="167" spans="1:26" x14ac:dyDescent="0.15">
      <c r="A167" s="15">
        <v>4</v>
      </c>
      <c r="B167" s="15" t="s">
        <v>13</v>
      </c>
      <c r="C167" s="46" t="str">
        <f>IF(B167="Smartphone", "Electronics", IF(B167="Laptop", "Computing", IF(B167="Tablet", "Mobile", IF(B167="Smartwatch", "Wearables", IF(B167="Headphones", "Audio", "Photography")))))</f>
        <v>Wearables</v>
      </c>
      <c r="D167" s="47">
        <v>44287</v>
      </c>
      <c r="E167" s="48" t="str">
        <f>IF(OR(MONTH(D167)=9, MONTH(D167)=10, MONTH(D167)=11), "Spring",
 IF(OR(MONTH(D167)=12, MONTH(D167)=1, MONTH(D167)=2), "Summer",
 IF(OR(MONTH(D167)=3, MONTH(D167)=4, MONTH(D167)=5), "Autumn",
 IF(OR(MONTH(D167)=6, MONTH(D167)=7, MONTH(D167)=8), "Winter", "Unknown"
))))</f>
        <v>Autumn</v>
      </c>
      <c r="F167" s="15">
        <v>34</v>
      </c>
      <c r="G167" s="15">
        <v>63</v>
      </c>
      <c r="H167" s="46">
        <f>F167+G167</f>
        <v>97</v>
      </c>
      <c r="I167" s="49">
        <v>592</v>
      </c>
      <c r="J167" s="46">
        <f t="shared" si="2"/>
        <v>-495</v>
      </c>
      <c r="K167" s="15">
        <v>0</v>
      </c>
      <c r="L167" s="15">
        <f>H167-K167</f>
        <v>97</v>
      </c>
      <c r="M167" s="15">
        <v>63</v>
      </c>
      <c r="N167" s="50" t="e">
        <f>IF(B167="Camera",#REF!, IF(B167="Headphones",#REF!, IF(B167="Laptop",#REF!, IF(B167="Smartphone",#REF!, IF(B167="Smartwatch",#REF!,#REF!)))))</f>
        <v>#REF!</v>
      </c>
      <c r="O167" s="50" t="e">
        <f>M167-N167</f>
        <v>#REF!</v>
      </c>
      <c r="P167" s="51">
        <f>K167/((F167+M167)/2)</f>
        <v>0</v>
      </c>
      <c r="Q167" s="15">
        <v>28</v>
      </c>
      <c r="R167" s="15">
        <v>0.90948140616527196</v>
      </c>
      <c r="S167" s="52">
        <v>69.494627002111102</v>
      </c>
      <c r="U167" s="15"/>
      <c r="V167" s="15"/>
      <c r="W167" s="15"/>
      <c r="X167" s="15"/>
      <c r="Y167" s="15"/>
      <c r="Z167" s="15"/>
    </row>
    <row r="168" spans="1:26" x14ac:dyDescent="0.15">
      <c r="A168" s="15">
        <v>5</v>
      </c>
      <c r="B168" s="15" t="s">
        <v>14</v>
      </c>
      <c r="C168" s="46" t="str">
        <f>IF(B168="Smartphone", "Electronics", IF(B168="Laptop", "Computing", IF(B168="Tablet", "Mobile", IF(B168="Smartwatch", "Wearables", IF(B168="Headphones", "Audio", "Photography")))))</f>
        <v>Audio</v>
      </c>
      <c r="D168" s="47">
        <v>44287</v>
      </c>
      <c r="E168" s="48" t="str">
        <f>IF(OR(MONTH(D168)=9, MONTH(D168)=10, MONTH(D168)=11), "Spring",
 IF(OR(MONTH(D168)=12, MONTH(D168)=1, MONTH(D168)=2), "Summer",
 IF(OR(MONTH(D168)=3, MONTH(D168)=4, MONTH(D168)=5), "Autumn",
 IF(OR(MONTH(D168)=6, MONTH(D168)=7, MONTH(D168)=8), "Winter", "Unknown"
))))</f>
        <v>Autumn</v>
      </c>
      <c r="F168" s="15">
        <v>63</v>
      </c>
      <c r="G168" s="15">
        <v>122</v>
      </c>
      <c r="H168" s="46">
        <f>F168+G168</f>
        <v>185</v>
      </c>
      <c r="I168" s="49">
        <v>933</v>
      </c>
      <c r="J168" s="46">
        <f t="shared" si="2"/>
        <v>-748</v>
      </c>
      <c r="K168" s="15">
        <v>111</v>
      </c>
      <c r="L168" s="15">
        <f>H168-K168</f>
        <v>74</v>
      </c>
      <c r="M168" s="15">
        <v>11</v>
      </c>
      <c r="N168" s="50" t="e">
        <f>IF(B168="Camera",#REF!, IF(B168="Headphones",#REF!, IF(B168="Laptop",#REF!, IF(B168="Smartphone",#REF!, IF(B168="Smartwatch",#REF!,#REF!)))))</f>
        <v>#REF!</v>
      </c>
      <c r="O168" s="50" t="e">
        <f>M168-N168</f>
        <v>#REF!</v>
      </c>
      <c r="P168" s="51">
        <f>K168/((F168+M168)/2)</f>
        <v>3</v>
      </c>
      <c r="Q168" s="15">
        <v>19</v>
      </c>
      <c r="R168" s="15">
        <v>0.94292565767237402</v>
      </c>
      <c r="S168" s="52">
        <v>39.328348386585198</v>
      </c>
      <c r="U168" s="15"/>
      <c r="V168" s="15"/>
      <c r="W168" s="15"/>
      <c r="X168" s="15"/>
      <c r="Y168" s="15"/>
      <c r="Z168" s="15"/>
    </row>
    <row r="169" spans="1:26" x14ac:dyDescent="0.15">
      <c r="A169" s="15">
        <v>6</v>
      </c>
      <c r="B169" s="15" t="s">
        <v>15</v>
      </c>
      <c r="C169" s="46" t="str">
        <f>IF(B169="Smartphone", "Electronics", IF(B169="Laptop", "Computing", IF(B169="Tablet", "Mobile", IF(B169="Smartwatch", "Wearables", IF(B169="Headphones", "Audio", "Photography")))))</f>
        <v>Photography</v>
      </c>
      <c r="D169" s="47">
        <v>44287</v>
      </c>
      <c r="E169" s="48" t="str">
        <f>IF(OR(MONTH(D169)=9, MONTH(D169)=10, MONTH(D169)=11), "Spring",
 IF(OR(MONTH(D169)=12, MONTH(D169)=1, MONTH(D169)=2), "Summer",
 IF(OR(MONTH(D169)=3, MONTH(D169)=4, MONTH(D169)=5), "Autumn",
 IF(OR(MONTH(D169)=6, MONTH(D169)=7, MONTH(D169)=8), "Winter", "Unknown"
))))</f>
        <v>Autumn</v>
      </c>
      <c r="F169" s="15">
        <v>9</v>
      </c>
      <c r="G169" s="15">
        <v>448</v>
      </c>
      <c r="H169" s="46">
        <f>F169+G169</f>
        <v>457</v>
      </c>
      <c r="I169" s="49">
        <v>431</v>
      </c>
      <c r="J169" s="46">
        <f t="shared" si="2"/>
        <v>26</v>
      </c>
      <c r="K169" s="15">
        <v>431</v>
      </c>
      <c r="L169" s="15">
        <f>H169-K169</f>
        <v>26</v>
      </c>
      <c r="M169" s="15">
        <v>17</v>
      </c>
      <c r="N169" s="50" t="e">
        <f>IF(B169="Camera",#REF!, IF(B169="Headphones",#REF!, IF(B169="Laptop",#REF!, IF(B169="Smartphone",#REF!, IF(B169="Smartwatch",#REF!,#REF!)))))</f>
        <v>#REF!</v>
      </c>
      <c r="O169" s="50" t="e">
        <f>M169-N169</f>
        <v>#REF!</v>
      </c>
      <c r="P169" s="51">
        <f>K169/((F169+M169)/2)</f>
        <v>33.153846153846153</v>
      </c>
      <c r="Q169" s="15">
        <v>17</v>
      </c>
      <c r="R169" s="15">
        <v>0.90756988439466002</v>
      </c>
      <c r="S169" s="52">
        <v>114.03048179450199</v>
      </c>
    </row>
    <row r="170" spans="1:26" x14ac:dyDescent="0.15">
      <c r="A170" s="15">
        <v>1</v>
      </c>
      <c r="B170" s="15" t="s">
        <v>10</v>
      </c>
      <c r="C170" s="46" t="str">
        <f>IF(B170="Smartphone", "Electronics", IF(B170="Laptop", "Computing", IF(B170="Tablet", "Mobile", IF(B170="Smartwatch", "Wearables", IF(B170="Headphones", "Audio", "Photography")))))</f>
        <v>Electronics</v>
      </c>
      <c r="D170" s="47">
        <v>44317</v>
      </c>
      <c r="E170" s="48" t="str">
        <f>IF(OR(MONTH(D170)=9, MONTH(D170)=10, MONTH(D170)=11), "Spring",
 IF(OR(MONTH(D170)=12, MONTH(D170)=1, MONTH(D170)=2), "Summer",
 IF(OR(MONTH(D170)=3, MONTH(D170)=4, MONTH(D170)=5), "Autumn",
 IF(OR(MONTH(D170)=6, MONTH(D170)=7, MONTH(D170)=8), "Winter", "Unknown"
))))</f>
        <v>Autumn</v>
      </c>
      <c r="F170" s="15">
        <v>52</v>
      </c>
      <c r="G170" s="15">
        <v>454</v>
      </c>
      <c r="H170" s="46">
        <f>F170+G170</f>
        <v>506</v>
      </c>
      <c r="I170" s="49">
        <v>451</v>
      </c>
      <c r="J170" s="46">
        <f t="shared" si="2"/>
        <v>55</v>
      </c>
      <c r="K170" s="15">
        <v>451</v>
      </c>
      <c r="L170" s="15">
        <f>H170-K170</f>
        <v>55</v>
      </c>
      <c r="M170" s="15">
        <v>3</v>
      </c>
      <c r="N170" s="50" t="e">
        <f>IF(B170="Camera",#REF!, IF(B170="Headphones",#REF!, IF(B170="Laptop",#REF!, IF(B170="Smartphone",#REF!, IF(B170="Smartwatch",#REF!,#REF!)))))</f>
        <v>#REF!</v>
      </c>
      <c r="O170" s="50" t="e">
        <f>M170-N170</f>
        <v>#REF!</v>
      </c>
      <c r="P170" s="51">
        <f>K170/((F170+M170)/2)</f>
        <v>16.399999999999999</v>
      </c>
      <c r="Q170" s="15">
        <v>14</v>
      </c>
      <c r="R170" s="15">
        <v>0.89438230542648101</v>
      </c>
      <c r="S170" s="52">
        <v>87.155573940035794</v>
      </c>
      <c r="U170" s="15"/>
      <c r="V170" s="15"/>
      <c r="W170" s="15"/>
      <c r="X170" s="15"/>
      <c r="Y170" s="15"/>
      <c r="Z170" s="15"/>
    </row>
    <row r="171" spans="1:26" x14ac:dyDescent="0.15">
      <c r="A171" s="15">
        <v>2</v>
      </c>
      <c r="B171" s="15" t="s">
        <v>11</v>
      </c>
      <c r="C171" s="46" t="str">
        <f>IF(B171="Smartphone", "Electronics", IF(B171="Laptop", "Computing", IF(B171="Tablet", "Mobile", IF(B171="Smartwatch", "Wearables", IF(B171="Headphones", "Audio", "Photography")))))</f>
        <v>Computing</v>
      </c>
      <c r="D171" s="47">
        <v>44317</v>
      </c>
      <c r="E171" s="48" t="str">
        <f>IF(OR(MONTH(D171)=9, MONTH(D171)=10, MONTH(D171)=11), "Spring",
 IF(OR(MONTH(D171)=12, MONTH(D171)=1, MONTH(D171)=2), "Summer",
 IF(OR(MONTH(D171)=3, MONTH(D171)=4, MONTH(D171)=5), "Autumn",
 IF(OR(MONTH(D171)=6, MONTH(D171)=7, MONTH(D171)=8), "Winter", "Unknown"
))))</f>
        <v>Autumn</v>
      </c>
      <c r="F171" s="15">
        <v>32</v>
      </c>
      <c r="G171" s="15">
        <v>212</v>
      </c>
      <c r="H171" s="46">
        <f>F171+G171</f>
        <v>244</v>
      </c>
      <c r="I171" s="49">
        <v>580</v>
      </c>
      <c r="J171" s="46">
        <f t="shared" si="2"/>
        <v>-336</v>
      </c>
      <c r="K171" s="15">
        <v>309</v>
      </c>
      <c r="L171" s="15">
        <f>H171-K171</f>
        <v>-65</v>
      </c>
      <c r="M171" s="15">
        <v>21</v>
      </c>
      <c r="N171" s="50" t="e">
        <f>IF(B171="Camera",#REF!, IF(B171="Headphones",#REF!, IF(B171="Laptop",#REF!, IF(B171="Smartphone",#REF!, IF(B171="Smartwatch",#REF!,#REF!)))))</f>
        <v>#REF!</v>
      </c>
      <c r="O171" s="50" t="e">
        <f>M171-N171</f>
        <v>#REF!</v>
      </c>
      <c r="P171" s="51">
        <f>K171/((F171+M171)/2)</f>
        <v>11.660377358490566</v>
      </c>
      <c r="Q171" s="15">
        <v>19</v>
      </c>
      <c r="R171" s="15">
        <v>0.93206251966641895</v>
      </c>
      <c r="S171" s="52">
        <v>88.369807386620806</v>
      </c>
      <c r="U171" s="15"/>
      <c r="V171" s="15"/>
      <c r="W171" s="15"/>
      <c r="X171" s="15"/>
      <c r="Y171" s="15"/>
      <c r="Z171" s="15"/>
    </row>
    <row r="172" spans="1:26" x14ac:dyDescent="0.15">
      <c r="A172" s="15">
        <v>3</v>
      </c>
      <c r="B172" s="15" t="s">
        <v>12</v>
      </c>
      <c r="C172" s="46" t="str">
        <f>IF(B172="Smartphone", "Electronics", IF(B172="Laptop", "Computing", IF(B172="Tablet", "Mobile", IF(B172="Smartwatch", "Wearables", IF(B172="Headphones", "Audio", "Photography")))))</f>
        <v>Mobile</v>
      </c>
      <c r="D172" s="47">
        <v>44317</v>
      </c>
      <c r="E172" s="48" t="str">
        <f>IF(OR(MONTH(D172)=9, MONTH(D172)=10, MONTH(D172)=11), "Spring",
 IF(OR(MONTH(D172)=12, MONTH(D172)=1, MONTH(D172)=2), "Summer",
 IF(OR(MONTH(D172)=3, MONTH(D172)=4, MONTH(D172)=5), "Autumn",
 IF(OR(MONTH(D172)=6, MONTH(D172)=7, MONTH(D172)=8), "Winter", "Unknown"
))))</f>
        <v>Autumn</v>
      </c>
      <c r="F172" s="15">
        <v>2</v>
      </c>
      <c r="G172" s="15">
        <v>115</v>
      </c>
      <c r="H172" s="46">
        <f>F172+G172</f>
        <v>117</v>
      </c>
      <c r="I172" s="49">
        <v>601</v>
      </c>
      <c r="J172" s="46">
        <f t="shared" si="2"/>
        <v>-484</v>
      </c>
      <c r="K172" s="15">
        <v>150</v>
      </c>
      <c r="L172" s="15">
        <f>H172-K172</f>
        <v>-33</v>
      </c>
      <c r="M172" s="15">
        <v>6</v>
      </c>
      <c r="N172" s="50" t="e">
        <f>IF(B172="Camera",#REF!, IF(B172="Headphones",#REF!, IF(B172="Laptop",#REF!, IF(B172="Smartphone",#REF!, IF(B172="Smartwatch",#REF!,#REF!)))))</f>
        <v>#REF!</v>
      </c>
      <c r="O172" s="50" t="e">
        <f>M172-N172</f>
        <v>#REF!</v>
      </c>
      <c r="P172" s="51">
        <f>K172/((F172+M172)/2)</f>
        <v>37.5</v>
      </c>
      <c r="Q172" s="15">
        <v>22</v>
      </c>
      <c r="R172" s="15">
        <v>0.93016430168368902</v>
      </c>
      <c r="S172" s="52">
        <v>52.193070106154899</v>
      </c>
      <c r="U172" s="15"/>
      <c r="V172" s="15"/>
      <c r="W172" s="15"/>
      <c r="X172" s="15"/>
      <c r="Y172" s="15"/>
      <c r="Z172" s="15"/>
    </row>
    <row r="173" spans="1:26" x14ac:dyDescent="0.15">
      <c r="A173" s="15">
        <v>4</v>
      </c>
      <c r="B173" s="15" t="s">
        <v>13</v>
      </c>
      <c r="C173" s="46" t="str">
        <f>IF(B173="Smartphone", "Electronics", IF(B173="Laptop", "Computing", IF(B173="Tablet", "Mobile", IF(B173="Smartwatch", "Wearables", IF(B173="Headphones", "Audio", "Photography")))))</f>
        <v>Wearables</v>
      </c>
      <c r="D173" s="47">
        <v>44317</v>
      </c>
      <c r="E173" s="48" t="str">
        <f>IF(OR(MONTH(D173)=9, MONTH(D173)=10, MONTH(D173)=11), "Spring",
 IF(OR(MONTH(D173)=12, MONTH(D173)=1, MONTH(D173)=2), "Summer",
 IF(OR(MONTH(D173)=3, MONTH(D173)=4, MONTH(D173)=5), "Autumn",
 IF(OR(MONTH(D173)=6, MONTH(D173)=7, MONTH(D173)=8), "Winter", "Unknown"
))))</f>
        <v>Autumn</v>
      </c>
      <c r="F173" s="15">
        <v>86</v>
      </c>
      <c r="G173" s="15">
        <v>396</v>
      </c>
      <c r="H173" s="46">
        <f>F173+G173</f>
        <v>482</v>
      </c>
      <c r="I173" s="49">
        <v>825</v>
      </c>
      <c r="J173" s="46">
        <f t="shared" si="2"/>
        <v>-343</v>
      </c>
      <c r="K173" s="15">
        <v>530</v>
      </c>
      <c r="L173" s="15">
        <f>H173-K173</f>
        <v>-48</v>
      </c>
      <c r="M173" s="15">
        <v>45</v>
      </c>
      <c r="N173" s="50" t="e">
        <f>IF(B173="Camera",#REF!, IF(B173="Headphones",#REF!, IF(B173="Laptop",#REF!, IF(B173="Smartphone",#REF!, IF(B173="Smartwatch",#REF!,#REF!)))))</f>
        <v>#REF!</v>
      </c>
      <c r="O173" s="50" t="e">
        <f>M173-N173</f>
        <v>#REF!</v>
      </c>
      <c r="P173" s="51">
        <f>K173/((F173+M173)/2)</f>
        <v>8.0916030534351151</v>
      </c>
      <c r="Q173" s="15">
        <v>24</v>
      </c>
      <c r="R173" s="15">
        <v>0.89151829404524197</v>
      </c>
      <c r="S173" s="52">
        <v>9.9556138180666505</v>
      </c>
      <c r="U173" s="15"/>
      <c r="V173" s="15"/>
      <c r="W173" s="15"/>
      <c r="X173" s="15"/>
      <c r="Y173" s="15"/>
      <c r="Z173" s="15"/>
    </row>
    <row r="174" spans="1:26" x14ac:dyDescent="0.15">
      <c r="A174" s="15">
        <v>5</v>
      </c>
      <c r="B174" s="15" t="s">
        <v>14</v>
      </c>
      <c r="C174" s="46" t="str">
        <f>IF(B174="Smartphone", "Electronics", IF(B174="Laptop", "Computing", IF(B174="Tablet", "Mobile", IF(B174="Smartwatch", "Wearables", IF(B174="Headphones", "Audio", "Photography")))))</f>
        <v>Audio</v>
      </c>
      <c r="D174" s="47">
        <v>44317</v>
      </c>
      <c r="E174" s="48" t="str">
        <f>IF(OR(MONTH(D174)=9, MONTH(D174)=10, MONTH(D174)=11), "Spring",
 IF(OR(MONTH(D174)=12, MONTH(D174)=1, MONTH(D174)=2), "Summer",
 IF(OR(MONTH(D174)=3, MONTH(D174)=4, MONTH(D174)=5), "Autumn",
 IF(OR(MONTH(D174)=6, MONTH(D174)=7, MONTH(D174)=8), "Winter", "Unknown"
))))</f>
        <v>Autumn</v>
      </c>
      <c r="F174" s="15">
        <v>91</v>
      </c>
      <c r="G174" s="15">
        <v>179</v>
      </c>
      <c r="H174" s="46">
        <f>F174+G174</f>
        <v>270</v>
      </c>
      <c r="I174" s="49">
        <v>1058</v>
      </c>
      <c r="J174" s="46">
        <f t="shared" si="2"/>
        <v>-788</v>
      </c>
      <c r="K174" s="15">
        <v>144</v>
      </c>
      <c r="L174" s="15">
        <f>H174-K174</f>
        <v>126</v>
      </c>
      <c r="M174" s="15">
        <v>35</v>
      </c>
      <c r="N174" s="50" t="e">
        <f>IF(B174="Camera",#REF!, IF(B174="Headphones",#REF!, IF(B174="Laptop",#REF!, IF(B174="Smartphone",#REF!, IF(B174="Smartwatch",#REF!,#REF!)))))</f>
        <v>#REF!</v>
      </c>
      <c r="O174" s="50" t="e">
        <f>M174-N174</f>
        <v>#REF!</v>
      </c>
      <c r="P174" s="51">
        <f>K174/((F174+M174)/2)</f>
        <v>2.2857142857142856</v>
      </c>
      <c r="Q174" s="15">
        <v>13</v>
      </c>
      <c r="R174" s="15">
        <v>0.86253965211428696</v>
      </c>
      <c r="S174" s="52">
        <v>80.959597461381094</v>
      </c>
      <c r="U174" s="15"/>
      <c r="V174" s="15"/>
      <c r="W174" s="15"/>
      <c r="X174" s="15"/>
      <c r="Y174" s="15"/>
      <c r="Z174" s="15"/>
    </row>
    <row r="175" spans="1:26" x14ac:dyDescent="0.15">
      <c r="A175" s="15">
        <v>6</v>
      </c>
      <c r="B175" s="15" t="s">
        <v>15</v>
      </c>
      <c r="C175" s="46" t="str">
        <f>IF(B175="Smartphone", "Electronics", IF(B175="Laptop", "Computing", IF(B175="Tablet", "Mobile", IF(B175="Smartwatch", "Wearables", IF(B175="Headphones", "Audio", "Photography")))))</f>
        <v>Photography</v>
      </c>
      <c r="D175" s="47">
        <v>44317</v>
      </c>
      <c r="E175" s="48" t="str">
        <f>IF(OR(MONTH(D175)=9, MONTH(D175)=10, MONTH(D175)=11), "Spring",
 IF(OR(MONTH(D175)=12, MONTH(D175)=1, MONTH(D175)=2), "Summer",
 IF(OR(MONTH(D175)=3, MONTH(D175)=4, MONTH(D175)=5), "Autumn",
 IF(OR(MONTH(D175)=6, MONTH(D175)=7, MONTH(D175)=8), "Winter", "Unknown"
))))</f>
        <v>Autumn</v>
      </c>
      <c r="F175" s="15">
        <v>23</v>
      </c>
      <c r="G175" s="15">
        <v>468</v>
      </c>
      <c r="H175" s="46">
        <f>F175+G175</f>
        <v>491</v>
      </c>
      <c r="I175" s="49">
        <v>214</v>
      </c>
      <c r="J175" s="46">
        <f t="shared" si="2"/>
        <v>277</v>
      </c>
      <c r="K175" s="15">
        <v>214</v>
      </c>
      <c r="L175" s="15">
        <f>H175-K175</f>
        <v>277</v>
      </c>
      <c r="M175" s="15">
        <v>341</v>
      </c>
      <c r="N175" s="50" t="e">
        <f>IF(B175="Camera",#REF!, IF(B175="Headphones",#REF!, IF(B175="Laptop",#REF!, IF(B175="Smartphone",#REF!, IF(B175="Smartwatch",#REF!,#REF!)))))</f>
        <v>#REF!</v>
      </c>
      <c r="O175" s="50" t="e">
        <f>M175-N175</f>
        <v>#REF!</v>
      </c>
      <c r="P175" s="51">
        <f>K175/((F175+M175)/2)</f>
        <v>1.1758241758241759</v>
      </c>
      <c r="Q175" s="15">
        <v>12</v>
      </c>
      <c r="R175" s="15">
        <v>0.91708644573702103</v>
      </c>
      <c r="S175" s="52">
        <v>241.24697991992301</v>
      </c>
    </row>
    <row r="176" spans="1:26" x14ac:dyDescent="0.15">
      <c r="A176" s="15">
        <v>1</v>
      </c>
      <c r="B176" s="15" t="s">
        <v>10</v>
      </c>
      <c r="C176" s="46" t="str">
        <f>IF(B176="Smartphone", "Electronics", IF(B176="Laptop", "Computing", IF(B176="Tablet", "Mobile", IF(B176="Smartwatch", "Wearables", IF(B176="Headphones", "Audio", "Photography")))))</f>
        <v>Electronics</v>
      </c>
      <c r="D176" s="47">
        <v>44348</v>
      </c>
      <c r="E176" s="48" t="str">
        <f>IF(OR(MONTH(D176)=9, MONTH(D176)=10, MONTH(D176)=11), "Spring",
 IF(OR(MONTH(D176)=12, MONTH(D176)=1, MONTH(D176)=2), "Summer",
 IF(OR(MONTH(D176)=3, MONTH(D176)=4, MONTH(D176)=5), "Autumn",
 IF(OR(MONTH(D176)=6, MONTH(D176)=7, MONTH(D176)=8), "Winter", "Unknown"
))))</f>
        <v>Winter</v>
      </c>
      <c r="F176" s="15">
        <v>88</v>
      </c>
      <c r="G176" s="15">
        <v>255</v>
      </c>
      <c r="H176" s="46">
        <f>F176+G176</f>
        <v>343</v>
      </c>
      <c r="I176" s="49">
        <v>351</v>
      </c>
      <c r="J176" s="46">
        <f t="shared" si="2"/>
        <v>-8</v>
      </c>
      <c r="K176" s="15">
        <v>225</v>
      </c>
      <c r="L176" s="15">
        <f>H176-K176</f>
        <v>118</v>
      </c>
      <c r="M176" s="15">
        <v>30</v>
      </c>
      <c r="N176" s="50" t="e">
        <f>IF(B176="Camera",#REF!, IF(B176="Headphones",#REF!, IF(B176="Laptop",#REF!, IF(B176="Smartphone",#REF!, IF(B176="Smartwatch",#REF!,#REF!)))))</f>
        <v>#REF!</v>
      </c>
      <c r="O176" s="50" t="e">
        <f>M176-N176</f>
        <v>#REF!</v>
      </c>
      <c r="P176" s="51">
        <f>K176/((F176+M176)/2)</f>
        <v>3.8135593220338984</v>
      </c>
      <c r="Q176" s="15">
        <v>26</v>
      </c>
      <c r="R176" s="15">
        <v>0.90391743344812903</v>
      </c>
      <c r="S176" s="52">
        <v>90.583392352666195</v>
      </c>
      <c r="U176" s="15"/>
      <c r="V176" s="15"/>
      <c r="W176" s="15"/>
      <c r="X176" s="15"/>
      <c r="Y176" s="15"/>
      <c r="Z176" s="15"/>
    </row>
    <row r="177" spans="1:26" x14ac:dyDescent="0.15">
      <c r="A177" s="15">
        <v>2</v>
      </c>
      <c r="B177" s="15" t="s">
        <v>11</v>
      </c>
      <c r="C177" s="46" t="str">
        <f>IF(B177="Smartphone", "Electronics", IF(B177="Laptop", "Computing", IF(B177="Tablet", "Mobile", IF(B177="Smartwatch", "Wearables", IF(B177="Headphones", "Audio", "Photography")))))</f>
        <v>Computing</v>
      </c>
      <c r="D177" s="47">
        <v>44348</v>
      </c>
      <c r="E177" s="48" t="str">
        <f>IF(OR(MONTH(D177)=9, MONTH(D177)=10, MONTH(D177)=11), "Spring",
 IF(OR(MONTH(D177)=12, MONTH(D177)=1, MONTH(D177)=2), "Summer",
 IF(OR(MONTH(D177)=3, MONTH(D177)=4, MONTH(D177)=5), "Autumn",
 IF(OR(MONTH(D177)=6, MONTH(D177)=7, MONTH(D177)=8), "Winter", "Unknown"
))))</f>
        <v>Winter</v>
      </c>
      <c r="F177" s="15">
        <v>64</v>
      </c>
      <c r="G177" s="15">
        <v>325</v>
      </c>
      <c r="H177" s="46">
        <f>F177+G177</f>
        <v>389</v>
      </c>
      <c r="I177" s="49">
        <v>209</v>
      </c>
      <c r="J177" s="46">
        <f t="shared" si="2"/>
        <v>180</v>
      </c>
      <c r="K177" s="15">
        <v>209</v>
      </c>
      <c r="L177" s="15">
        <f>H177-K177</f>
        <v>180</v>
      </c>
      <c r="M177" s="15">
        <v>116</v>
      </c>
      <c r="N177" s="50" t="e">
        <f>IF(B177="Camera",#REF!, IF(B177="Headphones",#REF!, IF(B177="Laptop",#REF!, IF(B177="Smartphone",#REF!, IF(B177="Smartwatch",#REF!,#REF!)))))</f>
        <v>#REF!</v>
      </c>
      <c r="O177" s="50" t="e">
        <f>M177-N177</f>
        <v>#REF!</v>
      </c>
      <c r="P177" s="51">
        <f>K177/((F177+M177)/2)</f>
        <v>2.3222222222222224</v>
      </c>
      <c r="Q177" s="15">
        <v>6</v>
      </c>
      <c r="R177" s="15">
        <v>0.87225641436146195</v>
      </c>
      <c r="S177" s="52">
        <v>297.027193901749</v>
      </c>
      <c r="U177" s="15"/>
      <c r="V177" s="15"/>
      <c r="W177" s="15"/>
      <c r="X177" s="15"/>
      <c r="Y177" s="15"/>
      <c r="Z177" s="15"/>
    </row>
    <row r="178" spans="1:26" x14ac:dyDescent="0.15">
      <c r="A178" s="15">
        <v>3</v>
      </c>
      <c r="B178" s="15" t="s">
        <v>12</v>
      </c>
      <c r="C178" s="46" t="str">
        <f>IF(B178="Smartphone", "Electronics", IF(B178="Laptop", "Computing", IF(B178="Tablet", "Mobile", IF(B178="Smartwatch", "Wearables", IF(B178="Headphones", "Audio", "Photography")))))</f>
        <v>Mobile</v>
      </c>
      <c r="D178" s="47">
        <v>44348</v>
      </c>
      <c r="E178" s="48" t="str">
        <f>IF(OR(MONTH(D178)=9, MONTH(D178)=10, MONTH(D178)=11), "Spring",
 IF(OR(MONTH(D178)=12, MONTH(D178)=1, MONTH(D178)=2), "Summer",
 IF(OR(MONTH(D178)=3, MONTH(D178)=4, MONTH(D178)=5), "Autumn",
 IF(OR(MONTH(D178)=6, MONTH(D178)=7, MONTH(D178)=8), "Winter", "Unknown"
))))</f>
        <v>Winter</v>
      </c>
      <c r="F178" s="15">
        <v>78</v>
      </c>
      <c r="G178" s="15">
        <v>305</v>
      </c>
      <c r="H178" s="46">
        <f>F178+G178</f>
        <v>383</v>
      </c>
      <c r="I178" s="49">
        <v>409</v>
      </c>
      <c r="J178" s="46">
        <f t="shared" si="2"/>
        <v>-26</v>
      </c>
      <c r="K178" s="15">
        <v>297</v>
      </c>
      <c r="L178" s="15">
        <f>H178-K178</f>
        <v>86</v>
      </c>
      <c r="M178" s="15">
        <v>81</v>
      </c>
      <c r="N178" s="50" t="e">
        <f>IF(B178="Camera",#REF!, IF(B178="Headphones",#REF!, IF(B178="Laptop",#REF!, IF(B178="Smartphone",#REF!, IF(B178="Smartwatch",#REF!,#REF!)))))</f>
        <v>#REF!</v>
      </c>
      <c r="O178" s="50" t="e">
        <f>M178-N178</f>
        <v>#REF!</v>
      </c>
      <c r="P178" s="51">
        <f>K178/((F178+M178)/2)</f>
        <v>3.7358490566037736</v>
      </c>
      <c r="Q178" s="15">
        <v>21</v>
      </c>
      <c r="R178" s="15">
        <v>0.85787997587316001</v>
      </c>
      <c r="S178" s="52">
        <v>18.0158523308973</v>
      </c>
      <c r="U178" s="15"/>
      <c r="V178" s="15"/>
      <c r="W178" s="15"/>
      <c r="X178" s="15"/>
      <c r="Y178" s="15"/>
      <c r="Z178" s="15"/>
    </row>
    <row r="179" spans="1:26" x14ac:dyDescent="0.15">
      <c r="A179" s="15">
        <v>4</v>
      </c>
      <c r="B179" s="15" t="s">
        <v>13</v>
      </c>
      <c r="C179" s="46" t="str">
        <f>IF(B179="Smartphone", "Electronics", IF(B179="Laptop", "Computing", IF(B179="Tablet", "Mobile", IF(B179="Smartwatch", "Wearables", IF(B179="Headphones", "Audio", "Photography")))))</f>
        <v>Wearables</v>
      </c>
      <c r="D179" s="47">
        <v>44348</v>
      </c>
      <c r="E179" s="48" t="str">
        <f>IF(OR(MONTH(D179)=9, MONTH(D179)=10, MONTH(D179)=11), "Spring",
 IF(OR(MONTH(D179)=12, MONTH(D179)=1, MONTH(D179)=2), "Summer",
 IF(OR(MONTH(D179)=3, MONTH(D179)=4, MONTH(D179)=5), "Autumn",
 IF(OR(MONTH(D179)=6, MONTH(D179)=7, MONTH(D179)=8), "Winter", "Unknown"
))))</f>
        <v>Winter</v>
      </c>
      <c r="F179" s="15">
        <v>26</v>
      </c>
      <c r="G179" s="15">
        <v>315</v>
      </c>
      <c r="H179" s="46">
        <f>F179+G179</f>
        <v>341</v>
      </c>
      <c r="I179" s="49">
        <v>743</v>
      </c>
      <c r="J179" s="46">
        <f t="shared" si="2"/>
        <v>-402</v>
      </c>
      <c r="K179" s="15">
        <v>226</v>
      </c>
      <c r="L179" s="15">
        <f>H179-K179</f>
        <v>115</v>
      </c>
      <c r="M179" s="15">
        <v>89</v>
      </c>
      <c r="N179" s="50" t="e">
        <f>IF(B179="Camera",#REF!, IF(B179="Headphones",#REF!, IF(B179="Laptop",#REF!, IF(B179="Smartphone",#REF!, IF(B179="Smartwatch",#REF!,#REF!)))))</f>
        <v>#REF!</v>
      </c>
      <c r="O179" s="50" t="e">
        <f>M179-N179</f>
        <v>#REF!</v>
      </c>
      <c r="P179" s="51">
        <f>K179/((F179+M179)/2)</f>
        <v>3.9304347826086956</v>
      </c>
      <c r="Q179" s="15">
        <v>4</v>
      </c>
      <c r="R179" s="15">
        <v>0.92052379219472202</v>
      </c>
      <c r="S179" s="52">
        <v>59.522487254195298</v>
      </c>
      <c r="U179" s="15"/>
      <c r="V179" s="15"/>
      <c r="W179" s="15"/>
      <c r="X179" s="15"/>
      <c r="Y179" s="15"/>
      <c r="Z179" s="15"/>
    </row>
    <row r="180" spans="1:26" x14ac:dyDescent="0.15">
      <c r="A180" s="15">
        <v>5</v>
      </c>
      <c r="B180" s="15" t="s">
        <v>14</v>
      </c>
      <c r="C180" s="46" t="str">
        <f>IF(B180="Smartphone", "Electronics", IF(B180="Laptop", "Computing", IF(B180="Tablet", "Mobile", IF(B180="Smartwatch", "Wearables", IF(B180="Headphones", "Audio", "Photography")))))</f>
        <v>Audio</v>
      </c>
      <c r="D180" s="47">
        <v>44348</v>
      </c>
      <c r="E180" s="48" t="str">
        <f>IF(OR(MONTH(D180)=9, MONTH(D180)=10, MONTH(D180)=11), "Spring",
 IF(OR(MONTH(D180)=12, MONTH(D180)=1, MONTH(D180)=2), "Summer",
 IF(OR(MONTH(D180)=3, MONTH(D180)=4, MONTH(D180)=5), "Autumn",
 IF(OR(MONTH(D180)=6, MONTH(D180)=7, MONTH(D180)=8), "Winter", "Unknown"
))))</f>
        <v>Winter</v>
      </c>
      <c r="F180" s="15">
        <v>62</v>
      </c>
      <c r="G180" s="15">
        <v>74</v>
      </c>
      <c r="H180" s="46">
        <f>F180+G180</f>
        <v>136</v>
      </c>
      <c r="I180" s="49">
        <v>1287</v>
      </c>
      <c r="J180" s="46">
        <f t="shared" si="2"/>
        <v>-1151</v>
      </c>
      <c r="K180" s="15">
        <v>0</v>
      </c>
      <c r="L180" s="15">
        <f>H180-K180</f>
        <v>136</v>
      </c>
      <c r="M180" s="15">
        <v>74</v>
      </c>
      <c r="N180" s="50" t="e">
        <f>IF(B180="Camera",#REF!, IF(B180="Headphones",#REF!, IF(B180="Laptop",#REF!, IF(B180="Smartphone",#REF!, IF(B180="Smartwatch",#REF!,#REF!)))))</f>
        <v>#REF!</v>
      </c>
      <c r="O180" s="50" t="e">
        <f>M180-N180</f>
        <v>#REF!</v>
      </c>
      <c r="P180" s="51">
        <f>K180/((F180+M180)/2)</f>
        <v>0</v>
      </c>
      <c r="Q180" s="15">
        <v>19</v>
      </c>
      <c r="R180" s="15">
        <v>0.92750475285138401</v>
      </c>
      <c r="S180" s="52">
        <v>68.159526396595098</v>
      </c>
      <c r="U180" s="15"/>
      <c r="V180" s="15"/>
      <c r="W180" s="15"/>
      <c r="X180" s="15"/>
      <c r="Y180" s="15"/>
      <c r="Z180" s="15"/>
    </row>
    <row r="181" spans="1:26" x14ac:dyDescent="0.15">
      <c r="A181" s="15">
        <v>6</v>
      </c>
      <c r="B181" s="15" t="s">
        <v>15</v>
      </c>
      <c r="C181" s="46" t="str">
        <f>IF(B181="Smartphone", "Electronics", IF(B181="Laptop", "Computing", IF(B181="Tablet", "Mobile", IF(B181="Smartwatch", "Wearables", IF(B181="Headphones", "Audio", "Photography")))))</f>
        <v>Photography</v>
      </c>
      <c r="D181" s="47">
        <v>44348</v>
      </c>
      <c r="E181" s="48" t="str">
        <f>IF(OR(MONTH(D181)=9, MONTH(D181)=10, MONTH(D181)=11), "Spring",
 IF(OR(MONTH(D181)=12, MONTH(D181)=1, MONTH(D181)=2), "Summer",
 IF(OR(MONTH(D181)=3, MONTH(D181)=4, MONTH(D181)=5), "Autumn",
 IF(OR(MONTH(D181)=6, MONTH(D181)=7, MONTH(D181)=8), "Winter", "Unknown"
))))</f>
        <v>Winter</v>
      </c>
      <c r="F181" s="15">
        <v>197</v>
      </c>
      <c r="G181" s="15">
        <v>499</v>
      </c>
      <c r="H181" s="46">
        <f>F181+G181</f>
        <v>696</v>
      </c>
      <c r="I181" s="49">
        <v>509</v>
      </c>
      <c r="J181" s="46">
        <f t="shared" si="2"/>
        <v>187</v>
      </c>
      <c r="K181" s="15">
        <v>509</v>
      </c>
      <c r="L181" s="15">
        <f>H181-K181</f>
        <v>187</v>
      </c>
      <c r="M181" s="15">
        <v>279</v>
      </c>
      <c r="N181" s="50" t="e">
        <f>IF(B181="Camera",#REF!, IF(B181="Headphones",#REF!, IF(B181="Laptop",#REF!, IF(B181="Smartphone",#REF!, IF(B181="Smartwatch",#REF!,#REF!)))))</f>
        <v>#REF!</v>
      </c>
      <c r="O181" s="50" t="e">
        <f>M181-N181</f>
        <v>#REF!</v>
      </c>
      <c r="P181" s="51">
        <f>K181/((F181+M181)/2)</f>
        <v>2.1386554621848739</v>
      </c>
      <c r="Q181" s="15">
        <v>16</v>
      </c>
      <c r="R181" s="15">
        <v>0.88199839426725701</v>
      </c>
      <c r="S181" s="52">
        <v>59.428070307739603</v>
      </c>
    </row>
    <row r="182" spans="1:26" x14ac:dyDescent="0.15">
      <c r="A182" s="15">
        <v>1</v>
      </c>
      <c r="B182" s="15" t="s">
        <v>10</v>
      </c>
      <c r="C182" s="46" t="str">
        <f>IF(B182="Smartphone", "Electronics", IF(B182="Laptop", "Computing", IF(B182="Tablet", "Mobile", IF(B182="Smartwatch", "Wearables", IF(B182="Headphones", "Audio", "Photography")))))</f>
        <v>Electronics</v>
      </c>
      <c r="D182" s="47">
        <v>44378</v>
      </c>
      <c r="E182" s="48" t="str">
        <f>IF(OR(MONTH(D182)=9, MONTH(D182)=10, MONTH(D182)=11), "Spring",
 IF(OR(MONTH(D182)=12, MONTH(D182)=1, MONTH(D182)=2), "Summer",
 IF(OR(MONTH(D182)=3, MONTH(D182)=4, MONTH(D182)=5), "Autumn",
 IF(OR(MONTH(D182)=6, MONTH(D182)=7, MONTH(D182)=8), "Winter", "Unknown"
))))</f>
        <v>Winter</v>
      </c>
      <c r="F182" s="15">
        <v>22</v>
      </c>
      <c r="G182" s="15">
        <v>330</v>
      </c>
      <c r="H182" s="46">
        <f>F182+G182</f>
        <v>352</v>
      </c>
      <c r="I182" s="49">
        <v>856</v>
      </c>
      <c r="J182" s="46">
        <f t="shared" si="2"/>
        <v>-504</v>
      </c>
      <c r="K182" s="15">
        <v>277</v>
      </c>
      <c r="L182" s="15">
        <f>H182-K182</f>
        <v>75</v>
      </c>
      <c r="M182" s="15">
        <v>53</v>
      </c>
      <c r="N182" s="50" t="e">
        <f>IF(B182="Camera",#REF!, IF(B182="Headphones",#REF!, IF(B182="Laptop",#REF!, IF(B182="Smartphone",#REF!, IF(B182="Smartwatch",#REF!,#REF!)))))</f>
        <v>#REF!</v>
      </c>
      <c r="O182" s="50" t="e">
        <f>M182-N182</f>
        <v>#REF!</v>
      </c>
      <c r="P182" s="51">
        <f>K182/((F182+M182)/2)</f>
        <v>7.3866666666666667</v>
      </c>
      <c r="Q182" s="15">
        <v>13</v>
      </c>
      <c r="R182" s="15">
        <v>0.87100314820435298</v>
      </c>
      <c r="S182" s="52">
        <v>53.884403269264602</v>
      </c>
      <c r="U182" s="15"/>
      <c r="V182" s="15"/>
      <c r="W182" s="15"/>
      <c r="X182" s="15"/>
      <c r="Y182" s="15"/>
      <c r="Z182" s="15"/>
    </row>
    <row r="183" spans="1:26" x14ac:dyDescent="0.15">
      <c r="A183" s="15">
        <v>2</v>
      </c>
      <c r="B183" s="15" t="s">
        <v>11</v>
      </c>
      <c r="C183" s="46" t="str">
        <f>IF(B183="Smartphone", "Electronics", IF(B183="Laptop", "Computing", IF(B183="Tablet", "Mobile", IF(B183="Smartwatch", "Wearables", IF(B183="Headphones", "Audio", "Photography")))))</f>
        <v>Computing</v>
      </c>
      <c r="D183" s="47">
        <v>44378</v>
      </c>
      <c r="E183" s="48" t="str">
        <f>IF(OR(MONTH(D183)=9, MONTH(D183)=10, MONTH(D183)=11), "Spring",
 IF(OR(MONTH(D183)=12, MONTH(D183)=1, MONTH(D183)=2), "Summer",
 IF(OR(MONTH(D183)=3, MONTH(D183)=4, MONTH(D183)=5), "Autumn",
 IF(OR(MONTH(D183)=6, MONTH(D183)=7, MONTH(D183)=8), "Winter", "Unknown"
))))</f>
        <v>Winter</v>
      </c>
      <c r="F183" s="15">
        <v>62</v>
      </c>
      <c r="G183" s="15">
        <v>302</v>
      </c>
      <c r="H183" s="46">
        <f>F183+G183</f>
        <v>364</v>
      </c>
      <c r="I183" s="49">
        <v>343</v>
      </c>
      <c r="J183" s="46">
        <f t="shared" si="2"/>
        <v>21</v>
      </c>
      <c r="K183" s="15">
        <v>251</v>
      </c>
      <c r="L183" s="15">
        <f>H183-K183</f>
        <v>113</v>
      </c>
      <c r="M183" s="15">
        <v>51</v>
      </c>
      <c r="N183" s="50" t="e">
        <f>IF(B183="Camera",#REF!, IF(B183="Headphones",#REF!, IF(B183="Laptop",#REF!, IF(B183="Smartphone",#REF!, IF(B183="Smartwatch",#REF!,#REF!)))))</f>
        <v>#REF!</v>
      </c>
      <c r="O183" s="50" t="e">
        <f>M183-N183</f>
        <v>#REF!</v>
      </c>
      <c r="P183" s="51">
        <f>K183/((F183+M183)/2)</f>
        <v>4.4424778761061949</v>
      </c>
      <c r="Q183" s="15">
        <v>4</v>
      </c>
      <c r="R183" s="15">
        <v>0.85848724054813996</v>
      </c>
      <c r="S183" s="52">
        <v>68.652666110072204</v>
      </c>
      <c r="U183" s="15"/>
      <c r="V183" s="15"/>
      <c r="W183" s="15"/>
      <c r="X183" s="15"/>
      <c r="Y183" s="15"/>
      <c r="Z183" s="15"/>
    </row>
    <row r="184" spans="1:26" x14ac:dyDescent="0.15">
      <c r="A184" s="15">
        <v>3</v>
      </c>
      <c r="B184" s="15" t="s">
        <v>12</v>
      </c>
      <c r="C184" s="46" t="str">
        <f>IF(B184="Smartphone", "Electronics", IF(B184="Laptop", "Computing", IF(B184="Tablet", "Mobile", IF(B184="Smartwatch", "Wearables", IF(B184="Headphones", "Audio", "Photography")))))</f>
        <v>Mobile</v>
      </c>
      <c r="D184" s="47">
        <v>44378</v>
      </c>
      <c r="E184" s="48" t="str">
        <f>IF(OR(MONTH(D184)=9, MONTH(D184)=10, MONTH(D184)=11), "Spring",
 IF(OR(MONTH(D184)=12, MONTH(D184)=1, MONTH(D184)=2), "Summer",
 IF(OR(MONTH(D184)=3, MONTH(D184)=4, MONTH(D184)=5), "Autumn",
 IF(OR(MONTH(D184)=6, MONTH(D184)=7, MONTH(D184)=8), "Winter", "Unknown"
))))</f>
        <v>Winter</v>
      </c>
      <c r="F184" s="15">
        <v>8</v>
      </c>
      <c r="G184" s="15">
        <v>359</v>
      </c>
      <c r="H184" s="46">
        <f>F184+G184</f>
        <v>367</v>
      </c>
      <c r="I184" s="49">
        <v>443</v>
      </c>
      <c r="J184" s="46">
        <f t="shared" si="2"/>
        <v>-76</v>
      </c>
      <c r="K184" s="15">
        <v>312</v>
      </c>
      <c r="L184" s="15">
        <f>H184-K184</f>
        <v>55</v>
      </c>
      <c r="M184" s="15">
        <v>47</v>
      </c>
      <c r="N184" s="50" t="e">
        <f>IF(B184="Camera",#REF!, IF(B184="Headphones",#REF!, IF(B184="Laptop",#REF!, IF(B184="Smartphone",#REF!, IF(B184="Smartwatch",#REF!,#REF!)))))</f>
        <v>#REF!</v>
      </c>
      <c r="O184" s="50" t="e">
        <f>M184-N184</f>
        <v>#REF!</v>
      </c>
      <c r="P184" s="51">
        <f>K184/((F184+M184)/2)</f>
        <v>11.345454545454546</v>
      </c>
      <c r="Q184" s="15">
        <v>23</v>
      </c>
      <c r="R184" s="15">
        <v>0.91911274695724599</v>
      </c>
      <c r="S184" s="52">
        <v>105.38041628419499</v>
      </c>
      <c r="U184" s="15"/>
      <c r="V184" s="15"/>
      <c r="W184" s="15"/>
      <c r="X184" s="15"/>
      <c r="Y184" s="15"/>
      <c r="Z184" s="15"/>
    </row>
    <row r="185" spans="1:26" x14ac:dyDescent="0.15">
      <c r="A185" s="15">
        <v>4</v>
      </c>
      <c r="B185" s="15" t="s">
        <v>13</v>
      </c>
      <c r="C185" s="46" t="str">
        <f>IF(B185="Smartphone", "Electronics", IF(B185="Laptop", "Computing", IF(B185="Tablet", "Mobile", IF(B185="Smartwatch", "Wearables", IF(B185="Headphones", "Audio", "Photography")))))</f>
        <v>Wearables</v>
      </c>
      <c r="D185" s="47">
        <v>44378</v>
      </c>
      <c r="E185" s="48" t="str">
        <f>IF(OR(MONTH(D185)=9, MONTH(D185)=10, MONTH(D185)=11), "Spring",
 IF(OR(MONTH(D185)=12, MONTH(D185)=1, MONTH(D185)=2), "Summer",
 IF(OR(MONTH(D185)=3, MONTH(D185)=4, MONTH(D185)=5), "Autumn",
 IF(OR(MONTH(D185)=6, MONTH(D185)=7, MONTH(D185)=8), "Winter", "Unknown"
))))</f>
        <v>Winter</v>
      </c>
      <c r="F185" s="15">
        <v>82</v>
      </c>
      <c r="G185" s="15">
        <v>338</v>
      </c>
      <c r="H185" s="46">
        <f>F185+G185</f>
        <v>420</v>
      </c>
      <c r="I185" s="49">
        <v>610</v>
      </c>
      <c r="J185" s="46">
        <f t="shared" si="2"/>
        <v>-190</v>
      </c>
      <c r="K185" s="15">
        <v>285</v>
      </c>
      <c r="L185" s="15">
        <f>H185-K185</f>
        <v>135</v>
      </c>
      <c r="M185" s="15">
        <v>53</v>
      </c>
      <c r="N185" s="50" t="e">
        <f>IF(B185="Camera",#REF!, IF(B185="Headphones",#REF!, IF(B185="Laptop",#REF!, IF(B185="Smartphone",#REF!, IF(B185="Smartwatch",#REF!,#REF!)))))</f>
        <v>#REF!</v>
      </c>
      <c r="O185" s="50" t="e">
        <f>M185-N185</f>
        <v>#REF!</v>
      </c>
      <c r="P185" s="51">
        <f>K185/((F185+M185)/2)</f>
        <v>4.2222222222222223</v>
      </c>
      <c r="Q185" s="15">
        <v>17</v>
      </c>
      <c r="R185" s="15">
        <v>0.85980114631796301</v>
      </c>
      <c r="S185" s="52">
        <v>58.6740960577376</v>
      </c>
      <c r="U185" s="15"/>
      <c r="V185" s="15"/>
      <c r="W185" s="15"/>
      <c r="X185" s="15"/>
      <c r="Y185" s="15"/>
      <c r="Z185" s="15"/>
    </row>
    <row r="186" spans="1:26" x14ac:dyDescent="0.15">
      <c r="A186" s="15">
        <v>5</v>
      </c>
      <c r="B186" s="15" t="s">
        <v>14</v>
      </c>
      <c r="C186" s="46" t="str">
        <f>IF(B186="Smartphone", "Electronics", IF(B186="Laptop", "Computing", IF(B186="Tablet", "Mobile", IF(B186="Smartwatch", "Wearables", IF(B186="Headphones", "Audio", "Photography")))))</f>
        <v>Audio</v>
      </c>
      <c r="D186" s="47">
        <v>44378</v>
      </c>
      <c r="E186" s="48" t="str">
        <f>IF(OR(MONTH(D186)=9, MONTH(D186)=10, MONTH(D186)=11), "Spring",
 IF(OR(MONTH(D186)=12, MONTH(D186)=1, MONTH(D186)=2), "Summer",
 IF(OR(MONTH(D186)=3, MONTH(D186)=4, MONTH(D186)=5), "Autumn",
 IF(OR(MONTH(D186)=6, MONTH(D186)=7, MONTH(D186)=8), "Winter", "Unknown"
))))</f>
        <v>Winter</v>
      </c>
      <c r="F186" s="15">
        <v>33</v>
      </c>
      <c r="G186" s="15">
        <v>213</v>
      </c>
      <c r="H186" s="46">
        <f>F186+G186</f>
        <v>246</v>
      </c>
      <c r="I186" s="49">
        <v>1422</v>
      </c>
      <c r="J186" s="46">
        <f t="shared" si="2"/>
        <v>-1176</v>
      </c>
      <c r="K186" s="15">
        <v>165</v>
      </c>
      <c r="L186" s="15">
        <f>H186-K186</f>
        <v>81</v>
      </c>
      <c r="M186" s="15">
        <v>48</v>
      </c>
      <c r="N186" s="50" t="e">
        <f>IF(B186="Camera",#REF!, IF(B186="Headphones",#REF!, IF(B186="Laptop",#REF!, IF(B186="Smartphone",#REF!, IF(B186="Smartwatch",#REF!,#REF!)))))</f>
        <v>#REF!</v>
      </c>
      <c r="O186" s="50" t="e">
        <f>M186-N186</f>
        <v>#REF!</v>
      </c>
      <c r="P186" s="51">
        <f>K186/((F186+M186)/2)</f>
        <v>4.0740740740740744</v>
      </c>
      <c r="Q186" s="15">
        <v>23</v>
      </c>
      <c r="R186" s="15">
        <v>1</v>
      </c>
      <c r="S186" s="52">
        <v>69.658116504079999</v>
      </c>
      <c r="U186" s="15"/>
      <c r="V186" s="15"/>
      <c r="W186" s="15"/>
      <c r="X186" s="15"/>
      <c r="Y186" s="15"/>
      <c r="Z186" s="15"/>
    </row>
    <row r="187" spans="1:26" x14ac:dyDescent="0.15">
      <c r="A187" s="15">
        <v>6</v>
      </c>
      <c r="B187" s="15" t="s">
        <v>15</v>
      </c>
      <c r="C187" s="46" t="str">
        <f>IF(B187="Smartphone", "Electronics", IF(B187="Laptop", "Computing", IF(B187="Tablet", "Mobile", IF(B187="Smartwatch", "Wearables", IF(B187="Headphones", "Audio", "Photography")))))</f>
        <v>Photography</v>
      </c>
      <c r="D187" s="47">
        <v>44378</v>
      </c>
      <c r="E187" s="48" t="str">
        <f>IF(OR(MONTH(D187)=9, MONTH(D187)=10, MONTH(D187)=11), "Spring",
 IF(OR(MONTH(D187)=12, MONTH(D187)=1, MONTH(D187)=2), "Summer",
 IF(OR(MONTH(D187)=3, MONTH(D187)=4, MONTH(D187)=5), "Autumn",
 IF(OR(MONTH(D187)=6, MONTH(D187)=7, MONTH(D187)=8), "Winter", "Unknown"
))))</f>
        <v>Winter</v>
      </c>
      <c r="F187" s="15">
        <v>4</v>
      </c>
      <c r="G187" s="15">
        <v>144</v>
      </c>
      <c r="H187" s="46">
        <f>F187+G187</f>
        <v>148</v>
      </c>
      <c r="I187" s="49">
        <v>753</v>
      </c>
      <c r="J187" s="46">
        <f t="shared" si="2"/>
        <v>-605</v>
      </c>
      <c r="K187" s="15">
        <v>50</v>
      </c>
      <c r="L187" s="15">
        <f>H187-K187</f>
        <v>98</v>
      </c>
      <c r="M187" s="15">
        <v>94</v>
      </c>
      <c r="N187" s="50" t="e">
        <f>IF(B187="Camera",#REF!, IF(B187="Headphones",#REF!, IF(B187="Laptop",#REF!, IF(B187="Smartphone",#REF!, IF(B187="Smartwatch",#REF!,#REF!)))))</f>
        <v>#REF!</v>
      </c>
      <c r="O187" s="50" t="e">
        <f>M187-N187</f>
        <v>#REF!</v>
      </c>
      <c r="P187" s="51">
        <f>K187/((F187+M187)/2)</f>
        <v>1.0204081632653061</v>
      </c>
      <c r="Q187" s="15">
        <v>1</v>
      </c>
      <c r="R187" s="15">
        <v>0.87948592820145</v>
      </c>
      <c r="S187" s="52">
        <v>62.126651015397101</v>
      </c>
    </row>
    <row r="188" spans="1:26" x14ac:dyDescent="0.15">
      <c r="A188" s="15">
        <v>1</v>
      </c>
      <c r="B188" s="15" t="s">
        <v>10</v>
      </c>
      <c r="C188" s="46" t="str">
        <f>IF(B188="Smartphone", "Electronics", IF(B188="Laptop", "Computing", IF(B188="Tablet", "Mobile", IF(B188="Smartwatch", "Wearables", IF(B188="Headphones", "Audio", "Photography")))))</f>
        <v>Electronics</v>
      </c>
      <c r="D188" s="47">
        <v>44409</v>
      </c>
      <c r="E188" s="48" t="str">
        <f>IF(OR(MONTH(D188)=9, MONTH(D188)=10, MONTH(D188)=11), "Spring",
 IF(OR(MONTH(D188)=12, MONTH(D188)=1, MONTH(D188)=2), "Summer",
 IF(OR(MONTH(D188)=3, MONTH(D188)=4, MONTH(D188)=5), "Autumn",
 IF(OR(MONTH(D188)=6, MONTH(D188)=7, MONTH(D188)=8), "Winter", "Unknown"
))))</f>
        <v>Winter</v>
      </c>
      <c r="F188" s="15">
        <v>93</v>
      </c>
      <c r="G188" s="15">
        <v>319</v>
      </c>
      <c r="H188" s="46">
        <f>F188+G188</f>
        <v>412</v>
      </c>
      <c r="I188" s="49">
        <v>763</v>
      </c>
      <c r="J188" s="46">
        <f t="shared" si="2"/>
        <v>-351</v>
      </c>
      <c r="K188" s="15">
        <v>304</v>
      </c>
      <c r="L188" s="15">
        <f>H188-K188</f>
        <v>108</v>
      </c>
      <c r="M188" s="15">
        <v>15</v>
      </c>
      <c r="N188" s="50" t="e">
        <f>IF(B188="Camera",#REF!, IF(B188="Headphones",#REF!, IF(B188="Laptop",#REF!, IF(B188="Smartphone",#REF!, IF(B188="Smartwatch",#REF!,#REF!)))))</f>
        <v>#REF!</v>
      </c>
      <c r="O188" s="50" t="e">
        <f>M188-N188</f>
        <v>#REF!</v>
      </c>
      <c r="P188" s="51">
        <f>K188/((F188+M188)/2)</f>
        <v>5.6296296296296298</v>
      </c>
      <c r="Q188" s="15">
        <v>18</v>
      </c>
      <c r="R188" s="15">
        <v>0.8</v>
      </c>
      <c r="S188" s="52">
        <v>56.5327900111592</v>
      </c>
      <c r="U188" s="15"/>
      <c r="V188" s="15"/>
      <c r="W188" s="15"/>
      <c r="X188" s="15"/>
      <c r="Y188" s="15"/>
      <c r="Z188" s="15"/>
    </row>
    <row r="189" spans="1:26" x14ac:dyDescent="0.15">
      <c r="A189" s="15">
        <v>2</v>
      </c>
      <c r="B189" s="15" t="s">
        <v>11</v>
      </c>
      <c r="C189" s="46" t="str">
        <f>IF(B189="Smartphone", "Electronics", IF(B189="Laptop", "Computing", IF(B189="Tablet", "Mobile", IF(B189="Smartwatch", "Wearables", IF(B189="Headphones", "Audio", "Photography")))))</f>
        <v>Computing</v>
      </c>
      <c r="D189" s="47">
        <v>44409</v>
      </c>
      <c r="E189" s="48" t="str">
        <f>IF(OR(MONTH(D189)=9, MONTH(D189)=10, MONTH(D189)=11), "Spring",
 IF(OR(MONTH(D189)=12, MONTH(D189)=1, MONTH(D189)=2), "Summer",
 IF(OR(MONTH(D189)=3, MONTH(D189)=4, MONTH(D189)=5), "Autumn",
 IF(OR(MONTH(D189)=6, MONTH(D189)=7, MONTH(D189)=8), "Winter", "Unknown"
))))</f>
        <v>Winter</v>
      </c>
      <c r="F189" s="15">
        <v>60</v>
      </c>
      <c r="G189" s="15">
        <v>370</v>
      </c>
      <c r="H189" s="46">
        <f>F189+G189</f>
        <v>430</v>
      </c>
      <c r="I189" s="49">
        <v>837</v>
      </c>
      <c r="J189" s="46">
        <f t="shared" si="2"/>
        <v>-407</v>
      </c>
      <c r="K189" s="15">
        <v>404</v>
      </c>
      <c r="L189" s="15">
        <f>H189-K189</f>
        <v>26</v>
      </c>
      <c r="M189" s="15">
        <v>80</v>
      </c>
      <c r="N189" s="50" t="e">
        <f>IF(B189="Camera",#REF!, IF(B189="Headphones",#REF!, IF(B189="Laptop",#REF!, IF(B189="Smartphone",#REF!, IF(B189="Smartwatch",#REF!,#REF!)))))</f>
        <v>#REF!</v>
      </c>
      <c r="O189" s="50" t="e">
        <f>M189-N189</f>
        <v>#REF!</v>
      </c>
      <c r="P189" s="51">
        <f>K189/((F189+M189)/2)</f>
        <v>5.7714285714285714</v>
      </c>
      <c r="Q189" s="15">
        <v>20</v>
      </c>
      <c r="R189" s="15">
        <v>0.89849141666854304</v>
      </c>
      <c r="S189" s="52">
        <v>33.324794759041701</v>
      </c>
      <c r="U189" s="15"/>
      <c r="V189" s="15"/>
      <c r="W189" s="15"/>
      <c r="X189" s="15"/>
      <c r="Y189" s="15"/>
      <c r="Z189" s="15"/>
    </row>
    <row r="190" spans="1:26" x14ac:dyDescent="0.15">
      <c r="A190" s="15">
        <v>3</v>
      </c>
      <c r="B190" s="15" t="s">
        <v>12</v>
      </c>
      <c r="C190" s="46" t="str">
        <f>IF(B190="Smartphone", "Electronics", IF(B190="Laptop", "Computing", IF(B190="Tablet", "Mobile", IF(B190="Smartwatch", "Wearables", IF(B190="Headphones", "Audio", "Photography")))))</f>
        <v>Mobile</v>
      </c>
      <c r="D190" s="47">
        <v>44409</v>
      </c>
      <c r="E190" s="48" t="str">
        <f>IF(OR(MONTH(D190)=9, MONTH(D190)=10, MONTH(D190)=11), "Spring",
 IF(OR(MONTH(D190)=12, MONTH(D190)=1, MONTH(D190)=2), "Summer",
 IF(OR(MONTH(D190)=3, MONTH(D190)=4, MONTH(D190)=5), "Autumn",
 IF(OR(MONTH(D190)=6, MONTH(D190)=7, MONTH(D190)=8), "Winter", "Unknown"
))))</f>
        <v>Winter</v>
      </c>
      <c r="F190" s="15">
        <v>149</v>
      </c>
      <c r="G190" s="15">
        <v>159</v>
      </c>
      <c r="H190" s="46">
        <f>F190+G190</f>
        <v>308</v>
      </c>
      <c r="I190" s="49">
        <v>293</v>
      </c>
      <c r="J190" s="46">
        <f t="shared" si="2"/>
        <v>15</v>
      </c>
      <c r="K190" s="15">
        <v>293</v>
      </c>
      <c r="L190" s="15">
        <f>H190-K190</f>
        <v>15</v>
      </c>
      <c r="M190" s="15">
        <v>115</v>
      </c>
      <c r="N190" s="50" t="e">
        <f>IF(B190="Camera",#REF!, IF(B190="Headphones",#REF!, IF(B190="Laptop",#REF!, IF(B190="Smartphone",#REF!, IF(B190="Smartwatch",#REF!,#REF!)))))</f>
        <v>#REF!</v>
      </c>
      <c r="O190" s="50" t="e">
        <f>M190-N190</f>
        <v>#REF!</v>
      </c>
      <c r="P190" s="51">
        <f>K190/((F190+M190)/2)</f>
        <v>2.2196969696969697</v>
      </c>
      <c r="Q190" s="15">
        <v>17</v>
      </c>
      <c r="R190" s="15">
        <v>0.896348326009059</v>
      </c>
      <c r="S190" s="52">
        <v>109.05433648499999</v>
      </c>
      <c r="U190" s="15"/>
      <c r="V190" s="15"/>
      <c r="W190" s="15"/>
      <c r="X190" s="15"/>
      <c r="Y190" s="15"/>
      <c r="Z190" s="15"/>
    </row>
    <row r="191" spans="1:26" x14ac:dyDescent="0.15">
      <c r="A191" s="15">
        <v>4</v>
      </c>
      <c r="B191" s="15" t="s">
        <v>13</v>
      </c>
      <c r="C191" s="46" t="str">
        <f>IF(B191="Smartphone", "Electronics", IF(B191="Laptop", "Computing", IF(B191="Tablet", "Mobile", IF(B191="Smartwatch", "Wearables", IF(B191="Headphones", "Audio", "Photography")))))</f>
        <v>Wearables</v>
      </c>
      <c r="D191" s="47">
        <v>44409</v>
      </c>
      <c r="E191" s="48" t="str">
        <f>IF(OR(MONTH(D191)=9, MONTH(D191)=10, MONTH(D191)=11), "Spring",
 IF(OR(MONTH(D191)=12, MONTH(D191)=1, MONTH(D191)=2), "Summer",
 IF(OR(MONTH(D191)=3, MONTH(D191)=4, MONTH(D191)=5), "Autumn",
 IF(OR(MONTH(D191)=6, MONTH(D191)=7, MONTH(D191)=8), "Winter", "Unknown"
))))</f>
        <v>Winter</v>
      </c>
      <c r="F191" s="15">
        <v>14</v>
      </c>
      <c r="G191" s="15">
        <v>385</v>
      </c>
      <c r="H191" s="46">
        <f>F191+G191</f>
        <v>399</v>
      </c>
      <c r="I191" s="49">
        <v>601</v>
      </c>
      <c r="J191" s="46">
        <f t="shared" si="2"/>
        <v>-202</v>
      </c>
      <c r="K191" s="15">
        <v>290</v>
      </c>
      <c r="L191" s="15">
        <f>H191-K191</f>
        <v>109</v>
      </c>
      <c r="M191" s="15">
        <v>95</v>
      </c>
      <c r="N191" s="50" t="e">
        <f>IF(B191="Camera",#REF!, IF(B191="Headphones",#REF!, IF(B191="Laptop",#REF!, IF(B191="Smartphone",#REF!, IF(B191="Smartwatch",#REF!,#REF!)))))</f>
        <v>#REF!</v>
      </c>
      <c r="O191" s="50" t="e">
        <f>M191-N191</f>
        <v>#REF!</v>
      </c>
      <c r="P191" s="51">
        <f>K191/((F191+M191)/2)</f>
        <v>5.3211009174311927</v>
      </c>
      <c r="Q191" s="15">
        <v>27</v>
      </c>
      <c r="R191" s="15">
        <v>0.95558592837620904</v>
      </c>
      <c r="S191" s="52">
        <v>10.190156365221</v>
      </c>
      <c r="U191" s="15"/>
      <c r="V191" s="15"/>
      <c r="W191" s="15"/>
      <c r="X191" s="15"/>
      <c r="Y191" s="15"/>
      <c r="Z191" s="15"/>
    </row>
    <row r="192" spans="1:26" x14ac:dyDescent="0.15">
      <c r="A192" s="15">
        <v>5</v>
      </c>
      <c r="B192" s="15" t="s">
        <v>14</v>
      </c>
      <c r="C192" s="46" t="str">
        <f>IF(B192="Smartphone", "Electronics", IF(B192="Laptop", "Computing", IF(B192="Tablet", "Mobile", IF(B192="Smartwatch", "Wearables", IF(B192="Headphones", "Audio", "Photography")))))</f>
        <v>Audio</v>
      </c>
      <c r="D192" s="47">
        <v>44409</v>
      </c>
      <c r="E192" s="48" t="str">
        <f>IF(OR(MONTH(D192)=9, MONTH(D192)=10, MONTH(D192)=11), "Spring",
 IF(OR(MONTH(D192)=12, MONTH(D192)=1, MONTH(D192)=2), "Summer",
 IF(OR(MONTH(D192)=3, MONTH(D192)=4, MONTH(D192)=5), "Autumn",
 IF(OR(MONTH(D192)=6, MONTH(D192)=7, MONTH(D192)=8), "Winter", "Unknown"
))))</f>
        <v>Winter</v>
      </c>
      <c r="F192" s="15">
        <v>8</v>
      </c>
      <c r="G192" s="15">
        <v>359</v>
      </c>
      <c r="H192" s="46">
        <f>F192+G192</f>
        <v>367</v>
      </c>
      <c r="I192" s="49">
        <v>1292</v>
      </c>
      <c r="J192" s="46">
        <f t="shared" si="2"/>
        <v>-925</v>
      </c>
      <c r="K192" s="15">
        <v>324</v>
      </c>
      <c r="L192" s="15">
        <f>H192-K192</f>
        <v>43</v>
      </c>
      <c r="M192" s="15">
        <v>35</v>
      </c>
      <c r="N192" s="50" t="e">
        <f>IF(B192="Camera",#REF!, IF(B192="Headphones",#REF!, IF(B192="Laptop",#REF!, IF(B192="Smartphone",#REF!, IF(B192="Smartwatch",#REF!,#REF!)))))</f>
        <v>#REF!</v>
      </c>
      <c r="O192" s="50" t="e">
        <f>M192-N192</f>
        <v>#REF!</v>
      </c>
      <c r="P192" s="51">
        <f>K192/((F192+M192)/2)</f>
        <v>15.069767441860465</v>
      </c>
      <c r="Q192" s="15">
        <v>28</v>
      </c>
      <c r="R192" s="15">
        <v>0.91440631183638499</v>
      </c>
      <c r="S192" s="52">
        <v>36.476803274869098</v>
      </c>
      <c r="U192" s="15"/>
      <c r="V192" s="15"/>
      <c r="W192" s="15"/>
      <c r="X192" s="15"/>
      <c r="Y192" s="15"/>
      <c r="Z192" s="15"/>
    </row>
    <row r="193" spans="1:26" x14ac:dyDescent="0.15">
      <c r="A193" s="15">
        <v>6</v>
      </c>
      <c r="B193" s="15" t="s">
        <v>15</v>
      </c>
      <c r="C193" s="46" t="str">
        <f>IF(B193="Smartphone", "Electronics", IF(B193="Laptop", "Computing", IF(B193="Tablet", "Mobile", IF(B193="Smartwatch", "Wearables", IF(B193="Headphones", "Audio", "Photography")))))</f>
        <v>Photography</v>
      </c>
      <c r="D193" s="47">
        <v>44409</v>
      </c>
      <c r="E193" s="48" t="str">
        <f>IF(OR(MONTH(D193)=9, MONTH(D193)=10, MONTH(D193)=11), "Spring",
 IF(OR(MONTH(D193)=12, MONTH(D193)=1, MONTH(D193)=2), "Summer",
 IF(OR(MONTH(D193)=3, MONTH(D193)=4, MONTH(D193)=5), "Autumn",
 IF(OR(MONTH(D193)=6, MONTH(D193)=7, MONTH(D193)=8), "Winter", "Unknown"
))))</f>
        <v>Winter</v>
      </c>
      <c r="F193" s="15">
        <v>15</v>
      </c>
      <c r="G193" s="15">
        <v>287</v>
      </c>
      <c r="H193" s="46">
        <f>F193+G193</f>
        <v>302</v>
      </c>
      <c r="I193" s="49">
        <v>425</v>
      </c>
      <c r="J193" s="46">
        <f t="shared" si="2"/>
        <v>-123</v>
      </c>
      <c r="K193" s="15">
        <v>197</v>
      </c>
      <c r="L193" s="15">
        <f>H193-K193</f>
        <v>105</v>
      </c>
      <c r="M193" s="15">
        <v>90</v>
      </c>
      <c r="N193" s="50" t="e">
        <f>IF(B193="Camera",#REF!, IF(B193="Headphones",#REF!, IF(B193="Laptop",#REF!, IF(B193="Smartphone",#REF!, IF(B193="Smartwatch",#REF!,#REF!)))))</f>
        <v>#REF!</v>
      </c>
      <c r="O193" s="50" t="e">
        <f>M193-N193</f>
        <v>#REF!</v>
      </c>
      <c r="P193" s="51">
        <f>K193/((F193+M193)/2)</f>
        <v>3.7523809523809524</v>
      </c>
      <c r="Q193" s="15">
        <v>27</v>
      </c>
      <c r="R193" s="15">
        <v>0.85830824082800905</v>
      </c>
      <c r="S193" s="52">
        <v>120.243965221918</v>
      </c>
    </row>
    <row r="194" spans="1:26" x14ac:dyDescent="0.15">
      <c r="A194" s="15">
        <v>1</v>
      </c>
      <c r="B194" s="15" t="s">
        <v>10</v>
      </c>
      <c r="C194" s="46" t="str">
        <f>IF(B194="Smartphone", "Electronics", IF(B194="Laptop", "Computing", IF(B194="Tablet", "Mobile", IF(B194="Smartwatch", "Wearables", IF(B194="Headphones", "Audio", "Photography")))))</f>
        <v>Electronics</v>
      </c>
      <c r="D194" s="47">
        <v>44440</v>
      </c>
      <c r="E194" s="48" t="str">
        <f>IF(OR(MONTH(D194)=9, MONTH(D194)=10, MONTH(D194)=11), "Spring",
 IF(OR(MONTH(D194)=12, MONTH(D194)=1, MONTH(D194)=2), "Summer",
 IF(OR(MONTH(D194)=3, MONTH(D194)=4, MONTH(D194)=5), "Autumn",
 IF(OR(MONTH(D194)=6, MONTH(D194)=7, MONTH(D194)=8), "Winter", "Unknown"
))))</f>
        <v>Spring</v>
      </c>
      <c r="F194" s="15">
        <v>89</v>
      </c>
      <c r="G194" s="15">
        <v>430</v>
      </c>
      <c r="H194" s="46">
        <f>F194+G194</f>
        <v>519</v>
      </c>
      <c r="I194" s="49">
        <v>629</v>
      </c>
      <c r="J194" s="46">
        <f t="shared" si="2"/>
        <v>-110</v>
      </c>
      <c r="K194" s="15">
        <v>381</v>
      </c>
      <c r="L194" s="15">
        <f>H194-K194</f>
        <v>138</v>
      </c>
      <c r="M194" s="15">
        <v>49</v>
      </c>
      <c r="N194" s="50" t="e">
        <f>IF(B194="Camera",#REF!, IF(B194="Headphones",#REF!, IF(B194="Laptop",#REF!, IF(B194="Smartphone",#REF!, IF(B194="Smartwatch",#REF!,#REF!)))))</f>
        <v>#REF!</v>
      </c>
      <c r="O194" s="50" t="e">
        <f>M194-N194</f>
        <v>#REF!</v>
      </c>
      <c r="P194" s="51">
        <f>K194/((F194+M194)/2)</f>
        <v>5.5217391304347823</v>
      </c>
      <c r="Q194" s="15">
        <v>15</v>
      </c>
      <c r="R194" s="15">
        <v>0.88568040632516098</v>
      </c>
      <c r="S194" s="52">
        <v>93.759052377770203</v>
      </c>
      <c r="U194" s="15"/>
      <c r="V194" s="15"/>
      <c r="W194" s="15"/>
      <c r="X194" s="15"/>
      <c r="Y194" s="15"/>
      <c r="Z194" s="15"/>
    </row>
    <row r="195" spans="1:26" x14ac:dyDescent="0.15">
      <c r="A195" s="15">
        <v>2</v>
      </c>
      <c r="B195" s="15" t="s">
        <v>11</v>
      </c>
      <c r="C195" s="46" t="str">
        <f>IF(B195="Smartphone", "Electronics", IF(B195="Laptop", "Computing", IF(B195="Tablet", "Mobile", IF(B195="Smartwatch", "Wearables", IF(B195="Headphones", "Audio", "Photography")))))</f>
        <v>Computing</v>
      </c>
      <c r="D195" s="47">
        <v>44440</v>
      </c>
      <c r="E195" s="48" t="str">
        <f>IF(OR(MONTH(D195)=9, MONTH(D195)=10, MONTH(D195)=11), "Spring",
 IF(OR(MONTH(D195)=12, MONTH(D195)=1, MONTH(D195)=2), "Summer",
 IF(OR(MONTH(D195)=3, MONTH(D195)=4, MONTH(D195)=5), "Autumn",
 IF(OR(MONTH(D195)=6, MONTH(D195)=7, MONTH(D195)=8), "Winter", "Unknown"
))))</f>
        <v>Spring</v>
      </c>
      <c r="F195" s="15">
        <v>24</v>
      </c>
      <c r="G195" s="15">
        <v>485</v>
      </c>
      <c r="H195" s="46">
        <f>F195+G195</f>
        <v>509</v>
      </c>
      <c r="I195" s="49">
        <v>651</v>
      </c>
      <c r="J195" s="46">
        <f t="shared" ref="J195:J217" si="3">H195-I195</f>
        <v>-142</v>
      </c>
      <c r="K195" s="15">
        <v>640</v>
      </c>
      <c r="L195" s="15">
        <f>H195-K195</f>
        <v>-131</v>
      </c>
      <c r="M195" s="15">
        <v>4</v>
      </c>
      <c r="N195" s="50" t="e">
        <f>IF(B195="Camera",#REF!, IF(B195="Headphones",#REF!, IF(B195="Laptop",#REF!, IF(B195="Smartphone",#REF!, IF(B195="Smartwatch",#REF!,#REF!)))))</f>
        <v>#REF!</v>
      </c>
      <c r="O195" s="50" t="e">
        <f>M195-N195</f>
        <v>#REF!</v>
      </c>
      <c r="P195" s="51">
        <f>K195/((F195+M195)/2)</f>
        <v>45.714285714285715</v>
      </c>
      <c r="Q195" s="15">
        <v>11</v>
      </c>
      <c r="R195" s="15">
        <v>0.91637098858254895</v>
      </c>
      <c r="S195" s="52">
        <v>24.202351363579201</v>
      </c>
      <c r="U195" s="15"/>
      <c r="V195" s="15"/>
      <c r="W195" s="15"/>
      <c r="X195" s="15"/>
      <c r="Y195" s="15"/>
      <c r="Z195" s="15"/>
    </row>
    <row r="196" spans="1:26" x14ac:dyDescent="0.15">
      <c r="A196" s="15">
        <v>3</v>
      </c>
      <c r="B196" s="15" t="s">
        <v>12</v>
      </c>
      <c r="C196" s="46" t="str">
        <f>IF(B196="Smartphone", "Electronics", IF(B196="Laptop", "Computing", IF(B196="Tablet", "Mobile", IF(B196="Smartwatch", "Wearables", IF(B196="Headphones", "Audio", "Photography")))))</f>
        <v>Mobile</v>
      </c>
      <c r="D196" s="47">
        <v>44440</v>
      </c>
      <c r="E196" s="48" t="str">
        <f>IF(OR(MONTH(D196)=9, MONTH(D196)=10, MONTH(D196)=11), "Spring",
 IF(OR(MONTH(D196)=12, MONTH(D196)=1, MONTH(D196)=2), "Summer",
 IF(OR(MONTH(D196)=3, MONTH(D196)=4, MONTH(D196)=5), "Autumn",
 IF(OR(MONTH(D196)=6, MONTH(D196)=7, MONTH(D196)=8), "Winter", "Unknown"
))))</f>
        <v>Spring</v>
      </c>
      <c r="F196" s="15">
        <v>18</v>
      </c>
      <c r="G196" s="15">
        <v>436</v>
      </c>
      <c r="H196" s="46">
        <f>F196+G196</f>
        <v>454</v>
      </c>
      <c r="I196" s="49">
        <v>900</v>
      </c>
      <c r="J196" s="46">
        <f t="shared" si="3"/>
        <v>-446</v>
      </c>
      <c r="K196" s="15">
        <v>346</v>
      </c>
      <c r="L196" s="15">
        <f>H196-K196</f>
        <v>108</v>
      </c>
      <c r="M196" s="15">
        <v>90</v>
      </c>
      <c r="N196" s="50" t="e">
        <f>IF(B196="Camera",#REF!, IF(B196="Headphones",#REF!, IF(B196="Laptop",#REF!, IF(B196="Smartphone",#REF!, IF(B196="Smartwatch",#REF!,#REF!)))))</f>
        <v>#REF!</v>
      </c>
      <c r="O196" s="50" t="e">
        <f>M196-N196</f>
        <v>#REF!</v>
      </c>
      <c r="P196" s="51">
        <f>K196/((F196+M196)/2)</f>
        <v>6.4074074074074074</v>
      </c>
      <c r="Q196" s="15">
        <v>25</v>
      </c>
      <c r="R196" s="15">
        <v>0.8</v>
      </c>
      <c r="S196" s="52">
        <v>54.764481133549602</v>
      </c>
      <c r="U196" s="15"/>
      <c r="V196" s="15"/>
      <c r="W196" s="15"/>
      <c r="X196" s="15"/>
      <c r="Y196" s="15"/>
      <c r="Z196" s="15"/>
    </row>
    <row r="197" spans="1:26" x14ac:dyDescent="0.15">
      <c r="A197" s="15">
        <v>4</v>
      </c>
      <c r="B197" s="15" t="s">
        <v>13</v>
      </c>
      <c r="C197" s="46" t="str">
        <f>IF(B197="Smartphone", "Electronics", IF(B197="Laptop", "Computing", IF(B197="Tablet", "Mobile", IF(B197="Smartwatch", "Wearables", IF(B197="Headphones", "Audio", "Photography")))))</f>
        <v>Wearables</v>
      </c>
      <c r="D197" s="47">
        <v>44440</v>
      </c>
      <c r="E197" s="48" t="str">
        <f>IF(OR(MONTH(D197)=9, MONTH(D197)=10, MONTH(D197)=11), "Spring",
 IF(OR(MONTH(D197)=12, MONTH(D197)=1, MONTH(D197)=2), "Summer",
 IF(OR(MONTH(D197)=3, MONTH(D197)=4, MONTH(D197)=5), "Autumn",
 IF(OR(MONTH(D197)=6, MONTH(D197)=7, MONTH(D197)=8), "Winter", "Unknown"
))))</f>
        <v>Spring</v>
      </c>
      <c r="F197" s="15">
        <v>1</v>
      </c>
      <c r="G197" s="15">
        <v>474</v>
      </c>
      <c r="H197" s="46">
        <f>F197+G197</f>
        <v>475</v>
      </c>
      <c r="I197" s="49">
        <v>828</v>
      </c>
      <c r="J197" s="46">
        <f t="shared" si="3"/>
        <v>-353</v>
      </c>
      <c r="K197" s="15">
        <v>466</v>
      </c>
      <c r="L197" s="15">
        <f>H197-K197</f>
        <v>9</v>
      </c>
      <c r="M197" s="15">
        <v>8</v>
      </c>
      <c r="N197" s="50" t="e">
        <f>IF(B197="Camera",#REF!, IF(B197="Headphones",#REF!, IF(B197="Laptop",#REF!, IF(B197="Smartphone",#REF!, IF(B197="Smartwatch",#REF!,#REF!)))))</f>
        <v>#REF!</v>
      </c>
      <c r="O197" s="50" t="e">
        <f>M197-N197</f>
        <v>#REF!</v>
      </c>
      <c r="P197" s="51">
        <f>K197/((F197+M197)/2)</f>
        <v>103.55555555555556</v>
      </c>
      <c r="Q197" s="15">
        <v>28</v>
      </c>
      <c r="R197" s="15">
        <v>0.96693108671952199</v>
      </c>
      <c r="S197" s="52">
        <v>46.268139921801001</v>
      </c>
      <c r="U197" s="15"/>
      <c r="V197" s="15"/>
      <c r="W197" s="15"/>
      <c r="X197" s="15"/>
      <c r="Y197" s="15"/>
      <c r="Z197" s="15"/>
    </row>
    <row r="198" spans="1:26" x14ac:dyDescent="0.15">
      <c r="A198" s="15">
        <v>5</v>
      </c>
      <c r="B198" s="15" t="s">
        <v>14</v>
      </c>
      <c r="C198" s="46" t="str">
        <f>IF(B198="Smartphone", "Electronics", IF(B198="Laptop", "Computing", IF(B198="Tablet", "Mobile", IF(B198="Smartwatch", "Wearables", IF(B198="Headphones", "Audio", "Photography")))))</f>
        <v>Audio</v>
      </c>
      <c r="D198" s="47">
        <v>44440</v>
      </c>
      <c r="E198" s="48" t="str">
        <f>IF(OR(MONTH(D198)=9, MONTH(D198)=10, MONTH(D198)=11), "Spring",
 IF(OR(MONTH(D198)=12, MONTH(D198)=1, MONTH(D198)=2), "Summer",
 IF(OR(MONTH(D198)=3, MONTH(D198)=4, MONTH(D198)=5), "Autumn",
 IF(OR(MONTH(D198)=6, MONTH(D198)=7, MONTH(D198)=8), "Winter", "Unknown"
))))</f>
        <v>Spring</v>
      </c>
      <c r="F198" s="15">
        <v>90</v>
      </c>
      <c r="G198" s="15">
        <v>439</v>
      </c>
      <c r="H198" s="46">
        <f>F198+G198</f>
        <v>529</v>
      </c>
      <c r="I198" s="49">
        <v>1120</v>
      </c>
      <c r="J198" s="46">
        <f t="shared" si="3"/>
        <v>-591</v>
      </c>
      <c r="K198" s="15">
        <v>425</v>
      </c>
      <c r="L198" s="15">
        <f>H198-K198</f>
        <v>104</v>
      </c>
      <c r="M198" s="15">
        <v>14</v>
      </c>
      <c r="N198" s="50" t="e">
        <f>IF(B198="Camera",#REF!, IF(B198="Headphones",#REF!, IF(B198="Laptop",#REF!, IF(B198="Smartphone",#REF!, IF(B198="Smartwatch",#REF!,#REF!)))))</f>
        <v>#REF!</v>
      </c>
      <c r="O198" s="50" t="e">
        <f>M198-N198</f>
        <v>#REF!</v>
      </c>
      <c r="P198" s="51">
        <f>K198/((F198+M198)/2)</f>
        <v>8.1730769230769234</v>
      </c>
      <c r="Q198" s="15">
        <v>22</v>
      </c>
      <c r="R198" s="15">
        <v>0.85844150570976596</v>
      </c>
      <c r="S198" s="52">
        <v>47.334920398744103</v>
      </c>
      <c r="U198" s="15"/>
      <c r="V198" s="15"/>
      <c r="W198" s="15"/>
      <c r="X198" s="15"/>
      <c r="Y198" s="15"/>
      <c r="Z198" s="15"/>
    </row>
    <row r="199" spans="1:26" x14ac:dyDescent="0.15">
      <c r="A199" s="15">
        <v>6</v>
      </c>
      <c r="B199" s="15" t="s">
        <v>15</v>
      </c>
      <c r="C199" s="46" t="str">
        <f>IF(B199="Smartphone", "Electronics", IF(B199="Laptop", "Computing", IF(B199="Tablet", "Mobile", IF(B199="Smartwatch", "Wearables", IF(B199="Headphones", "Audio", "Photography")))))</f>
        <v>Photography</v>
      </c>
      <c r="D199" s="47">
        <v>44440</v>
      </c>
      <c r="E199" s="48" t="str">
        <f>IF(OR(MONTH(D199)=9, MONTH(D199)=10, MONTH(D199)=11), "Spring",
 IF(OR(MONTH(D199)=12, MONTH(D199)=1, MONTH(D199)=2), "Summer",
 IF(OR(MONTH(D199)=3, MONTH(D199)=4, MONTH(D199)=5), "Autumn",
 IF(OR(MONTH(D199)=6, MONTH(D199)=7, MONTH(D199)=8), "Winter", "Unknown"
))))</f>
        <v>Spring</v>
      </c>
      <c r="F199" s="15">
        <v>86</v>
      </c>
      <c r="G199" s="15">
        <v>74</v>
      </c>
      <c r="H199" s="46">
        <f>F199+G199</f>
        <v>160</v>
      </c>
      <c r="I199" s="49">
        <v>404</v>
      </c>
      <c r="J199" s="46">
        <f t="shared" si="3"/>
        <v>-244</v>
      </c>
      <c r="K199" s="15">
        <v>46</v>
      </c>
      <c r="L199" s="15">
        <f>H199-K199</f>
        <v>114</v>
      </c>
      <c r="M199" s="15">
        <v>28</v>
      </c>
      <c r="N199" s="50" t="e">
        <f>IF(B199="Camera",#REF!, IF(B199="Headphones",#REF!, IF(B199="Laptop",#REF!, IF(B199="Smartphone",#REF!, IF(B199="Smartwatch",#REF!,#REF!)))))</f>
        <v>#REF!</v>
      </c>
      <c r="O199" s="50" t="e">
        <f>M199-N199</f>
        <v>#REF!</v>
      </c>
      <c r="P199" s="51">
        <f>K199/((F199+M199)/2)</f>
        <v>0.80701754385964908</v>
      </c>
      <c r="Q199" s="15">
        <v>13</v>
      </c>
      <c r="R199" s="15">
        <v>0.97085219104737996</v>
      </c>
      <c r="S199" s="52">
        <v>118.88114084035401</v>
      </c>
    </row>
    <row r="200" spans="1:26" x14ac:dyDescent="0.15">
      <c r="A200" s="15">
        <v>1</v>
      </c>
      <c r="B200" s="15" t="s">
        <v>10</v>
      </c>
      <c r="C200" s="46" t="str">
        <f>IF(B200="Smartphone", "Electronics", IF(B200="Laptop", "Computing", IF(B200="Tablet", "Mobile", IF(B200="Smartwatch", "Wearables", IF(B200="Headphones", "Audio", "Photography")))))</f>
        <v>Electronics</v>
      </c>
      <c r="D200" s="47">
        <v>44470</v>
      </c>
      <c r="E200" s="48" t="str">
        <f>IF(OR(MONTH(D200)=9, MONTH(D200)=10, MONTH(D200)=11), "Spring",
 IF(OR(MONTH(D200)=12, MONTH(D200)=1, MONTH(D200)=2), "Summer",
 IF(OR(MONTH(D200)=3, MONTH(D200)=4, MONTH(D200)=5), "Autumn",
 IF(OR(MONTH(D200)=6, MONTH(D200)=7, MONTH(D200)=8), "Winter", "Unknown"
))))</f>
        <v>Spring</v>
      </c>
      <c r="F200" s="15">
        <v>58</v>
      </c>
      <c r="G200" s="15">
        <v>190</v>
      </c>
      <c r="H200" s="46">
        <f>F200+G200</f>
        <v>248</v>
      </c>
      <c r="I200" s="49">
        <v>564</v>
      </c>
      <c r="J200" s="46">
        <f t="shared" si="3"/>
        <v>-316</v>
      </c>
      <c r="K200" s="15">
        <v>168</v>
      </c>
      <c r="L200" s="15">
        <f>H200-K200</f>
        <v>80</v>
      </c>
      <c r="M200" s="15">
        <v>22</v>
      </c>
      <c r="N200" s="50" t="e">
        <f>IF(B200="Camera",#REF!, IF(B200="Headphones",#REF!, IF(B200="Laptop",#REF!, IF(B200="Smartphone",#REF!, IF(B200="Smartwatch",#REF!,#REF!)))))</f>
        <v>#REF!</v>
      </c>
      <c r="O200" s="50" t="e">
        <f>M200-N200</f>
        <v>#REF!</v>
      </c>
      <c r="P200" s="51">
        <f>K200/((F200+M200)/2)</f>
        <v>4.2</v>
      </c>
      <c r="Q200" s="15">
        <v>1</v>
      </c>
      <c r="R200" s="15">
        <v>0.91962325705632897</v>
      </c>
      <c r="S200" s="52">
        <v>60.3453059656186</v>
      </c>
      <c r="U200" s="15"/>
      <c r="V200" s="15"/>
      <c r="W200" s="15"/>
      <c r="X200" s="15"/>
      <c r="Y200" s="15"/>
      <c r="Z200" s="15"/>
    </row>
    <row r="201" spans="1:26" x14ac:dyDescent="0.15">
      <c r="A201" s="15">
        <v>2</v>
      </c>
      <c r="B201" s="15" t="s">
        <v>11</v>
      </c>
      <c r="C201" s="46" t="str">
        <f>IF(B201="Smartphone", "Electronics", IF(B201="Laptop", "Computing", IF(B201="Tablet", "Mobile", IF(B201="Smartwatch", "Wearables", IF(B201="Headphones", "Audio", "Photography")))))</f>
        <v>Computing</v>
      </c>
      <c r="D201" s="47">
        <v>44470</v>
      </c>
      <c r="E201" s="48" t="str">
        <f>IF(OR(MONTH(D201)=9, MONTH(D201)=10, MONTH(D201)=11), "Spring",
 IF(OR(MONTH(D201)=12, MONTH(D201)=1, MONTH(D201)=2), "Summer",
 IF(OR(MONTH(D201)=3, MONTH(D201)=4, MONTH(D201)=5), "Autumn",
 IF(OR(MONTH(D201)=6, MONTH(D201)=7, MONTH(D201)=8), "Winter", "Unknown"
))))</f>
        <v>Spring</v>
      </c>
      <c r="F201" s="15">
        <v>310</v>
      </c>
      <c r="G201" s="15">
        <v>166</v>
      </c>
      <c r="H201" s="46">
        <f>F201+G201</f>
        <v>476</v>
      </c>
      <c r="I201" s="49">
        <v>460</v>
      </c>
      <c r="J201" s="46">
        <f t="shared" si="3"/>
        <v>16</v>
      </c>
      <c r="K201" s="15">
        <v>460</v>
      </c>
      <c r="L201" s="15">
        <f>H201-K201</f>
        <v>16</v>
      </c>
      <c r="M201" s="15">
        <v>92</v>
      </c>
      <c r="N201" s="50" t="e">
        <f>IF(B201="Camera",#REF!, IF(B201="Headphones",#REF!, IF(B201="Laptop",#REF!, IF(B201="Smartphone",#REF!, IF(B201="Smartwatch",#REF!,#REF!)))))</f>
        <v>#REF!</v>
      </c>
      <c r="O201" s="50" t="e">
        <f>M201-N201</f>
        <v>#REF!</v>
      </c>
      <c r="P201" s="51">
        <f>K201/((F201+M201)/2)</f>
        <v>2.2885572139303481</v>
      </c>
      <c r="Q201" s="15">
        <v>17</v>
      </c>
      <c r="R201" s="15">
        <v>0.93147970681969805</v>
      </c>
      <c r="S201" s="52">
        <v>44.896162545966398</v>
      </c>
      <c r="U201" s="15"/>
      <c r="V201" s="15"/>
      <c r="W201" s="15"/>
      <c r="X201" s="15"/>
      <c r="Y201" s="15"/>
      <c r="Z201" s="15"/>
    </row>
    <row r="202" spans="1:26" x14ac:dyDescent="0.15">
      <c r="A202" s="15">
        <v>3</v>
      </c>
      <c r="B202" s="15" t="s">
        <v>12</v>
      </c>
      <c r="C202" s="46" t="str">
        <f>IF(B202="Smartphone", "Electronics", IF(B202="Laptop", "Computing", IF(B202="Tablet", "Mobile", IF(B202="Smartwatch", "Wearables", IF(B202="Headphones", "Audio", "Photography")))))</f>
        <v>Mobile</v>
      </c>
      <c r="D202" s="47">
        <v>44470</v>
      </c>
      <c r="E202" s="48" t="str">
        <f>IF(OR(MONTH(D202)=9, MONTH(D202)=10, MONTH(D202)=11), "Spring",
 IF(OR(MONTH(D202)=12, MONTH(D202)=1, MONTH(D202)=2), "Summer",
 IF(OR(MONTH(D202)=3, MONTH(D202)=4, MONTH(D202)=5), "Autumn",
 IF(OR(MONTH(D202)=6, MONTH(D202)=7, MONTH(D202)=8), "Winter", "Unknown"
))))</f>
        <v>Spring</v>
      </c>
      <c r="F202" s="15">
        <v>54</v>
      </c>
      <c r="G202" s="15">
        <v>268</v>
      </c>
      <c r="H202" s="46">
        <f>F202+G202</f>
        <v>322</v>
      </c>
      <c r="I202" s="49">
        <v>729</v>
      </c>
      <c r="J202" s="46">
        <f t="shared" si="3"/>
        <v>-407</v>
      </c>
      <c r="K202" s="15">
        <v>348</v>
      </c>
      <c r="L202" s="15">
        <f>H202-K202</f>
        <v>-26</v>
      </c>
      <c r="M202" s="15">
        <v>93</v>
      </c>
      <c r="N202" s="50" t="e">
        <f>IF(B202="Camera",#REF!, IF(B202="Headphones",#REF!, IF(B202="Laptop",#REF!, IF(B202="Smartphone",#REF!, IF(B202="Smartwatch",#REF!,#REF!)))))</f>
        <v>#REF!</v>
      </c>
      <c r="O202" s="50" t="e">
        <f>M202-N202</f>
        <v>#REF!</v>
      </c>
      <c r="P202" s="51">
        <f>K202/((F202+M202)/2)</f>
        <v>4.7346938775510203</v>
      </c>
      <c r="Q202" s="15">
        <v>6</v>
      </c>
      <c r="R202" s="15">
        <v>0.95747117180006303</v>
      </c>
      <c r="S202" s="52">
        <v>12.1569248275547</v>
      </c>
      <c r="U202" s="15"/>
      <c r="V202" s="15"/>
      <c r="W202" s="15"/>
      <c r="X202" s="15"/>
      <c r="Y202" s="15"/>
      <c r="Z202" s="15"/>
    </row>
    <row r="203" spans="1:26" x14ac:dyDescent="0.15">
      <c r="A203" s="15">
        <v>4</v>
      </c>
      <c r="B203" s="15" t="s">
        <v>13</v>
      </c>
      <c r="C203" s="46" t="str">
        <f>IF(B203="Smartphone", "Electronics", IF(B203="Laptop", "Computing", IF(B203="Tablet", "Mobile", IF(B203="Smartwatch", "Wearables", IF(B203="Headphones", "Audio", "Photography")))))</f>
        <v>Wearables</v>
      </c>
      <c r="D203" s="47">
        <v>44470</v>
      </c>
      <c r="E203" s="48" t="str">
        <f>IF(OR(MONTH(D203)=9, MONTH(D203)=10, MONTH(D203)=11), "Spring",
 IF(OR(MONTH(D203)=12, MONTH(D203)=1, MONTH(D203)=2), "Summer",
 IF(OR(MONTH(D203)=3, MONTH(D203)=4, MONTH(D203)=5), "Autumn",
 IF(OR(MONTH(D203)=6, MONTH(D203)=7, MONTH(D203)=8), "Winter", "Unknown"
))))</f>
        <v>Spring</v>
      </c>
      <c r="F203" s="15">
        <v>9</v>
      </c>
      <c r="G203" s="15">
        <v>454</v>
      </c>
      <c r="H203" s="46">
        <f>F203+G203</f>
        <v>463</v>
      </c>
      <c r="I203" s="49">
        <v>325</v>
      </c>
      <c r="J203" s="46">
        <f t="shared" si="3"/>
        <v>138</v>
      </c>
      <c r="K203" s="15">
        <v>325</v>
      </c>
      <c r="L203" s="15">
        <f>H203-K203</f>
        <v>138</v>
      </c>
      <c r="M203" s="15">
        <v>129</v>
      </c>
      <c r="N203" s="50" t="e">
        <f>IF(B203="Camera",#REF!, IF(B203="Headphones",#REF!, IF(B203="Laptop",#REF!, IF(B203="Smartphone",#REF!, IF(B203="Smartwatch",#REF!,#REF!)))))</f>
        <v>#REF!</v>
      </c>
      <c r="O203" s="50" t="e">
        <f>M203-N203</f>
        <v>#REF!</v>
      </c>
      <c r="P203" s="51">
        <f>K203/((F203+M203)/2)</f>
        <v>4.7101449275362315</v>
      </c>
      <c r="Q203" s="15">
        <v>4</v>
      </c>
      <c r="R203" s="15">
        <v>0.92865660263462402</v>
      </c>
      <c r="S203" s="52">
        <v>38.403486457617298</v>
      </c>
      <c r="U203" s="15"/>
      <c r="V203" s="15"/>
      <c r="W203" s="15"/>
      <c r="X203" s="15"/>
      <c r="Y203" s="15"/>
      <c r="Z203" s="15"/>
    </row>
    <row r="204" spans="1:26" x14ac:dyDescent="0.15">
      <c r="A204" s="15">
        <v>5</v>
      </c>
      <c r="B204" s="15" t="s">
        <v>14</v>
      </c>
      <c r="C204" s="46" t="str">
        <f>IF(B204="Smartphone", "Electronics", IF(B204="Laptop", "Computing", IF(B204="Tablet", "Mobile", IF(B204="Smartwatch", "Wearables", IF(B204="Headphones", "Audio", "Photography")))))</f>
        <v>Audio</v>
      </c>
      <c r="D204" s="47">
        <v>44470</v>
      </c>
      <c r="E204" s="48" t="str">
        <f>IF(OR(MONTH(D204)=9, MONTH(D204)=10, MONTH(D204)=11), "Spring",
 IF(OR(MONTH(D204)=12, MONTH(D204)=1, MONTH(D204)=2), "Summer",
 IF(OR(MONTH(D204)=3, MONTH(D204)=4, MONTH(D204)=5), "Autumn",
 IF(OR(MONTH(D204)=6, MONTH(D204)=7, MONTH(D204)=8), "Winter", "Unknown"
))))</f>
        <v>Spring</v>
      </c>
      <c r="F204" s="15">
        <v>3</v>
      </c>
      <c r="G204" s="15">
        <v>74</v>
      </c>
      <c r="H204" s="46">
        <f>F204+G204</f>
        <v>77</v>
      </c>
      <c r="I204" s="49">
        <v>1775</v>
      </c>
      <c r="J204" s="46">
        <f t="shared" si="3"/>
        <v>-1698</v>
      </c>
      <c r="K204" s="15">
        <v>73</v>
      </c>
      <c r="L204" s="15">
        <f>H204-K204</f>
        <v>4</v>
      </c>
      <c r="M204" s="15">
        <v>1</v>
      </c>
      <c r="N204" s="50" t="e">
        <f>IF(B204="Camera",#REF!, IF(B204="Headphones",#REF!, IF(B204="Laptop",#REF!, IF(B204="Smartphone",#REF!, IF(B204="Smartwatch",#REF!,#REF!)))))</f>
        <v>#REF!</v>
      </c>
      <c r="O204" s="50" t="e">
        <f>M204-N204</f>
        <v>#REF!</v>
      </c>
      <c r="P204" s="51">
        <f>K204/((F204+M204)/2)</f>
        <v>36.5</v>
      </c>
      <c r="Q204" s="15">
        <v>20</v>
      </c>
      <c r="R204" s="15">
        <v>0.93364431081587196</v>
      </c>
      <c r="S204" s="52">
        <v>35.008653059620599</v>
      </c>
      <c r="U204" s="15"/>
      <c r="V204" s="15"/>
      <c r="W204" s="15"/>
      <c r="X204" s="15"/>
      <c r="Y204" s="15"/>
      <c r="Z204" s="15"/>
    </row>
    <row r="205" spans="1:26" x14ac:dyDescent="0.15">
      <c r="A205" s="15">
        <v>6</v>
      </c>
      <c r="B205" s="15" t="s">
        <v>15</v>
      </c>
      <c r="C205" s="46" t="str">
        <f>IF(B205="Smartphone", "Electronics", IF(B205="Laptop", "Computing", IF(B205="Tablet", "Mobile", IF(B205="Smartwatch", "Wearables", IF(B205="Headphones", "Audio", "Photography")))))</f>
        <v>Photography</v>
      </c>
      <c r="D205" s="47">
        <v>44470</v>
      </c>
      <c r="E205" s="48" t="str">
        <f>IF(OR(MONTH(D205)=9, MONTH(D205)=10, MONTH(D205)=11), "Spring",
 IF(OR(MONTH(D205)=12, MONTH(D205)=1, MONTH(D205)=2), "Summer",
 IF(OR(MONTH(D205)=3, MONTH(D205)=4, MONTH(D205)=5), "Autumn",
 IF(OR(MONTH(D205)=6, MONTH(D205)=7, MONTH(D205)=8), "Winter", "Unknown"
))))</f>
        <v>Spring</v>
      </c>
      <c r="F205" s="15">
        <v>129</v>
      </c>
      <c r="G205" s="15">
        <v>128</v>
      </c>
      <c r="H205" s="46">
        <f>F205+G205</f>
        <v>257</v>
      </c>
      <c r="I205" s="49">
        <v>595</v>
      </c>
      <c r="J205" s="46">
        <f t="shared" si="3"/>
        <v>-338</v>
      </c>
      <c r="K205" s="15">
        <v>243</v>
      </c>
      <c r="L205" s="15">
        <f>H205-K205</f>
        <v>14</v>
      </c>
      <c r="M205" s="15">
        <v>71</v>
      </c>
      <c r="N205" s="50" t="e">
        <f>IF(B205="Camera",#REF!, IF(B205="Headphones",#REF!, IF(B205="Laptop",#REF!, IF(B205="Smartphone",#REF!, IF(B205="Smartwatch",#REF!,#REF!)))))</f>
        <v>#REF!</v>
      </c>
      <c r="O205" s="50" t="e">
        <f>M205-N205</f>
        <v>#REF!</v>
      </c>
      <c r="P205" s="51">
        <f>K205/((F205+M205)/2)</f>
        <v>2.4300000000000002</v>
      </c>
      <c r="Q205" s="15">
        <v>16</v>
      </c>
      <c r="R205" s="15">
        <v>0.89177917797693096</v>
      </c>
      <c r="S205" s="52">
        <v>10.162026533108699</v>
      </c>
    </row>
    <row r="206" spans="1:26" x14ac:dyDescent="0.15">
      <c r="A206" s="15">
        <v>1</v>
      </c>
      <c r="B206" s="15" t="s">
        <v>10</v>
      </c>
      <c r="C206" s="46" t="str">
        <f>IF(B206="Smartphone", "Electronics", IF(B206="Laptop", "Computing", IF(B206="Tablet", "Mobile", IF(B206="Smartwatch", "Wearables", IF(B206="Headphones", "Audio", "Photography")))))</f>
        <v>Electronics</v>
      </c>
      <c r="D206" s="47">
        <v>44501</v>
      </c>
      <c r="E206" s="48" t="str">
        <f>IF(OR(MONTH(D206)=9, MONTH(D206)=10, MONTH(D206)=11), "Spring",
 IF(OR(MONTH(D206)=12, MONTH(D206)=1, MONTH(D206)=2), "Summer",
 IF(OR(MONTH(D206)=3, MONTH(D206)=4, MONTH(D206)=5), "Autumn",
 IF(OR(MONTH(D206)=6, MONTH(D206)=7, MONTH(D206)=8), "Winter", "Unknown"
))))</f>
        <v>Spring</v>
      </c>
      <c r="F206" s="15">
        <v>21</v>
      </c>
      <c r="G206" s="15">
        <v>117</v>
      </c>
      <c r="H206" s="46">
        <f>F206+G206</f>
        <v>138</v>
      </c>
      <c r="I206" s="49">
        <v>368</v>
      </c>
      <c r="J206" s="46">
        <f t="shared" si="3"/>
        <v>-230</v>
      </c>
      <c r="K206" s="15">
        <v>84</v>
      </c>
      <c r="L206" s="15">
        <f>H206-K206</f>
        <v>54</v>
      </c>
      <c r="M206" s="15">
        <v>33</v>
      </c>
      <c r="N206" s="50" t="e">
        <f>IF(B206="Camera",#REF!, IF(B206="Headphones",#REF!, IF(B206="Laptop",#REF!, IF(B206="Smartphone",#REF!, IF(B206="Smartwatch",#REF!,#REF!)))))</f>
        <v>#REF!</v>
      </c>
      <c r="O206" s="50" t="e">
        <f>M206-N206</f>
        <v>#REF!</v>
      </c>
      <c r="P206" s="51">
        <f>K206/((F206+M206)/2)</f>
        <v>3.1111111111111112</v>
      </c>
      <c r="Q206" s="15">
        <v>15</v>
      </c>
      <c r="R206" s="15">
        <v>0.91860843407360404</v>
      </c>
      <c r="S206" s="52">
        <v>86.868711900739399</v>
      </c>
      <c r="U206" s="15"/>
      <c r="V206" s="15"/>
      <c r="W206" s="15"/>
      <c r="X206" s="15"/>
      <c r="Y206" s="15"/>
      <c r="Z206" s="15"/>
    </row>
    <row r="207" spans="1:26" x14ac:dyDescent="0.15">
      <c r="A207" s="15">
        <v>2</v>
      </c>
      <c r="B207" s="15" t="s">
        <v>11</v>
      </c>
      <c r="C207" s="46" t="str">
        <f>IF(B207="Smartphone", "Electronics", IF(B207="Laptop", "Computing", IF(B207="Tablet", "Mobile", IF(B207="Smartwatch", "Wearables", IF(B207="Headphones", "Audio", "Photography")))))</f>
        <v>Computing</v>
      </c>
      <c r="D207" s="47">
        <v>44501</v>
      </c>
      <c r="E207" s="48" t="str">
        <f>IF(OR(MONTH(D207)=9, MONTH(D207)=10, MONTH(D207)=11), "Spring",
 IF(OR(MONTH(D207)=12, MONTH(D207)=1, MONTH(D207)=2), "Summer",
 IF(OR(MONTH(D207)=3, MONTH(D207)=4, MONTH(D207)=5), "Autumn",
 IF(OR(MONTH(D207)=6, MONTH(D207)=7, MONTH(D207)=8), "Winter", "Unknown"
))))</f>
        <v>Spring</v>
      </c>
      <c r="F207" s="15">
        <v>59</v>
      </c>
      <c r="G207" s="15">
        <v>222</v>
      </c>
      <c r="H207" s="46">
        <f>F207+G207</f>
        <v>281</v>
      </c>
      <c r="I207" s="49">
        <v>746</v>
      </c>
      <c r="J207" s="46">
        <f t="shared" si="3"/>
        <v>-465</v>
      </c>
      <c r="K207" s="15">
        <v>166</v>
      </c>
      <c r="L207" s="15">
        <f>H207-K207</f>
        <v>115</v>
      </c>
      <c r="M207" s="15">
        <v>73</v>
      </c>
      <c r="N207" s="50" t="e">
        <f>IF(B207="Camera",#REF!, IF(B207="Headphones",#REF!, IF(B207="Laptop",#REF!, IF(B207="Smartphone",#REF!, IF(B207="Smartwatch",#REF!,#REF!)))))</f>
        <v>#REF!</v>
      </c>
      <c r="O207" s="50" t="e">
        <f>M207-N207</f>
        <v>#REF!</v>
      </c>
      <c r="P207" s="51">
        <f>K207/((F207+M207)/2)</f>
        <v>2.5151515151515151</v>
      </c>
      <c r="Q207" s="15">
        <v>27</v>
      </c>
      <c r="R207" s="15">
        <v>0.87062510925141201</v>
      </c>
      <c r="S207" s="52">
        <v>16.941834846070499</v>
      </c>
      <c r="U207" s="15"/>
      <c r="V207" s="15"/>
      <c r="W207" s="15"/>
      <c r="X207" s="15"/>
      <c r="Y207" s="15"/>
      <c r="Z207" s="15"/>
    </row>
    <row r="208" spans="1:26" x14ac:dyDescent="0.15">
      <c r="A208" s="15">
        <v>3</v>
      </c>
      <c r="B208" s="15" t="s">
        <v>12</v>
      </c>
      <c r="C208" s="46" t="str">
        <f>IF(B208="Smartphone", "Electronics", IF(B208="Laptop", "Computing", IF(B208="Tablet", "Mobile", IF(B208="Smartwatch", "Wearables", IF(B208="Headphones", "Audio", "Photography")))))</f>
        <v>Mobile</v>
      </c>
      <c r="D208" s="47">
        <v>44501</v>
      </c>
      <c r="E208" s="48" t="str">
        <f>IF(OR(MONTH(D208)=9, MONTH(D208)=10, MONTH(D208)=11), "Spring",
 IF(OR(MONTH(D208)=12, MONTH(D208)=1, MONTH(D208)=2), "Summer",
 IF(OR(MONTH(D208)=3, MONTH(D208)=4, MONTH(D208)=5), "Autumn",
 IF(OR(MONTH(D208)=6, MONTH(D208)=7, MONTH(D208)=8), "Winter", "Unknown"
))))</f>
        <v>Spring</v>
      </c>
      <c r="F208" s="15">
        <v>4</v>
      </c>
      <c r="G208" s="15">
        <v>493</v>
      </c>
      <c r="H208" s="46">
        <f>F208+G208</f>
        <v>497</v>
      </c>
      <c r="I208" s="49">
        <v>197</v>
      </c>
      <c r="J208" s="46">
        <f t="shared" si="3"/>
        <v>300</v>
      </c>
      <c r="K208" s="15">
        <v>197</v>
      </c>
      <c r="L208" s="15">
        <f>H208-K208</f>
        <v>300</v>
      </c>
      <c r="M208" s="15">
        <v>346</v>
      </c>
      <c r="N208" s="50" t="e">
        <f>IF(B208="Camera",#REF!, IF(B208="Headphones",#REF!, IF(B208="Laptop",#REF!, IF(B208="Smartphone",#REF!, IF(B208="Smartwatch",#REF!,#REF!)))))</f>
        <v>#REF!</v>
      </c>
      <c r="O208" s="50" t="e">
        <f>M208-N208</f>
        <v>#REF!</v>
      </c>
      <c r="P208" s="51">
        <f>K208/((F208+M208)/2)</f>
        <v>1.1257142857142857</v>
      </c>
      <c r="Q208" s="15">
        <v>15</v>
      </c>
      <c r="R208" s="15">
        <v>0.88282944502060101</v>
      </c>
      <c r="S208" s="52">
        <v>171.95325993788401</v>
      </c>
      <c r="U208" s="15"/>
      <c r="V208" s="15"/>
      <c r="W208" s="15"/>
      <c r="X208" s="15"/>
      <c r="Y208" s="15"/>
      <c r="Z208" s="15"/>
    </row>
    <row r="209" spans="1:26" x14ac:dyDescent="0.15">
      <c r="A209" s="15">
        <v>4</v>
      </c>
      <c r="B209" s="15" t="s">
        <v>13</v>
      </c>
      <c r="C209" s="46" t="str">
        <f>IF(B209="Smartphone", "Electronics", IF(B209="Laptop", "Computing", IF(B209="Tablet", "Mobile", IF(B209="Smartwatch", "Wearables", IF(B209="Headphones", "Audio", "Photography")))))</f>
        <v>Wearables</v>
      </c>
      <c r="D209" s="47">
        <v>44501</v>
      </c>
      <c r="E209" s="48" t="str">
        <f>IF(OR(MONTH(D209)=9, MONTH(D209)=10, MONTH(D209)=11), "Spring",
 IF(OR(MONTH(D209)=12, MONTH(D209)=1, MONTH(D209)=2), "Summer",
 IF(OR(MONTH(D209)=3, MONTH(D209)=4, MONTH(D209)=5), "Autumn",
 IF(OR(MONTH(D209)=6, MONTH(D209)=7, MONTH(D209)=8), "Winter", "Unknown"
))))</f>
        <v>Spring</v>
      </c>
      <c r="F209" s="15">
        <v>46</v>
      </c>
      <c r="G209" s="15">
        <v>61</v>
      </c>
      <c r="H209" s="46">
        <f>F209+G209</f>
        <v>107</v>
      </c>
      <c r="I209" s="49">
        <v>915</v>
      </c>
      <c r="J209" s="46">
        <f t="shared" si="3"/>
        <v>-808</v>
      </c>
      <c r="K209" s="15">
        <v>85</v>
      </c>
      <c r="L209" s="15">
        <f>H209-K209</f>
        <v>22</v>
      </c>
      <c r="M209" s="15">
        <v>89</v>
      </c>
      <c r="N209" s="50" t="e">
        <f>IF(B209="Camera",#REF!, IF(B209="Headphones",#REF!, IF(B209="Laptop",#REF!, IF(B209="Smartphone",#REF!, IF(B209="Smartwatch",#REF!,#REF!)))))</f>
        <v>#REF!</v>
      </c>
      <c r="O209" s="50" t="e">
        <f>M209-N209</f>
        <v>#REF!</v>
      </c>
      <c r="P209" s="51">
        <f>K209/((F209+M209)/2)</f>
        <v>1.2592592592592593</v>
      </c>
      <c r="Q209" s="15">
        <v>6</v>
      </c>
      <c r="R209" s="15">
        <v>0.99823475239844495</v>
      </c>
      <c r="S209" s="52">
        <v>44.038389136708197</v>
      </c>
      <c r="U209" s="15"/>
      <c r="V209" s="15"/>
      <c r="W209" s="15"/>
      <c r="X209" s="15"/>
      <c r="Y209" s="15"/>
      <c r="Z209" s="15"/>
    </row>
    <row r="210" spans="1:26" x14ac:dyDescent="0.15">
      <c r="A210" s="15">
        <v>5</v>
      </c>
      <c r="B210" s="15" t="s">
        <v>14</v>
      </c>
      <c r="C210" s="46" t="str">
        <f>IF(B210="Smartphone", "Electronics", IF(B210="Laptop", "Computing", IF(B210="Tablet", "Mobile", IF(B210="Smartwatch", "Wearables", IF(B210="Headphones", "Audio", "Photography")))))</f>
        <v>Audio</v>
      </c>
      <c r="D210" s="47">
        <v>44501</v>
      </c>
      <c r="E210" s="48" t="str">
        <f>IF(OR(MONTH(D210)=9, MONTH(D210)=10, MONTH(D210)=11), "Spring",
 IF(OR(MONTH(D210)=12, MONTH(D210)=1, MONTH(D210)=2), "Summer",
 IF(OR(MONTH(D210)=3, MONTH(D210)=4, MONTH(D210)=5), "Autumn",
 IF(OR(MONTH(D210)=6, MONTH(D210)=7, MONTH(D210)=8), "Winter", "Unknown"
))))</f>
        <v>Spring</v>
      </c>
      <c r="F210" s="15">
        <v>99</v>
      </c>
      <c r="G210" s="15">
        <v>337</v>
      </c>
      <c r="H210" s="46">
        <f>F210+G210</f>
        <v>436</v>
      </c>
      <c r="I210" s="49">
        <v>1741</v>
      </c>
      <c r="J210" s="46">
        <f t="shared" si="3"/>
        <v>-1305</v>
      </c>
      <c r="K210" s="15">
        <v>290</v>
      </c>
      <c r="L210" s="15">
        <f>H210-K210</f>
        <v>146</v>
      </c>
      <c r="M210" s="15">
        <v>47</v>
      </c>
      <c r="N210" s="50" t="e">
        <f>IF(B210="Camera",#REF!, IF(B210="Headphones",#REF!, IF(B210="Laptop",#REF!, IF(B210="Smartphone",#REF!, IF(B210="Smartwatch",#REF!,#REF!)))))</f>
        <v>#REF!</v>
      </c>
      <c r="O210" s="50" t="e">
        <f>M210-N210</f>
        <v>#REF!</v>
      </c>
      <c r="P210" s="51">
        <f>K210/((F210+M210)/2)</f>
        <v>3.9726027397260273</v>
      </c>
      <c r="Q210" s="15">
        <v>15</v>
      </c>
      <c r="R210" s="15">
        <v>0.85959032074747799</v>
      </c>
      <c r="S210" s="52">
        <v>27.6353524234245</v>
      </c>
      <c r="U210" s="15"/>
      <c r="V210" s="15"/>
      <c r="W210" s="15"/>
      <c r="X210" s="15"/>
      <c r="Y210" s="15"/>
      <c r="Z210" s="15"/>
    </row>
    <row r="211" spans="1:26" x14ac:dyDescent="0.15">
      <c r="A211" s="15">
        <v>6</v>
      </c>
      <c r="B211" s="15" t="s">
        <v>15</v>
      </c>
      <c r="C211" s="46" t="str">
        <f>IF(B211="Smartphone", "Electronics", IF(B211="Laptop", "Computing", IF(B211="Tablet", "Mobile", IF(B211="Smartwatch", "Wearables", IF(B211="Headphones", "Audio", "Photography")))))</f>
        <v>Photography</v>
      </c>
      <c r="D211" s="47">
        <v>44501</v>
      </c>
      <c r="E211" s="48" t="str">
        <f>IF(OR(MONTH(D211)=9, MONTH(D211)=10, MONTH(D211)=11), "Spring",
 IF(OR(MONTH(D211)=12, MONTH(D211)=1, MONTH(D211)=2), "Summer",
 IF(OR(MONTH(D211)=3, MONTH(D211)=4, MONTH(D211)=5), "Autumn",
 IF(OR(MONTH(D211)=6, MONTH(D211)=7, MONTH(D211)=8), "Winter", "Unknown"
))))</f>
        <v>Spring</v>
      </c>
      <c r="F211" s="15">
        <v>36</v>
      </c>
      <c r="G211" s="15">
        <v>177</v>
      </c>
      <c r="H211" s="46">
        <f>F211+G211</f>
        <v>213</v>
      </c>
      <c r="I211" s="49">
        <v>473</v>
      </c>
      <c r="J211" s="46">
        <f t="shared" si="3"/>
        <v>-260</v>
      </c>
      <c r="K211" s="15">
        <v>164</v>
      </c>
      <c r="L211" s="15">
        <f>H211-K211</f>
        <v>49</v>
      </c>
      <c r="M211" s="15">
        <v>13</v>
      </c>
      <c r="N211" s="50" t="e">
        <f>IF(B211="Camera",#REF!, IF(B211="Headphones",#REF!, IF(B211="Laptop",#REF!, IF(B211="Smartphone",#REF!, IF(B211="Smartwatch",#REF!,#REF!)))))</f>
        <v>#REF!</v>
      </c>
      <c r="O211" s="50" t="e">
        <f>M211-N211</f>
        <v>#REF!</v>
      </c>
      <c r="P211" s="51">
        <f>K211/((F211+M211)/2)</f>
        <v>6.6938775510204085</v>
      </c>
      <c r="Q211" s="15">
        <v>14</v>
      </c>
      <c r="R211" s="15">
        <v>0.90771585633181395</v>
      </c>
      <c r="S211" s="52">
        <v>41.542877780843703</v>
      </c>
    </row>
    <row r="212" spans="1:26" x14ac:dyDescent="0.15">
      <c r="A212" s="15">
        <v>1</v>
      </c>
      <c r="B212" s="15" t="s">
        <v>10</v>
      </c>
      <c r="C212" s="46" t="str">
        <f>IF(B212="Smartphone", "Electronics", IF(B212="Laptop", "Computing", IF(B212="Tablet", "Mobile", IF(B212="Smartwatch", "Wearables", IF(B212="Headphones", "Audio", "Photography")))))</f>
        <v>Electronics</v>
      </c>
      <c r="D212" s="47">
        <v>44531</v>
      </c>
      <c r="E212" s="48" t="str">
        <f>IF(OR(MONTH(D212)=9, MONTH(D212)=10, MONTH(D212)=11), "Spring",
 IF(OR(MONTH(D212)=12, MONTH(D212)=1, MONTH(D212)=2), "Summer",
 IF(OR(MONTH(D212)=3, MONTH(D212)=4, MONTH(D212)=5), "Autumn",
 IF(OR(MONTH(D212)=6, MONTH(D212)=7, MONTH(D212)=8), "Winter", "Unknown"
))))</f>
        <v>Summer</v>
      </c>
      <c r="F212" s="15">
        <v>61</v>
      </c>
      <c r="G212" s="15">
        <v>145</v>
      </c>
      <c r="H212" s="46">
        <f>F212+G212</f>
        <v>206</v>
      </c>
      <c r="I212" s="49">
        <v>538</v>
      </c>
      <c r="J212" s="46">
        <f t="shared" si="3"/>
        <v>-332</v>
      </c>
      <c r="K212" s="15">
        <v>124</v>
      </c>
      <c r="L212" s="15">
        <f>H212-K212</f>
        <v>82</v>
      </c>
      <c r="M212" s="15">
        <v>21</v>
      </c>
      <c r="N212" s="50" t="e">
        <f>IF(B212="Camera",#REF!, IF(B212="Headphones",#REF!, IF(B212="Laptop",#REF!, IF(B212="Smartphone",#REF!, IF(B212="Smartwatch",#REF!,#REF!)))))</f>
        <v>#REF!</v>
      </c>
      <c r="O212" s="50" t="e">
        <f>M212-N212</f>
        <v>#REF!</v>
      </c>
      <c r="P212" s="51">
        <f>K212/((F212+M212)/2)</f>
        <v>3.024390243902439</v>
      </c>
      <c r="Q212" s="15">
        <v>28</v>
      </c>
      <c r="R212" s="15">
        <v>0.90567345183577397</v>
      </c>
      <c r="S212" s="52">
        <v>42.640129015191597</v>
      </c>
      <c r="U212" s="15"/>
      <c r="V212" s="15"/>
      <c r="W212" s="15"/>
      <c r="X212" s="15"/>
      <c r="Y212" s="15"/>
      <c r="Z212" s="15"/>
    </row>
    <row r="213" spans="1:26" x14ac:dyDescent="0.15">
      <c r="A213" s="15">
        <v>2</v>
      </c>
      <c r="B213" s="15" t="s">
        <v>11</v>
      </c>
      <c r="C213" s="46" t="str">
        <f>IF(B213="Smartphone", "Electronics", IF(B213="Laptop", "Computing", IF(B213="Tablet", "Mobile", IF(B213="Smartwatch", "Wearables", IF(B213="Headphones", "Audio", "Photography")))))</f>
        <v>Computing</v>
      </c>
      <c r="D213" s="47">
        <v>44531</v>
      </c>
      <c r="E213" s="48" t="str">
        <f>IF(OR(MONTH(D213)=9, MONTH(D213)=10, MONTH(D213)=11), "Spring",
 IF(OR(MONTH(D213)=12, MONTH(D213)=1, MONTH(D213)=2), "Summer",
 IF(OR(MONTH(D213)=3, MONTH(D213)=4, MONTH(D213)=5), "Autumn",
 IF(OR(MONTH(D213)=6, MONTH(D213)=7, MONTH(D213)=8), "Winter", "Unknown"
))))</f>
        <v>Summer</v>
      </c>
      <c r="F213" s="15">
        <v>62</v>
      </c>
      <c r="G213" s="15">
        <v>268</v>
      </c>
      <c r="H213" s="46">
        <f>F213+G213</f>
        <v>330</v>
      </c>
      <c r="I213" s="49">
        <v>683</v>
      </c>
      <c r="J213" s="46">
        <f t="shared" si="3"/>
        <v>-353</v>
      </c>
      <c r="K213" s="15">
        <v>79</v>
      </c>
      <c r="L213" s="15">
        <f>H213-K213</f>
        <v>251</v>
      </c>
      <c r="M213" s="15">
        <v>62</v>
      </c>
      <c r="N213" s="50" t="e">
        <f>IF(B213="Camera",#REF!, IF(B213="Headphones",#REF!, IF(B213="Laptop",#REF!, IF(B213="Smartphone",#REF!, IF(B213="Smartwatch",#REF!,#REF!)))))</f>
        <v>#REF!</v>
      </c>
      <c r="O213" s="50" t="e">
        <f>M213-N213</f>
        <v>#REF!</v>
      </c>
      <c r="P213" s="51">
        <f>K213/((F213+M213)/2)</f>
        <v>1.2741935483870968</v>
      </c>
      <c r="Q213" s="15">
        <v>11</v>
      </c>
      <c r="R213" s="15">
        <v>0.88446227641095998</v>
      </c>
      <c r="S213" s="52">
        <v>62.443330706435802</v>
      </c>
      <c r="U213" s="15"/>
      <c r="V213" s="15"/>
      <c r="W213" s="15"/>
      <c r="X213" s="15"/>
      <c r="Y213" s="15"/>
      <c r="Z213" s="15"/>
    </row>
    <row r="214" spans="1:26" x14ac:dyDescent="0.15">
      <c r="A214" s="15">
        <v>3</v>
      </c>
      <c r="B214" s="15" t="s">
        <v>12</v>
      </c>
      <c r="C214" s="46" t="str">
        <f>IF(B214="Smartphone", "Electronics", IF(B214="Laptop", "Computing", IF(B214="Tablet", "Mobile", IF(B214="Smartwatch", "Wearables", IF(B214="Headphones", "Audio", "Photography")))))</f>
        <v>Mobile</v>
      </c>
      <c r="D214" s="47">
        <v>44531</v>
      </c>
      <c r="E214" s="48" t="str">
        <f>IF(OR(MONTH(D214)=9, MONTH(D214)=10, MONTH(D214)=11), "Spring",
 IF(OR(MONTH(D214)=12, MONTH(D214)=1, MONTH(D214)=2), "Summer",
 IF(OR(MONTH(D214)=3, MONTH(D214)=4, MONTH(D214)=5), "Autumn",
 IF(OR(MONTH(D214)=6, MONTH(D214)=7, MONTH(D214)=8), "Winter", "Unknown"
))))</f>
        <v>Summer</v>
      </c>
      <c r="F214" s="15">
        <v>53</v>
      </c>
      <c r="G214" s="15">
        <v>190</v>
      </c>
      <c r="H214" s="46">
        <f>F214+G214</f>
        <v>243</v>
      </c>
      <c r="I214" s="49">
        <v>100</v>
      </c>
      <c r="J214" s="46">
        <f t="shared" si="3"/>
        <v>143</v>
      </c>
      <c r="K214" s="15">
        <v>100</v>
      </c>
      <c r="L214" s="15">
        <f>H214-K214</f>
        <v>143</v>
      </c>
      <c r="M214" s="15">
        <v>90</v>
      </c>
      <c r="N214" s="50" t="e">
        <f>IF(B214="Camera",#REF!, IF(B214="Headphones",#REF!, IF(B214="Laptop",#REF!, IF(B214="Smartphone",#REF!, IF(B214="Smartwatch",#REF!,#REF!)))))</f>
        <v>#REF!</v>
      </c>
      <c r="O214" s="50" t="e">
        <f>M214-N214</f>
        <v>#REF!</v>
      </c>
      <c r="P214" s="51">
        <f>K214/((F214+M214)/2)</f>
        <v>1.3986013986013985</v>
      </c>
      <c r="Q214" s="15">
        <v>7</v>
      </c>
      <c r="R214" s="15">
        <v>0.92572004682852205</v>
      </c>
      <c r="S214" s="52">
        <v>400.62786852270102</v>
      </c>
      <c r="U214" s="15"/>
      <c r="V214" s="15"/>
      <c r="W214" s="15"/>
      <c r="X214" s="15"/>
      <c r="Y214" s="15"/>
      <c r="Z214" s="15"/>
    </row>
    <row r="215" spans="1:26" x14ac:dyDescent="0.15">
      <c r="A215" s="15">
        <v>4</v>
      </c>
      <c r="B215" s="15" t="s">
        <v>13</v>
      </c>
      <c r="C215" s="46" t="str">
        <f>IF(B215="Smartphone", "Electronics", IF(B215="Laptop", "Computing", IF(B215="Tablet", "Mobile", IF(B215="Smartwatch", "Wearables", IF(B215="Headphones", "Audio", "Photography")))))</f>
        <v>Wearables</v>
      </c>
      <c r="D215" s="47">
        <v>44531</v>
      </c>
      <c r="E215" s="48" t="str">
        <f>IF(OR(MONTH(D215)=9, MONTH(D215)=10, MONTH(D215)=11), "Spring",
 IF(OR(MONTH(D215)=12, MONTH(D215)=1, MONTH(D215)=2), "Summer",
 IF(OR(MONTH(D215)=3, MONTH(D215)=4, MONTH(D215)=5), "Autumn",
 IF(OR(MONTH(D215)=6, MONTH(D215)=7, MONTH(D215)=8), "Winter", "Unknown"
))))</f>
        <v>Summer</v>
      </c>
      <c r="F215" s="15">
        <v>15</v>
      </c>
      <c r="G215" s="15">
        <v>80</v>
      </c>
      <c r="H215" s="46">
        <f>F215+G215</f>
        <v>95</v>
      </c>
      <c r="I215" s="49">
        <v>312</v>
      </c>
      <c r="J215" s="46">
        <f t="shared" si="3"/>
        <v>-217</v>
      </c>
      <c r="K215" s="15">
        <v>132</v>
      </c>
      <c r="L215" s="15">
        <f>H215-K215</f>
        <v>-37</v>
      </c>
      <c r="M215" s="15">
        <v>72</v>
      </c>
      <c r="N215" s="50" t="e">
        <f>IF(B215="Camera",#REF!, IF(B215="Headphones",#REF!, IF(B215="Laptop",#REF!, IF(B215="Smartphone",#REF!, IF(B215="Smartwatch",#REF!,#REF!)))))</f>
        <v>#REF!</v>
      </c>
      <c r="O215" s="50" t="e">
        <f>M215-N215</f>
        <v>#REF!</v>
      </c>
      <c r="P215" s="51">
        <f>K215/((F215+M215)/2)</f>
        <v>3.0344827586206895</v>
      </c>
      <c r="Q215" s="15">
        <v>9</v>
      </c>
      <c r="R215" s="15">
        <v>0.92948610463706904</v>
      </c>
      <c r="S215" s="52">
        <v>119.737911352681</v>
      </c>
      <c r="U215" s="15"/>
      <c r="V215" s="15"/>
      <c r="W215" s="15"/>
      <c r="X215" s="15"/>
      <c r="Y215" s="15"/>
      <c r="Z215" s="15"/>
    </row>
    <row r="216" spans="1:26" x14ac:dyDescent="0.15">
      <c r="A216" s="15">
        <v>5</v>
      </c>
      <c r="B216" s="15" t="s">
        <v>14</v>
      </c>
      <c r="C216" s="46" t="str">
        <f>IF(B216="Smartphone", "Electronics", IF(B216="Laptop", "Computing", IF(B216="Tablet", "Mobile", IF(B216="Smartwatch", "Wearables", IF(B216="Headphones", "Audio", "Photography")))))</f>
        <v>Audio</v>
      </c>
      <c r="D216" s="47">
        <v>44531</v>
      </c>
      <c r="E216" s="48" t="str">
        <f>IF(OR(MONTH(D216)=9, MONTH(D216)=10, MONTH(D216)=11), "Spring",
 IF(OR(MONTH(D216)=12, MONTH(D216)=1, MONTH(D216)=2), "Summer",
 IF(OR(MONTH(D216)=3, MONTH(D216)=4, MONTH(D216)=5), "Autumn",
 IF(OR(MONTH(D216)=6, MONTH(D216)=7, MONTH(D216)=8), "Winter", "Unknown"
))))</f>
        <v>Summer</v>
      </c>
      <c r="F216" s="15">
        <v>33</v>
      </c>
      <c r="G216" s="15">
        <v>383</v>
      </c>
      <c r="H216" s="46">
        <f>F216+G216</f>
        <v>416</v>
      </c>
      <c r="I216" s="49">
        <v>1179</v>
      </c>
      <c r="J216" s="46">
        <f t="shared" si="3"/>
        <v>-763</v>
      </c>
      <c r="K216" s="15">
        <v>378</v>
      </c>
      <c r="L216" s="15">
        <f>H216-K216</f>
        <v>38</v>
      </c>
      <c r="M216" s="15">
        <v>5</v>
      </c>
      <c r="N216" s="50" t="e">
        <f>IF(B216="Camera",#REF!, IF(B216="Headphones",#REF!, IF(B216="Laptop",#REF!, IF(B216="Smartphone",#REF!, IF(B216="Smartwatch",#REF!,#REF!)))))</f>
        <v>#REF!</v>
      </c>
      <c r="O216" s="50" t="e">
        <f>M216-N216</f>
        <v>#REF!</v>
      </c>
      <c r="P216" s="51">
        <f>K216/((F216+M216)/2)</f>
        <v>19.894736842105264</v>
      </c>
      <c r="Q216" s="15">
        <v>26</v>
      </c>
      <c r="R216" s="15">
        <v>0.853709040842621</v>
      </c>
      <c r="S216" s="52">
        <v>49.521782892855697</v>
      </c>
      <c r="U216" s="15"/>
      <c r="V216" s="15"/>
      <c r="W216" s="15"/>
      <c r="X216" s="15"/>
      <c r="Y216" s="15"/>
      <c r="Z216" s="15"/>
    </row>
    <row r="217" spans="1:26" x14ac:dyDescent="0.15">
      <c r="A217" s="15">
        <v>6</v>
      </c>
      <c r="B217" s="15" t="s">
        <v>15</v>
      </c>
      <c r="C217" s="46" t="str">
        <f>IF(B217="Smartphone", "Electronics", IF(B217="Laptop", "Computing", IF(B217="Tablet", "Mobile", IF(B217="Smartwatch", "Wearables", IF(B217="Headphones", "Audio", "Photography")))))</f>
        <v>Photography</v>
      </c>
      <c r="D217" s="47">
        <v>44531</v>
      </c>
      <c r="E217" s="48" t="str">
        <f>IF(OR(MONTH(D217)=9, MONTH(D217)=10, MONTH(D217)=11), "Spring",
 IF(OR(MONTH(D217)=12, MONTH(D217)=1, MONTH(D217)=2), "Summer",
 IF(OR(MONTH(D217)=3, MONTH(D217)=4, MONTH(D217)=5), "Autumn",
 IF(OR(MONTH(D217)=6, MONTH(D217)=7, MONTH(D217)=8), "Winter", "Unknown"
))))</f>
        <v>Summer</v>
      </c>
      <c r="F217" s="15">
        <v>376</v>
      </c>
      <c r="G217" s="15">
        <v>69</v>
      </c>
      <c r="H217" s="46">
        <f>F217+G217</f>
        <v>445</v>
      </c>
      <c r="I217" s="49">
        <v>461</v>
      </c>
      <c r="J217" s="46">
        <f t="shared" si="3"/>
        <v>-16</v>
      </c>
      <c r="K217" s="15">
        <v>461</v>
      </c>
      <c r="L217" s="15">
        <f>H217-K217</f>
        <v>-16</v>
      </c>
      <c r="M217" s="15">
        <v>108</v>
      </c>
      <c r="N217" s="50" t="e">
        <f>IF(B217="Camera",#REF!, IF(B217="Headphones",#REF!, IF(B217="Laptop",#REF!, IF(B217="Smartphone",#REF!, IF(B217="Smartwatch",#REF!,#REF!)))))</f>
        <v>#REF!</v>
      </c>
      <c r="O217" s="50" t="e">
        <f>M217-N217</f>
        <v>#REF!</v>
      </c>
      <c r="P217" s="51">
        <f>K217/((F217+M217)/2)</f>
        <v>1.9049586776859504</v>
      </c>
      <c r="Q217" s="15">
        <v>16</v>
      </c>
      <c r="R217" s="15">
        <v>0.90506783557732695</v>
      </c>
      <c r="S217" s="52">
        <v>93.844434067556605</v>
      </c>
    </row>
  </sheetData>
  <autoFilter ref="A1:S217" xr:uid="{00000000-0001-0000-0000-000000000000}">
    <sortState xmlns:xlrd2="http://schemas.microsoft.com/office/spreadsheetml/2017/richdata2" ref="A2:S218">
      <sortCondition ref="D1:D218"/>
    </sortState>
  </autoFilter>
  <dataValidations count="1">
    <dataValidation type="decimal" allowBlank="1" showInputMessage="1" showErrorMessage="1" sqref="R1:R1048576" xr:uid="{0C101A37-8848-2349-9DB9-0E809A0A5F96}">
      <formula1>0.8</formula1>
      <formula2>1</formula2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9FA2-59D2-CD44-B47C-EABC6521D785}">
  <sheetPr>
    <tabColor rgb="FF00B0F0"/>
  </sheetPr>
  <dimension ref="A1:AI131"/>
  <sheetViews>
    <sheetView tabSelected="1" topLeftCell="S1" zoomScale="150" zoomScaleNormal="150" workbookViewId="0">
      <pane ySplit="1" topLeftCell="A99" activePane="bottomLeft" state="frozen"/>
      <selection pane="bottomLeft" activeCell="AA102" sqref="AA102"/>
    </sheetView>
  </sheetViews>
  <sheetFormatPr baseColWidth="10" defaultColWidth="8.83203125" defaultRowHeight="14" x14ac:dyDescent="0.15"/>
  <cols>
    <col min="1" max="1" width="3.6640625" style="15" customWidth="1"/>
    <col min="2" max="2" width="11.1640625" style="15" customWidth="1"/>
    <col min="3" max="3" width="11.1640625" style="15" hidden="1" customWidth="1"/>
    <col min="4" max="5" width="7" style="15" customWidth="1"/>
    <col min="6" max="6" width="8.83203125" style="15" hidden="1" customWidth="1"/>
    <col min="7" max="7" width="0" style="15" hidden="1" customWidth="1"/>
    <col min="8" max="9" width="9.6640625" style="15" hidden="1" customWidth="1"/>
    <col min="10" max="10" width="10.1640625" style="15" customWidth="1"/>
    <col min="11" max="14" width="10.1640625" style="15" hidden="1" customWidth="1"/>
    <col min="15" max="18" width="7" style="15" hidden="1" customWidth="1"/>
    <col min="19" max="19" width="12.5" style="15" bestFit="1" customWidth="1"/>
    <col min="20" max="20" width="9.6640625" style="15" customWidth="1"/>
    <col min="21" max="21" width="9.6640625" style="15" bestFit="1" customWidth="1"/>
    <col min="22" max="22" width="9.1640625" style="15" customWidth="1"/>
    <col min="23" max="23" width="12.83203125" style="15" customWidth="1"/>
    <col min="24" max="24" width="8.1640625" style="52" bestFit="1" customWidth="1"/>
    <col min="25" max="25" width="11" style="15" bestFit="1" customWidth="1"/>
    <col min="26" max="26" width="3.33203125" style="15" customWidth="1"/>
    <col min="27" max="27" width="20.5" style="15" customWidth="1"/>
    <col min="28" max="31" width="11.5" style="15" customWidth="1"/>
    <col min="32" max="32" width="13.33203125" style="15" customWidth="1"/>
    <col min="33" max="33" width="11.5" style="15" customWidth="1"/>
    <col min="34" max="35" width="12.83203125" style="15" bestFit="1" customWidth="1"/>
    <col min="36" max="16384" width="8.83203125" style="15"/>
  </cols>
  <sheetData>
    <row r="1" spans="1:32" ht="45" x14ac:dyDescent="0.15">
      <c r="A1" s="56" t="s">
        <v>0</v>
      </c>
      <c r="B1" s="56" t="s">
        <v>1</v>
      </c>
      <c r="C1" s="57" t="s">
        <v>31</v>
      </c>
      <c r="D1" s="56" t="s">
        <v>2</v>
      </c>
      <c r="E1" s="57" t="s">
        <v>33</v>
      </c>
      <c r="F1" s="56" t="s">
        <v>5</v>
      </c>
      <c r="G1" s="44" t="s">
        <v>30</v>
      </c>
      <c r="H1" s="57" t="s">
        <v>94</v>
      </c>
      <c r="I1" s="56" t="s">
        <v>6</v>
      </c>
      <c r="J1" s="76" t="s">
        <v>3</v>
      </c>
      <c r="K1" s="72" t="s">
        <v>93</v>
      </c>
      <c r="L1" s="72" t="s">
        <v>14</v>
      </c>
      <c r="M1" s="72" t="s">
        <v>10</v>
      </c>
      <c r="N1" s="72" t="s">
        <v>13</v>
      </c>
      <c r="O1" s="72" t="s">
        <v>55</v>
      </c>
      <c r="P1" s="72" t="s">
        <v>52</v>
      </c>
      <c r="Q1" s="72" t="s">
        <v>53</v>
      </c>
      <c r="R1" s="72" t="s">
        <v>54</v>
      </c>
      <c r="S1" s="56" t="s">
        <v>4</v>
      </c>
      <c r="T1" s="58" t="s">
        <v>66</v>
      </c>
      <c r="U1" s="73" t="s">
        <v>32</v>
      </c>
      <c r="V1" s="77" t="s">
        <v>7</v>
      </c>
      <c r="W1" s="77" t="s">
        <v>8</v>
      </c>
      <c r="X1" s="78" t="s">
        <v>9</v>
      </c>
      <c r="Y1" s="69" t="s">
        <v>80</v>
      </c>
    </row>
    <row r="2" spans="1:32" x14ac:dyDescent="0.15">
      <c r="A2" s="15">
        <v>1</v>
      </c>
      <c r="B2" s="15" t="s">
        <v>10</v>
      </c>
      <c r="C2" s="46" t="str">
        <f>IF(B2="Smartphone", "Electronics", IF(B2="Laptop", "Computing", IF(B2="Tablet", "Mobile", IF(B2="Smartwatch", "Wearables", IF(B2="Headphones", "Audio", "Photography")))))</f>
        <v>Electronics</v>
      </c>
      <c r="D2" s="47">
        <v>43466</v>
      </c>
      <c r="E2" s="48" t="str">
        <f>IF(OR(MONTH(D2)=9, MONTH(D2)=10, MONTH(D2)=11), "Spring",
 IF(OR(MONTH(D2)=12, MONTH(D2)=1, MONTH(D2)=2), "Summer",
 IF(OR(MONTH(D2)=3, MONTH(D2)=4, MONTH(D2)=5), "Autumn",
 IF(OR(MONTH(D2)=6, MONTH(D2)=7, MONTH(D2)=8), "Winter", "Unknown"
))))</f>
        <v>Summer</v>
      </c>
      <c r="F2" s="15">
        <v>0</v>
      </c>
      <c r="G2" s="46">
        <f>J2+S2</f>
        <v>135</v>
      </c>
      <c r="H2" s="71">
        <f>T2-I2</f>
        <v>297.04485264834722</v>
      </c>
      <c r="I2" s="15">
        <v>61</v>
      </c>
      <c r="J2" s="15">
        <v>75</v>
      </c>
      <c r="K2" s="71">
        <f>MONTH(D2)</f>
        <v>1</v>
      </c>
      <c r="L2" s="46">
        <f>IF(B2="Headphones",1,0)</f>
        <v>0</v>
      </c>
      <c r="M2" s="46">
        <f>IF(B2="Smartphone",1,0)</f>
        <v>1</v>
      </c>
      <c r="N2" s="46">
        <f>IF(B2="Smartwatch",1,0)</f>
        <v>0</v>
      </c>
      <c r="O2" s="46">
        <f>IF($E2="Spring", 1, 0)</f>
        <v>0</v>
      </c>
      <c r="P2" s="46">
        <f>IF($E2="Summer", 1, 0)</f>
        <v>1</v>
      </c>
      <c r="Q2" s="46">
        <f>IF($E2="Autumn",1,0)</f>
        <v>0</v>
      </c>
      <c r="R2" s="46">
        <f>IF($E2="Winter", 1, 0)</f>
        <v>0</v>
      </c>
      <c r="S2" s="15">
        <v>60</v>
      </c>
      <c r="T2" s="71">
        <v>358.04485264834722</v>
      </c>
      <c r="U2" s="51">
        <f>F2/((J2+I2)/2)</f>
        <v>0</v>
      </c>
      <c r="V2" s="15">
        <v>20</v>
      </c>
      <c r="W2" s="15">
        <v>0.8</v>
      </c>
      <c r="X2" s="52">
        <v>187.58180521852</v>
      </c>
      <c r="Y2" s="70">
        <v>258</v>
      </c>
      <c r="AA2" s="15" t="s">
        <v>95</v>
      </c>
    </row>
    <row r="3" spans="1:32" ht="15" thickBot="1" x14ac:dyDescent="0.2">
      <c r="A3" s="15">
        <v>4</v>
      </c>
      <c r="B3" s="15" t="s">
        <v>13</v>
      </c>
      <c r="C3" s="46" t="str">
        <f>IF(B3="Smartphone", "Electronics", IF(B3="Laptop", "Computing", IF(B3="Tablet", "Mobile", IF(B3="Smartwatch", "Wearables", IF(B3="Headphones", "Audio", "Photography")))))</f>
        <v>Wearables</v>
      </c>
      <c r="D3" s="47">
        <v>43466</v>
      </c>
      <c r="E3" s="48" t="str">
        <f>IF(OR(MONTH(D3)=9, MONTH(D3)=10, MONTH(D3)=11), "Spring",
 IF(OR(MONTH(D3)=12, MONTH(D3)=1, MONTH(D3)=2), "Summer",
 IF(OR(MONTH(D3)=3, MONTH(D3)=4, MONTH(D3)=5), "Autumn",
 IF(OR(MONTH(D3)=6, MONTH(D3)=7, MONTH(D3)=8), "Winter", "Unknown"
))))</f>
        <v>Summer</v>
      </c>
      <c r="F3" s="15">
        <v>64</v>
      </c>
      <c r="G3" s="46">
        <f>J3+S3</f>
        <v>213</v>
      </c>
      <c r="H3" s="71">
        <f>T3-I3</f>
        <v>301.12350657108726</v>
      </c>
      <c r="I3" s="15">
        <v>62</v>
      </c>
      <c r="J3" s="15">
        <v>87</v>
      </c>
      <c r="K3" s="71">
        <f>MONTH(D3)</f>
        <v>1</v>
      </c>
      <c r="L3" s="46">
        <f t="shared" ref="L3:L66" si="0">IF(B3="Headphones",1,0)</f>
        <v>0</v>
      </c>
      <c r="M3" s="46">
        <f t="shared" ref="M3:M66" si="1">IF(B3="Smartphone",1,0)</f>
        <v>0</v>
      </c>
      <c r="N3" s="46">
        <f t="shared" ref="N3:N66" si="2">IF(B3="Smartwatch",1,0)</f>
        <v>1</v>
      </c>
      <c r="O3" s="46">
        <f>IF($E3="Spring", 1, 0)</f>
        <v>0</v>
      </c>
      <c r="P3" s="46">
        <f>IF($E3="Summer", 1, 0)</f>
        <v>1</v>
      </c>
      <c r="Q3" s="46">
        <f>IF($E3="Autumn",1,0)</f>
        <v>0</v>
      </c>
      <c r="R3" s="46">
        <f>IF($E3="Winter", 1, 0)</f>
        <v>0</v>
      </c>
      <c r="S3" s="15">
        <v>126</v>
      </c>
      <c r="T3" s="71">
        <v>363.12350657108726</v>
      </c>
      <c r="U3" s="51">
        <f>F3/((J3+I3)/2)</f>
        <v>0.85906040268456374</v>
      </c>
      <c r="V3" s="15">
        <v>19</v>
      </c>
      <c r="W3" s="15">
        <v>0.96631710989936104</v>
      </c>
      <c r="X3" s="52">
        <v>261.07931804674803</v>
      </c>
      <c r="Y3" s="70">
        <v>235</v>
      </c>
    </row>
    <row r="4" spans="1:32" x14ac:dyDescent="0.15">
      <c r="A4" s="15">
        <v>5</v>
      </c>
      <c r="B4" s="15" t="s">
        <v>14</v>
      </c>
      <c r="C4" s="46" t="str">
        <f>IF(B4="Smartphone", "Electronics", IF(B4="Laptop", "Computing", IF(B4="Tablet", "Mobile", IF(B4="Smartwatch", "Wearables", IF(B4="Headphones", "Audio", "Photography")))))</f>
        <v>Audio</v>
      </c>
      <c r="D4" s="47">
        <v>43466</v>
      </c>
      <c r="E4" s="48" t="str">
        <f>IF(OR(MONTH(D4)=9, MONTH(D4)=10, MONTH(D4)=11), "Spring",
 IF(OR(MONTH(D4)=12, MONTH(D4)=1, MONTH(D4)=2), "Summer",
 IF(OR(MONTH(D4)=3, MONTH(D4)=4, MONTH(D4)=5), "Autumn",
 IF(OR(MONTH(D4)=6, MONTH(D4)=7, MONTH(D4)=8), "Winter", "Unknown"
))))</f>
        <v>Summer</v>
      </c>
      <c r="F4" s="15">
        <v>417</v>
      </c>
      <c r="G4" s="46">
        <f>J4+S4</f>
        <v>497</v>
      </c>
      <c r="H4" s="71">
        <f>T4-I4</f>
        <v>184.49962664277177</v>
      </c>
      <c r="I4" s="15">
        <v>73</v>
      </c>
      <c r="J4" s="15">
        <v>7</v>
      </c>
      <c r="K4" s="71">
        <f>MONTH(D4)</f>
        <v>1</v>
      </c>
      <c r="L4" s="46">
        <f t="shared" si="0"/>
        <v>1</v>
      </c>
      <c r="M4" s="46">
        <f t="shared" si="1"/>
        <v>0</v>
      </c>
      <c r="N4" s="46">
        <f t="shared" si="2"/>
        <v>0</v>
      </c>
      <c r="O4" s="46">
        <f>IF($E4="Spring", 1, 0)</f>
        <v>0</v>
      </c>
      <c r="P4" s="46">
        <f>IF($E4="Summer", 1, 0)</f>
        <v>1</v>
      </c>
      <c r="Q4" s="46">
        <f>IF($E4="Autumn",1,0)</f>
        <v>0</v>
      </c>
      <c r="R4" s="46">
        <f>IF($E4="Winter", 1, 0)</f>
        <v>0</v>
      </c>
      <c r="S4" s="15">
        <v>490</v>
      </c>
      <c r="T4" s="71">
        <v>257.49962664277177</v>
      </c>
      <c r="U4" s="51">
        <f>F4/((J4+I4)/2)</f>
        <v>10.425000000000001</v>
      </c>
      <c r="V4" s="15">
        <v>14</v>
      </c>
      <c r="W4" s="15">
        <v>0.96110616511865199</v>
      </c>
      <c r="X4" s="52">
        <v>128.48638734773601</v>
      </c>
      <c r="Y4" s="70">
        <v>630</v>
      </c>
      <c r="AA4" s="79" t="s">
        <v>96</v>
      </c>
      <c r="AB4" s="79"/>
    </row>
    <row r="5" spans="1:32" x14ac:dyDescent="0.15">
      <c r="A5" s="15">
        <v>1</v>
      </c>
      <c r="B5" s="15" t="s">
        <v>10</v>
      </c>
      <c r="C5" s="46" t="str">
        <f>IF(B5="Smartphone", "Electronics", IF(B5="Laptop", "Computing", IF(B5="Tablet", "Mobile", IF(B5="Smartwatch", "Wearables", IF(B5="Headphones", "Audio", "Photography")))))</f>
        <v>Electronics</v>
      </c>
      <c r="D5" s="47">
        <v>43497</v>
      </c>
      <c r="E5" s="48" t="str">
        <f>IF(OR(MONTH(D5)=9, MONTH(D5)=10, MONTH(D5)=11), "Spring",
 IF(OR(MONTH(D5)=12, MONTH(D5)=1, MONTH(D5)=2), "Summer",
 IF(OR(MONTH(D5)=3, MONTH(D5)=4, MONTH(D5)=5), "Autumn",
 IF(OR(MONTH(D5)=6, MONTH(D5)=7, MONTH(D5)=8), "Winter", "Unknown"
))))</f>
        <v>Summer</v>
      </c>
      <c r="F5" s="15">
        <v>375</v>
      </c>
      <c r="G5" s="46">
        <f>J5+S5</f>
        <v>479</v>
      </c>
      <c r="H5" s="71">
        <f>T5-I5</f>
        <v>275.04485264834722</v>
      </c>
      <c r="I5" s="15">
        <v>83</v>
      </c>
      <c r="J5" s="15">
        <v>21</v>
      </c>
      <c r="K5" s="71">
        <f>MONTH(D5)</f>
        <v>2</v>
      </c>
      <c r="L5" s="46">
        <f t="shared" si="0"/>
        <v>0</v>
      </c>
      <c r="M5" s="46">
        <f t="shared" si="1"/>
        <v>1</v>
      </c>
      <c r="N5" s="46">
        <f t="shared" si="2"/>
        <v>0</v>
      </c>
      <c r="O5" s="46">
        <f>IF($E5="Spring", 1, 0)</f>
        <v>0</v>
      </c>
      <c r="P5" s="46">
        <f>IF($E5="Summer", 1, 0)</f>
        <v>1</v>
      </c>
      <c r="Q5" s="46">
        <f>IF($E5="Autumn",1,0)</f>
        <v>0</v>
      </c>
      <c r="R5" s="46">
        <f>IF($E5="Winter", 1, 0)</f>
        <v>0</v>
      </c>
      <c r="S5" s="15">
        <v>458</v>
      </c>
      <c r="T5" s="71">
        <v>358.04485264834722</v>
      </c>
      <c r="U5" s="51">
        <f>F5/((J5+I5)/2)</f>
        <v>7.2115384615384617</v>
      </c>
      <c r="V5" s="15">
        <v>24</v>
      </c>
      <c r="W5" s="15">
        <v>0.97573184532901802</v>
      </c>
      <c r="X5" s="52">
        <v>107.22032462713101</v>
      </c>
      <c r="Y5" s="70">
        <v>551</v>
      </c>
      <c r="AA5" s="39" t="s">
        <v>97</v>
      </c>
      <c r="AB5" s="39">
        <v>0.43797820336722815</v>
      </c>
    </row>
    <row r="6" spans="1:32" x14ac:dyDescent="0.15">
      <c r="A6" s="15">
        <v>4</v>
      </c>
      <c r="B6" s="15" t="s">
        <v>13</v>
      </c>
      <c r="C6" s="46" t="str">
        <f>IF(B6="Smartphone", "Electronics", IF(B6="Laptop", "Computing", IF(B6="Tablet", "Mobile", IF(B6="Smartwatch", "Wearables", IF(B6="Headphones", "Audio", "Photography")))))</f>
        <v>Wearables</v>
      </c>
      <c r="D6" s="47">
        <v>43497</v>
      </c>
      <c r="E6" s="48" t="str">
        <f>IF(OR(MONTH(D6)=9, MONTH(D6)=10, MONTH(D6)=11), "Spring",
 IF(OR(MONTH(D6)=12, MONTH(D6)=1, MONTH(D6)=2), "Summer",
 IF(OR(MONTH(D6)=3, MONTH(D6)=4, MONTH(D6)=5), "Autumn",
 IF(OR(MONTH(D6)=6, MONTH(D6)=7, MONTH(D6)=8), "Winter", "Unknown"
))))</f>
        <v>Summer</v>
      </c>
      <c r="F6" s="15">
        <v>262</v>
      </c>
      <c r="G6" s="46">
        <f>J6+S6</f>
        <v>412</v>
      </c>
      <c r="H6" s="71">
        <f>T6-I6</f>
        <v>285.12350657108726</v>
      </c>
      <c r="I6" s="15">
        <v>78</v>
      </c>
      <c r="J6" s="15">
        <v>72</v>
      </c>
      <c r="K6" s="71">
        <f>MONTH(D6)</f>
        <v>2</v>
      </c>
      <c r="L6" s="46">
        <f t="shared" si="0"/>
        <v>0</v>
      </c>
      <c r="M6" s="46">
        <f t="shared" si="1"/>
        <v>0</v>
      </c>
      <c r="N6" s="46">
        <f t="shared" si="2"/>
        <v>1</v>
      </c>
      <c r="O6" s="46">
        <f>IF($E6="Spring", 1, 0)</f>
        <v>0</v>
      </c>
      <c r="P6" s="46">
        <f>IF($E6="Summer", 1, 0)</f>
        <v>1</v>
      </c>
      <c r="Q6" s="46">
        <f>IF($E6="Autumn",1,0)</f>
        <v>0</v>
      </c>
      <c r="R6" s="46">
        <f>IF($E6="Winter", 1, 0)</f>
        <v>0</v>
      </c>
      <c r="S6" s="15">
        <v>340</v>
      </c>
      <c r="T6" s="71">
        <v>363.12350657108726</v>
      </c>
      <c r="U6" s="51">
        <f>F6/((J6+I6)/2)</f>
        <v>3.4933333333333332</v>
      </c>
      <c r="V6" s="15">
        <v>26</v>
      </c>
      <c r="W6" s="15">
        <v>0.92090935392338702</v>
      </c>
      <c r="X6" s="52">
        <v>45.175079800691201</v>
      </c>
      <c r="Y6" s="70">
        <v>803</v>
      </c>
      <c r="AA6" s="39" t="s">
        <v>98</v>
      </c>
      <c r="AB6" s="39">
        <v>0.19182490662478507</v>
      </c>
    </row>
    <row r="7" spans="1:32" x14ac:dyDescent="0.15">
      <c r="A7" s="15">
        <v>5</v>
      </c>
      <c r="B7" s="15" t="s">
        <v>14</v>
      </c>
      <c r="C7" s="46" t="str">
        <f>IF(B7="Smartphone", "Electronics", IF(B7="Laptop", "Computing", IF(B7="Tablet", "Mobile", IF(B7="Smartwatch", "Wearables", IF(B7="Headphones", "Audio", "Photography")))))</f>
        <v>Audio</v>
      </c>
      <c r="D7" s="47">
        <v>43497</v>
      </c>
      <c r="E7" s="48" t="str">
        <f>IF(OR(MONTH(D7)=9, MONTH(D7)=10, MONTH(D7)=11), "Spring",
 IF(OR(MONTH(D7)=12, MONTH(D7)=1, MONTH(D7)=2), "Summer",
 IF(OR(MONTH(D7)=3, MONTH(D7)=4, MONTH(D7)=5), "Autumn",
 IF(OR(MONTH(D7)=6, MONTH(D7)=7, MONTH(D7)=8), "Winter", "Unknown"
))))</f>
        <v>Summer</v>
      </c>
      <c r="F7" s="15">
        <v>271</v>
      </c>
      <c r="G7" s="46">
        <f>J7+S7</f>
        <v>317</v>
      </c>
      <c r="H7" s="71">
        <f>T7-I7</f>
        <v>216.49962664277177</v>
      </c>
      <c r="I7" s="15">
        <v>41</v>
      </c>
      <c r="J7" s="15">
        <v>5</v>
      </c>
      <c r="K7" s="71">
        <f>MONTH(D7)</f>
        <v>2</v>
      </c>
      <c r="L7" s="46">
        <f t="shared" si="0"/>
        <v>1</v>
      </c>
      <c r="M7" s="46">
        <f t="shared" si="1"/>
        <v>0</v>
      </c>
      <c r="N7" s="46">
        <f t="shared" si="2"/>
        <v>0</v>
      </c>
      <c r="O7" s="46">
        <f>IF($E7="Spring", 1, 0)</f>
        <v>0</v>
      </c>
      <c r="P7" s="46">
        <f>IF($E7="Summer", 1, 0)</f>
        <v>1</v>
      </c>
      <c r="Q7" s="46">
        <f>IF($E7="Autumn",1,0)</f>
        <v>0</v>
      </c>
      <c r="R7" s="46">
        <f>IF($E7="Winter", 1, 0)</f>
        <v>0</v>
      </c>
      <c r="S7" s="15">
        <v>312</v>
      </c>
      <c r="T7" s="71">
        <v>257.49962664277177</v>
      </c>
      <c r="U7" s="51">
        <f>F7/((J7+I7)/2)</f>
        <v>11.782608695652174</v>
      </c>
      <c r="V7" s="15">
        <v>23</v>
      </c>
      <c r="W7" s="15">
        <v>0.81163513234447104</v>
      </c>
      <c r="X7" s="52">
        <v>72.220302797218096</v>
      </c>
      <c r="Y7" s="70">
        <v>594</v>
      </c>
      <c r="AA7" s="39" t="s">
        <v>99</v>
      </c>
      <c r="AB7" s="39">
        <v>4.9149613135992053E-2</v>
      </c>
    </row>
    <row r="8" spans="1:32" x14ac:dyDescent="0.15">
      <c r="A8" s="15">
        <v>1</v>
      </c>
      <c r="B8" s="15" t="s">
        <v>10</v>
      </c>
      <c r="C8" s="46" t="str">
        <f>IF(B8="Smartphone", "Electronics", IF(B8="Laptop", "Computing", IF(B8="Tablet", "Mobile", IF(B8="Smartwatch", "Wearables", IF(B8="Headphones", "Audio", "Photography")))))</f>
        <v>Electronics</v>
      </c>
      <c r="D8" s="47">
        <v>43525</v>
      </c>
      <c r="E8" s="48" t="str">
        <f>IF(OR(MONTH(D8)=9, MONTH(D8)=10, MONTH(D8)=11), "Spring",
 IF(OR(MONTH(D8)=12, MONTH(D8)=1, MONTH(D8)=2), "Summer",
 IF(OR(MONTH(D8)=3, MONTH(D8)=4, MONTH(D8)=5), "Autumn",
 IF(OR(MONTH(D8)=6, MONTH(D8)=7, MONTH(D8)=8), "Winter", "Unknown"
))))</f>
        <v>Autumn</v>
      </c>
      <c r="F8" s="15">
        <v>100</v>
      </c>
      <c r="G8" s="46">
        <f>J8+S8</f>
        <v>225</v>
      </c>
      <c r="H8" s="71">
        <f>T8-I8</f>
        <v>263.04485264834722</v>
      </c>
      <c r="I8" s="15">
        <v>95</v>
      </c>
      <c r="J8" s="15">
        <v>30</v>
      </c>
      <c r="K8" s="71">
        <f>MONTH(D8)</f>
        <v>3</v>
      </c>
      <c r="L8" s="46">
        <f t="shared" si="0"/>
        <v>0</v>
      </c>
      <c r="M8" s="46">
        <f t="shared" si="1"/>
        <v>1</v>
      </c>
      <c r="N8" s="46">
        <f t="shared" si="2"/>
        <v>0</v>
      </c>
      <c r="O8" s="46">
        <f>IF($E8="Spring", 1, 0)</f>
        <v>0</v>
      </c>
      <c r="P8" s="46">
        <f>IF($E8="Summer", 1, 0)</f>
        <v>0</v>
      </c>
      <c r="Q8" s="46">
        <f>IF($E8="Autumn",1,0)</f>
        <v>1</v>
      </c>
      <c r="R8" s="46">
        <f>IF($E8="Winter", 1, 0)</f>
        <v>0</v>
      </c>
      <c r="S8" s="15">
        <v>195</v>
      </c>
      <c r="T8" s="71">
        <v>358.04485264834722</v>
      </c>
      <c r="U8" s="51">
        <f>F8/((J8+I8)/2)</f>
        <v>1.6</v>
      </c>
      <c r="V8" s="15">
        <v>17</v>
      </c>
      <c r="W8" s="15">
        <v>0.85809018429952399</v>
      </c>
      <c r="X8" s="52">
        <v>292.71603630195199</v>
      </c>
      <c r="Y8" s="70">
        <v>100</v>
      </c>
      <c r="AA8" s="39" t="s">
        <v>100</v>
      </c>
      <c r="AB8" s="39">
        <v>37.578885640565595</v>
      </c>
    </row>
    <row r="9" spans="1:32" ht="15" thickBot="1" x14ac:dyDescent="0.2">
      <c r="A9" s="15">
        <v>4</v>
      </c>
      <c r="B9" s="15" t="s">
        <v>13</v>
      </c>
      <c r="C9" s="46" t="str">
        <f>IF(B9="Smartphone", "Electronics", IF(B9="Laptop", "Computing", IF(B9="Tablet", "Mobile", IF(B9="Smartwatch", "Wearables", IF(B9="Headphones", "Audio", "Photography")))))</f>
        <v>Wearables</v>
      </c>
      <c r="D9" s="47">
        <v>43525</v>
      </c>
      <c r="E9" s="48" t="str">
        <f>IF(OR(MONTH(D9)=9, MONTH(D9)=10, MONTH(D9)=11), "Spring",
 IF(OR(MONTH(D9)=12, MONTH(D9)=1, MONTH(D9)=2), "Summer",
 IF(OR(MONTH(D9)=3, MONTH(D9)=4, MONTH(D9)=5), "Autumn",
 IF(OR(MONTH(D9)=6, MONTH(D9)=7, MONTH(D9)=8), "Winter", "Unknown"
))))</f>
        <v>Autumn</v>
      </c>
      <c r="F9" s="15">
        <v>363</v>
      </c>
      <c r="G9" s="46">
        <f>J9+S9</f>
        <v>512</v>
      </c>
      <c r="H9" s="71">
        <f>T9-I9</f>
        <v>303.12350657108726</v>
      </c>
      <c r="I9" s="15">
        <v>60</v>
      </c>
      <c r="J9" s="15">
        <v>89</v>
      </c>
      <c r="K9" s="71">
        <f>MONTH(D9)</f>
        <v>3</v>
      </c>
      <c r="L9" s="46">
        <f t="shared" si="0"/>
        <v>0</v>
      </c>
      <c r="M9" s="46">
        <f t="shared" si="1"/>
        <v>0</v>
      </c>
      <c r="N9" s="46">
        <f t="shared" si="2"/>
        <v>1</v>
      </c>
      <c r="O9" s="46">
        <f>IF($E9="Spring", 1, 0)</f>
        <v>0</v>
      </c>
      <c r="P9" s="46">
        <f>IF($E9="Summer", 1, 0)</f>
        <v>0</v>
      </c>
      <c r="Q9" s="46">
        <f>IF($E9="Autumn",1,0)</f>
        <v>1</v>
      </c>
      <c r="R9" s="46">
        <f>IF($E9="Winter", 1, 0)</f>
        <v>0</v>
      </c>
      <c r="S9" s="15">
        <v>423</v>
      </c>
      <c r="T9" s="71">
        <v>363.12350657108726</v>
      </c>
      <c r="U9" s="51">
        <f>F9/((J9+I9)/2)</f>
        <v>4.8724832214765099</v>
      </c>
      <c r="V9" s="15">
        <v>15</v>
      </c>
      <c r="W9" s="15">
        <v>0.89820022940113797</v>
      </c>
      <c r="X9" s="52">
        <v>99.6107106685362</v>
      </c>
      <c r="Y9" s="70">
        <v>629</v>
      </c>
      <c r="AA9" s="40" t="s">
        <v>86</v>
      </c>
      <c r="AB9" s="40">
        <v>102</v>
      </c>
    </row>
    <row r="10" spans="1:32" x14ac:dyDescent="0.15">
      <c r="A10" s="15">
        <v>5</v>
      </c>
      <c r="B10" s="15" t="s">
        <v>14</v>
      </c>
      <c r="C10" s="46" t="str">
        <f>IF(B10="Smartphone", "Electronics", IF(B10="Laptop", "Computing", IF(B10="Tablet", "Mobile", IF(B10="Smartwatch", "Wearables", IF(B10="Headphones", "Audio", "Photography")))))</f>
        <v>Audio</v>
      </c>
      <c r="D10" s="47">
        <v>43525</v>
      </c>
      <c r="E10" s="48" t="str">
        <f>IF(OR(MONTH(D10)=9, MONTH(D10)=10, MONTH(D10)=11), "Spring",
 IF(OR(MONTH(D10)=12, MONTH(D10)=1, MONTH(D10)=2), "Summer",
 IF(OR(MONTH(D10)=3, MONTH(D10)=4, MONTH(D10)=5), "Autumn",
 IF(OR(MONTH(D10)=6, MONTH(D10)=7, MONTH(D10)=8), "Winter", "Unknown"
))))</f>
        <v>Autumn</v>
      </c>
      <c r="F10" s="15">
        <v>137</v>
      </c>
      <c r="G10" s="46">
        <f>J10+S10</f>
        <v>248</v>
      </c>
      <c r="H10" s="71">
        <f>T10-I10</f>
        <v>220.49962664277177</v>
      </c>
      <c r="I10" s="15">
        <v>37</v>
      </c>
      <c r="J10" s="15">
        <v>74</v>
      </c>
      <c r="K10" s="71">
        <f>MONTH(D10)</f>
        <v>3</v>
      </c>
      <c r="L10" s="46">
        <f t="shared" si="0"/>
        <v>1</v>
      </c>
      <c r="M10" s="46">
        <f t="shared" si="1"/>
        <v>0</v>
      </c>
      <c r="N10" s="46">
        <f t="shared" si="2"/>
        <v>0</v>
      </c>
      <c r="O10" s="46">
        <f>IF($E10="Spring", 1, 0)</f>
        <v>0</v>
      </c>
      <c r="P10" s="46">
        <f>IF($E10="Summer", 1, 0)</f>
        <v>0</v>
      </c>
      <c r="Q10" s="46">
        <f>IF($E10="Autumn",1,0)</f>
        <v>1</v>
      </c>
      <c r="R10" s="46">
        <f>IF($E10="Winter", 1, 0)</f>
        <v>0</v>
      </c>
      <c r="S10" s="15">
        <v>174</v>
      </c>
      <c r="T10" s="71">
        <v>257.49962664277177</v>
      </c>
      <c r="U10" s="51">
        <f>F10/((J10+I10)/2)</f>
        <v>2.4684684684684686</v>
      </c>
      <c r="V10" s="15">
        <v>18</v>
      </c>
      <c r="W10" s="15">
        <v>0.87931454161626899</v>
      </c>
      <c r="X10" s="52">
        <v>78.950484744089806</v>
      </c>
      <c r="Y10" s="70">
        <v>1070</v>
      </c>
    </row>
    <row r="11" spans="1:32" ht="15" thickBot="1" x14ac:dyDescent="0.2">
      <c r="A11" s="15">
        <v>1</v>
      </c>
      <c r="B11" s="15" t="s">
        <v>10</v>
      </c>
      <c r="C11" s="46" t="str">
        <f>IF(B11="Smartphone", "Electronics", IF(B11="Laptop", "Computing", IF(B11="Tablet", "Mobile", IF(B11="Smartwatch", "Wearables", IF(B11="Headphones", "Audio", "Photography")))))</f>
        <v>Electronics</v>
      </c>
      <c r="D11" s="47">
        <v>43556</v>
      </c>
      <c r="E11" s="48" t="str">
        <f>IF(OR(MONTH(D11)=9, MONTH(D11)=10, MONTH(D11)=11), "Spring",
 IF(OR(MONTH(D11)=12, MONTH(D11)=1, MONTH(D11)=2), "Summer",
 IF(OR(MONTH(D11)=3, MONTH(D11)=4, MONTH(D11)=5), "Autumn",
 IF(OR(MONTH(D11)=6, MONTH(D11)=7, MONTH(D11)=8), "Winter", "Unknown"
))))</f>
        <v>Autumn</v>
      </c>
      <c r="F11" s="15">
        <v>502</v>
      </c>
      <c r="G11" s="46">
        <f>J11+S11</f>
        <v>554</v>
      </c>
      <c r="H11" s="71">
        <f>T11-I11</f>
        <v>306.04485264834722</v>
      </c>
      <c r="I11" s="15">
        <v>52</v>
      </c>
      <c r="J11" s="15">
        <v>80</v>
      </c>
      <c r="K11" s="71">
        <f>MONTH(D11)</f>
        <v>4</v>
      </c>
      <c r="L11" s="46">
        <f t="shared" si="0"/>
        <v>0</v>
      </c>
      <c r="M11" s="46">
        <f t="shared" si="1"/>
        <v>1</v>
      </c>
      <c r="N11" s="46">
        <f t="shared" si="2"/>
        <v>0</v>
      </c>
      <c r="O11" s="46">
        <f>IF($E11="Spring", 1, 0)</f>
        <v>0</v>
      </c>
      <c r="P11" s="46">
        <f>IF($E11="Summer", 1, 0)</f>
        <v>0</v>
      </c>
      <c r="Q11" s="46">
        <f>IF($E11="Autumn",1,0)</f>
        <v>1</v>
      </c>
      <c r="R11" s="46">
        <f>IF($E11="Winter", 1, 0)</f>
        <v>0</v>
      </c>
      <c r="S11" s="15">
        <v>474</v>
      </c>
      <c r="T11" s="71">
        <v>358.04485264834722</v>
      </c>
      <c r="U11" s="51">
        <f>F11/((J11+I11)/2)</f>
        <v>7.6060606060606064</v>
      </c>
      <c r="V11" s="15">
        <v>13</v>
      </c>
      <c r="W11" s="15">
        <v>0.87626131772581395</v>
      </c>
      <c r="X11" s="52">
        <v>86.635475318175693</v>
      </c>
      <c r="Y11" s="70">
        <v>572</v>
      </c>
      <c r="AA11" s="15" t="s">
        <v>41</v>
      </c>
    </row>
    <row r="12" spans="1:32" x14ac:dyDescent="0.15">
      <c r="A12" s="15">
        <v>4</v>
      </c>
      <c r="B12" s="15" t="s">
        <v>13</v>
      </c>
      <c r="C12" s="46" t="str">
        <f>IF(B12="Smartphone", "Electronics", IF(B12="Laptop", "Computing", IF(B12="Tablet", "Mobile", IF(B12="Smartwatch", "Wearables", IF(B12="Headphones", "Audio", "Photography")))))</f>
        <v>Wearables</v>
      </c>
      <c r="D12" s="47">
        <v>43556</v>
      </c>
      <c r="E12" s="48" t="str">
        <f>IF(OR(MONTH(D12)=9, MONTH(D12)=10, MONTH(D12)=11), "Spring",
 IF(OR(MONTH(D12)=12, MONTH(D12)=1, MONTH(D12)=2), "Summer",
 IF(OR(MONTH(D12)=3, MONTH(D12)=4, MONTH(D12)=5), "Autumn",
 IF(OR(MONTH(D12)=6, MONTH(D12)=7, MONTH(D12)=8), "Winter", "Unknown"
))))</f>
        <v>Autumn</v>
      </c>
      <c r="F12" s="15">
        <v>295</v>
      </c>
      <c r="G12" s="46">
        <f>J12+S12</f>
        <v>339</v>
      </c>
      <c r="H12" s="71">
        <f>T12-I12</f>
        <v>319.12350657108726</v>
      </c>
      <c r="I12" s="15">
        <v>44</v>
      </c>
      <c r="J12" s="15">
        <v>102</v>
      </c>
      <c r="K12" s="71">
        <f>MONTH(D12)</f>
        <v>4</v>
      </c>
      <c r="L12" s="46">
        <f t="shared" si="0"/>
        <v>0</v>
      </c>
      <c r="M12" s="46">
        <f t="shared" si="1"/>
        <v>0</v>
      </c>
      <c r="N12" s="46">
        <f t="shared" si="2"/>
        <v>1</v>
      </c>
      <c r="O12" s="46">
        <f>IF($E12="Spring", 1, 0)</f>
        <v>0</v>
      </c>
      <c r="P12" s="46">
        <f>IF($E12="Summer", 1, 0)</f>
        <v>0</v>
      </c>
      <c r="Q12" s="46">
        <f>IF($E12="Autumn",1,0)</f>
        <v>1</v>
      </c>
      <c r="R12" s="46">
        <f>IF($E12="Winter", 1, 0)</f>
        <v>0</v>
      </c>
      <c r="S12" s="15">
        <v>237</v>
      </c>
      <c r="T12" s="71">
        <v>363.12350657108726</v>
      </c>
      <c r="U12" s="51">
        <f>F12/((J12+I12)/2)</f>
        <v>4.0410958904109586</v>
      </c>
      <c r="V12" s="15">
        <v>14</v>
      </c>
      <c r="W12" s="15">
        <v>0.899290098779433</v>
      </c>
      <c r="X12" s="52">
        <v>23.663381579939301</v>
      </c>
      <c r="Y12" s="70">
        <v>443</v>
      </c>
      <c r="AA12" s="38"/>
      <c r="AB12" s="38" t="s">
        <v>44</v>
      </c>
      <c r="AC12" s="38" t="s">
        <v>43</v>
      </c>
      <c r="AD12" s="38" t="s">
        <v>45</v>
      </c>
      <c r="AE12" s="38" t="s">
        <v>46</v>
      </c>
      <c r="AF12" s="38" t="s">
        <v>104</v>
      </c>
    </row>
    <row r="13" spans="1:32" x14ac:dyDescent="0.15">
      <c r="A13" s="15">
        <v>5</v>
      </c>
      <c r="B13" s="15" t="s">
        <v>14</v>
      </c>
      <c r="C13" s="46" t="str">
        <f>IF(B13="Smartphone", "Electronics", IF(B13="Laptop", "Computing", IF(B13="Tablet", "Mobile", IF(B13="Smartwatch", "Wearables", IF(B13="Headphones", "Audio", "Photography")))))</f>
        <v>Audio</v>
      </c>
      <c r="D13" s="47">
        <v>43556</v>
      </c>
      <c r="E13" s="48" t="str">
        <f>IF(OR(MONTH(D13)=9, MONTH(D13)=10, MONTH(D13)=11), "Spring",
 IF(OR(MONTH(D13)=12, MONTH(D13)=1, MONTH(D13)=2), "Summer",
 IF(OR(MONTH(D13)=3, MONTH(D13)=4, MONTH(D13)=5), "Autumn",
 IF(OR(MONTH(D13)=6, MONTH(D13)=7, MONTH(D13)=8), "Winter", "Unknown"
))))</f>
        <v>Autumn</v>
      </c>
      <c r="F13" s="15">
        <v>360</v>
      </c>
      <c r="G13" s="46">
        <f>J13+S13</f>
        <v>448</v>
      </c>
      <c r="H13" s="71">
        <f>T13-I13</f>
        <v>169.49962664277177</v>
      </c>
      <c r="I13" s="15">
        <v>88</v>
      </c>
      <c r="J13" s="15">
        <v>97</v>
      </c>
      <c r="K13" s="71">
        <f>MONTH(D13)</f>
        <v>4</v>
      </c>
      <c r="L13" s="46">
        <f t="shared" si="0"/>
        <v>1</v>
      </c>
      <c r="M13" s="46">
        <f t="shared" si="1"/>
        <v>0</v>
      </c>
      <c r="N13" s="46">
        <f t="shared" si="2"/>
        <v>0</v>
      </c>
      <c r="O13" s="46">
        <f>IF($E13="Spring", 1, 0)</f>
        <v>0</v>
      </c>
      <c r="P13" s="46">
        <f>IF($E13="Summer", 1, 0)</f>
        <v>0</v>
      </c>
      <c r="Q13" s="46">
        <f>IF($E13="Autumn",1,0)</f>
        <v>1</v>
      </c>
      <c r="R13" s="46">
        <f>IF($E13="Winter", 1, 0)</f>
        <v>0</v>
      </c>
      <c r="S13" s="15">
        <v>351</v>
      </c>
      <c r="T13" s="71">
        <v>257.49962664277177</v>
      </c>
      <c r="U13" s="51">
        <f>F13/((J13+I13)/2)</f>
        <v>3.8918918918918921</v>
      </c>
      <c r="V13" s="15">
        <v>8</v>
      </c>
      <c r="W13" s="15">
        <v>0.85689750592977498</v>
      </c>
      <c r="X13" s="52">
        <v>103.122810948989</v>
      </c>
      <c r="Y13" s="70">
        <v>655</v>
      </c>
      <c r="AA13" s="39" t="s">
        <v>101</v>
      </c>
      <c r="AB13" s="39">
        <v>15</v>
      </c>
      <c r="AC13" s="39">
        <v>29831.654115026118</v>
      </c>
      <c r="AD13" s="39">
        <v>1988.7769410017413</v>
      </c>
      <c r="AE13" s="39">
        <v>1.7603875725231806</v>
      </c>
      <c r="AF13" s="39">
        <v>5.4075954626536721E-2</v>
      </c>
    </row>
    <row r="14" spans="1:32" x14ac:dyDescent="0.15">
      <c r="A14" s="15">
        <v>1</v>
      </c>
      <c r="B14" s="15" t="s">
        <v>10</v>
      </c>
      <c r="C14" s="46" t="str">
        <f>IF(B14="Smartphone", "Electronics", IF(B14="Laptop", "Computing", IF(B14="Tablet", "Mobile", IF(B14="Smartwatch", "Wearables", IF(B14="Headphones", "Audio", "Photography")))))</f>
        <v>Electronics</v>
      </c>
      <c r="D14" s="47">
        <v>43586</v>
      </c>
      <c r="E14" s="48" t="str">
        <f>IF(OR(MONTH(D14)=9, MONTH(D14)=10, MONTH(D14)=11), "Spring",
 IF(OR(MONTH(D14)=12, MONTH(D14)=1, MONTH(D14)=2), "Summer",
 IF(OR(MONTH(D14)=3, MONTH(D14)=4, MONTH(D14)=5), "Autumn",
 IF(OR(MONTH(D14)=6, MONTH(D14)=7, MONTH(D14)=8), "Winter", "Unknown"
))))</f>
        <v>Autumn</v>
      </c>
      <c r="F14" s="15">
        <v>122</v>
      </c>
      <c r="G14" s="46">
        <f>J14+S14</f>
        <v>155</v>
      </c>
      <c r="H14" s="71">
        <f>T14-I14</f>
        <v>356.04485264834722</v>
      </c>
      <c r="I14" s="15">
        <v>2</v>
      </c>
      <c r="J14" s="15">
        <v>38</v>
      </c>
      <c r="K14" s="71">
        <f>MONTH(D14)</f>
        <v>5</v>
      </c>
      <c r="L14" s="46">
        <f t="shared" si="0"/>
        <v>0</v>
      </c>
      <c r="M14" s="46">
        <f t="shared" si="1"/>
        <v>1</v>
      </c>
      <c r="N14" s="46">
        <f t="shared" si="2"/>
        <v>0</v>
      </c>
      <c r="O14" s="46">
        <f>IF($E14="Spring", 1, 0)</f>
        <v>0</v>
      </c>
      <c r="P14" s="46">
        <f>IF($E14="Summer", 1, 0)</f>
        <v>0</v>
      </c>
      <c r="Q14" s="46">
        <f>IF($E14="Autumn",1,0)</f>
        <v>1</v>
      </c>
      <c r="R14" s="46">
        <f>IF($E14="Winter", 1, 0)</f>
        <v>0</v>
      </c>
      <c r="S14" s="15">
        <v>117</v>
      </c>
      <c r="T14" s="71">
        <v>358.04485264834722</v>
      </c>
      <c r="U14" s="51">
        <f>F14/((J14+I14)/2)</f>
        <v>6.1</v>
      </c>
      <c r="V14" s="15">
        <v>7</v>
      </c>
      <c r="W14" s="15">
        <v>0.84623677058868296</v>
      </c>
      <c r="X14" s="52">
        <v>49.432360037966603</v>
      </c>
      <c r="Y14" s="70">
        <v>699</v>
      </c>
      <c r="AA14" s="39" t="s">
        <v>102</v>
      </c>
      <c r="AB14" s="39">
        <v>89</v>
      </c>
      <c r="AC14" s="39">
        <v>125683.36549281696</v>
      </c>
      <c r="AD14" s="39">
        <v>1412.1726459867073</v>
      </c>
      <c r="AE14" s="39"/>
      <c r="AF14" s="39"/>
    </row>
    <row r="15" spans="1:32" ht="15" thickBot="1" x14ac:dyDescent="0.2">
      <c r="A15" s="15">
        <v>4</v>
      </c>
      <c r="B15" s="15" t="s">
        <v>13</v>
      </c>
      <c r="C15" s="46" t="str">
        <f>IF(B15="Smartphone", "Electronics", IF(B15="Laptop", "Computing", IF(B15="Tablet", "Mobile", IF(B15="Smartwatch", "Wearables", IF(B15="Headphones", "Audio", "Photography")))))</f>
        <v>Wearables</v>
      </c>
      <c r="D15" s="47">
        <v>43586</v>
      </c>
      <c r="E15" s="48" t="str">
        <f>IF(OR(MONTH(D15)=9, MONTH(D15)=10, MONTH(D15)=11), "Spring",
 IF(OR(MONTH(D15)=12, MONTH(D15)=1, MONTH(D15)=2), "Summer",
 IF(OR(MONTH(D15)=3, MONTH(D15)=4, MONTH(D15)=5), "Autumn",
 IF(OR(MONTH(D15)=6, MONTH(D15)=7, MONTH(D15)=8), "Winter", "Unknown"
))))</f>
        <v>Autumn</v>
      </c>
      <c r="F15" s="15">
        <v>76</v>
      </c>
      <c r="G15" s="46">
        <f>J15+S15</f>
        <v>120</v>
      </c>
      <c r="H15" s="71">
        <f>T15-I15</f>
        <v>348.12350657108726</v>
      </c>
      <c r="I15" s="15">
        <v>15</v>
      </c>
      <c r="J15" s="15">
        <v>29</v>
      </c>
      <c r="K15" s="71">
        <f>MONTH(D15)</f>
        <v>5</v>
      </c>
      <c r="L15" s="46">
        <f t="shared" si="0"/>
        <v>0</v>
      </c>
      <c r="M15" s="46">
        <f t="shared" si="1"/>
        <v>0</v>
      </c>
      <c r="N15" s="46">
        <f t="shared" si="2"/>
        <v>1</v>
      </c>
      <c r="O15" s="46">
        <f>IF($E15="Spring", 1, 0)</f>
        <v>0</v>
      </c>
      <c r="P15" s="46">
        <f>IF($E15="Summer", 1, 0)</f>
        <v>0</v>
      </c>
      <c r="Q15" s="46">
        <f>IF($E15="Autumn",1,0)</f>
        <v>1</v>
      </c>
      <c r="R15" s="46">
        <f>IF($E15="Winter", 1, 0)</f>
        <v>0</v>
      </c>
      <c r="S15" s="15">
        <v>91</v>
      </c>
      <c r="T15" s="71">
        <v>363.12350657108726</v>
      </c>
      <c r="U15" s="51">
        <f>F15/((J15+I15)/2)</f>
        <v>3.4545454545454546</v>
      </c>
      <c r="V15" s="15">
        <v>11</v>
      </c>
      <c r="W15" s="15">
        <v>0.80971972635466105</v>
      </c>
      <c r="X15" s="52">
        <v>54.162980392028302</v>
      </c>
      <c r="Y15" s="70">
        <v>478</v>
      </c>
      <c r="AA15" s="40" t="s">
        <v>51</v>
      </c>
      <c r="AB15" s="40">
        <v>104</v>
      </c>
      <c r="AC15" s="40">
        <v>155515.01960784307</v>
      </c>
      <c r="AD15" s="40"/>
      <c r="AE15" s="40"/>
      <c r="AF15" s="40"/>
    </row>
    <row r="16" spans="1:32" ht="15" thickBot="1" x14ac:dyDescent="0.2">
      <c r="A16" s="15">
        <v>5</v>
      </c>
      <c r="B16" s="15" t="s">
        <v>14</v>
      </c>
      <c r="C16" s="46" t="str">
        <f>IF(B16="Smartphone", "Electronics", IF(B16="Laptop", "Computing", IF(B16="Tablet", "Mobile", IF(B16="Smartwatch", "Wearables", IF(B16="Headphones", "Audio", "Photography")))))</f>
        <v>Audio</v>
      </c>
      <c r="D16" s="47">
        <v>43586</v>
      </c>
      <c r="E16" s="48" t="str">
        <f>IF(OR(MONTH(D16)=9, MONTH(D16)=10, MONTH(D16)=11), "Spring",
 IF(OR(MONTH(D16)=12, MONTH(D16)=1, MONTH(D16)=2), "Summer",
 IF(OR(MONTH(D16)=3, MONTH(D16)=4, MONTH(D16)=5), "Autumn",
 IF(OR(MONTH(D16)=6, MONTH(D16)=7, MONTH(D16)=8), "Winter", "Unknown"
))))</f>
        <v>Autumn</v>
      </c>
      <c r="F16" s="15">
        <v>251</v>
      </c>
      <c r="G16" s="46">
        <f>J16+S16</f>
        <v>381</v>
      </c>
      <c r="H16" s="71">
        <f>T16-I16</f>
        <v>171.49962664277177</v>
      </c>
      <c r="I16" s="15">
        <v>86</v>
      </c>
      <c r="J16" s="15">
        <v>44</v>
      </c>
      <c r="K16" s="71">
        <f>MONTH(D16)</f>
        <v>5</v>
      </c>
      <c r="L16" s="46">
        <f t="shared" si="0"/>
        <v>1</v>
      </c>
      <c r="M16" s="46">
        <f t="shared" si="1"/>
        <v>0</v>
      </c>
      <c r="N16" s="46">
        <f t="shared" si="2"/>
        <v>0</v>
      </c>
      <c r="O16" s="46">
        <f>IF($E16="Spring", 1, 0)</f>
        <v>0</v>
      </c>
      <c r="P16" s="46">
        <f>IF($E16="Summer", 1, 0)</f>
        <v>0</v>
      </c>
      <c r="Q16" s="46">
        <f>IF($E16="Autumn",1,0)</f>
        <v>1</v>
      </c>
      <c r="R16" s="46">
        <f>IF($E16="Winter", 1, 0)</f>
        <v>0</v>
      </c>
      <c r="S16" s="15">
        <v>337</v>
      </c>
      <c r="T16" s="71">
        <v>257.49962664277177</v>
      </c>
      <c r="U16" s="51">
        <f>F16/((J16+I16)/2)</f>
        <v>3.8615384615384616</v>
      </c>
      <c r="V16" s="15">
        <v>22</v>
      </c>
      <c r="W16" s="15">
        <v>0.87418789564954202</v>
      </c>
      <c r="X16" s="52">
        <v>64.561929690372395</v>
      </c>
      <c r="Y16" s="70">
        <v>887</v>
      </c>
    </row>
    <row r="17" spans="1:35" x14ac:dyDescent="0.15">
      <c r="A17" s="15">
        <v>1</v>
      </c>
      <c r="B17" s="15" t="s">
        <v>10</v>
      </c>
      <c r="C17" s="46" t="str">
        <f>IF(B17="Smartphone", "Electronics", IF(B17="Laptop", "Computing", IF(B17="Tablet", "Mobile", IF(B17="Smartwatch", "Wearables", IF(B17="Headphones", "Audio", "Photography")))))</f>
        <v>Electronics</v>
      </c>
      <c r="D17" s="47">
        <v>43617</v>
      </c>
      <c r="E17" s="48" t="str">
        <f>IF(OR(MONTH(D17)=9, MONTH(D17)=10, MONTH(D17)=11), "Spring",
 IF(OR(MONTH(D17)=12, MONTH(D17)=1, MONTH(D17)=2), "Summer",
 IF(OR(MONTH(D17)=3, MONTH(D17)=4, MONTH(D17)=5), "Autumn",
 IF(OR(MONTH(D17)=6, MONTH(D17)=7, MONTH(D17)=8), "Winter", "Unknown"
))))</f>
        <v>Winter</v>
      </c>
      <c r="F17" s="15">
        <v>156</v>
      </c>
      <c r="G17" s="46">
        <f>J17+S17</f>
        <v>211</v>
      </c>
      <c r="H17" s="71">
        <f>T17-I17</f>
        <v>356.04485264834722</v>
      </c>
      <c r="I17" s="15">
        <v>2</v>
      </c>
      <c r="J17" s="15">
        <v>53</v>
      </c>
      <c r="K17" s="71">
        <f>MONTH(D17)</f>
        <v>6</v>
      </c>
      <c r="L17" s="46">
        <f t="shared" si="0"/>
        <v>0</v>
      </c>
      <c r="M17" s="46">
        <f t="shared" si="1"/>
        <v>1</v>
      </c>
      <c r="N17" s="46">
        <f t="shared" si="2"/>
        <v>0</v>
      </c>
      <c r="O17" s="46">
        <f>IF($E17="Spring", 1, 0)</f>
        <v>0</v>
      </c>
      <c r="P17" s="46">
        <f>IF($E17="Summer", 1, 0)</f>
        <v>0</v>
      </c>
      <c r="Q17" s="46">
        <f>IF($E17="Autumn",1,0)</f>
        <v>0</v>
      </c>
      <c r="R17" s="46">
        <f>IF($E17="Winter", 1, 0)</f>
        <v>1</v>
      </c>
      <c r="S17" s="15">
        <v>158</v>
      </c>
      <c r="T17" s="71">
        <v>358.04485264834722</v>
      </c>
      <c r="U17" s="51">
        <f>F17/((J17+I17)/2)</f>
        <v>5.6727272727272728</v>
      </c>
      <c r="V17" s="15">
        <v>11</v>
      </c>
      <c r="W17" s="15">
        <v>0.87833700582562202</v>
      </c>
      <c r="X17" s="52">
        <v>49.9784792320701</v>
      </c>
      <c r="Y17" s="70">
        <v>424</v>
      </c>
      <c r="AA17" s="38"/>
      <c r="AB17" s="38" t="s">
        <v>105</v>
      </c>
      <c r="AC17" s="38" t="s">
        <v>100</v>
      </c>
      <c r="AD17" s="38" t="s">
        <v>88</v>
      </c>
      <c r="AE17" s="38" t="s">
        <v>47</v>
      </c>
      <c r="AF17" s="38" t="s">
        <v>106</v>
      </c>
      <c r="AG17" s="38" t="s">
        <v>107</v>
      </c>
      <c r="AH17" s="38" t="s">
        <v>108</v>
      </c>
      <c r="AI17" s="38" t="s">
        <v>109</v>
      </c>
    </row>
    <row r="18" spans="1:35" x14ac:dyDescent="0.15">
      <c r="A18" s="15">
        <v>4</v>
      </c>
      <c r="B18" s="15" t="s">
        <v>13</v>
      </c>
      <c r="C18" s="46" t="str">
        <f>IF(B18="Smartphone", "Electronics", IF(B18="Laptop", "Computing", IF(B18="Tablet", "Mobile", IF(B18="Smartwatch", "Wearables", IF(B18="Headphones", "Audio", "Photography")))))</f>
        <v>Wearables</v>
      </c>
      <c r="D18" s="47">
        <v>43617</v>
      </c>
      <c r="E18" s="48" t="str">
        <f>IF(OR(MONTH(D18)=9, MONTH(D18)=10, MONTH(D18)=11), "Spring",
 IF(OR(MONTH(D18)=12, MONTH(D18)=1, MONTH(D18)=2), "Summer",
 IF(OR(MONTH(D18)=3, MONTH(D18)=4, MONTH(D18)=5), "Autumn",
 IF(OR(MONTH(D18)=6, MONTH(D18)=7, MONTH(D18)=8), "Winter", "Unknown"
))))</f>
        <v>Winter</v>
      </c>
      <c r="F18" s="15">
        <v>254</v>
      </c>
      <c r="G18" s="46">
        <f>J18+S18</f>
        <v>331</v>
      </c>
      <c r="H18" s="71">
        <f>T18-I18</f>
        <v>339.12350657108726</v>
      </c>
      <c r="I18" s="15">
        <v>24</v>
      </c>
      <c r="J18" s="15">
        <v>53</v>
      </c>
      <c r="K18" s="71">
        <f>MONTH(D18)</f>
        <v>6</v>
      </c>
      <c r="L18" s="46">
        <f t="shared" si="0"/>
        <v>0</v>
      </c>
      <c r="M18" s="46">
        <f t="shared" si="1"/>
        <v>0</v>
      </c>
      <c r="N18" s="46">
        <f t="shared" si="2"/>
        <v>1</v>
      </c>
      <c r="O18" s="46">
        <f>IF($E18="Spring", 1, 0)</f>
        <v>0</v>
      </c>
      <c r="P18" s="46">
        <f>IF($E18="Summer", 1, 0)</f>
        <v>0</v>
      </c>
      <c r="Q18" s="46">
        <f>IF($E18="Autumn",1,0)</f>
        <v>0</v>
      </c>
      <c r="R18" s="46">
        <f>IF($E18="Winter", 1, 0)</f>
        <v>1</v>
      </c>
      <c r="S18" s="15">
        <v>278</v>
      </c>
      <c r="T18" s="71">
        <v>363.12350657108726</v>
      </c>
      <c r="U18" s="51">
        <f>F18/((J18+I18)/2)</f>
        <v>6.5974025974025974</v>
      </c>
      <c r="V18" s="15">
        <v>28</v>
      </c>
      <c r="W18" s="15">
        <v>0.942438325130321</v>
      </c>
      <c r="X18" s="52">
        <v>19.197108163364799</v>
      </c>
      <c r="Y18" s="70">
        <v>374</v>
      </c>
      <c r="AA18" s="39" t="s">
        <v>103</v>
      </c>
      <c r="AB18" s="39">
        <v>163.83555578509691</v>
      </c>
      <c r="AC18" s="39">
        <v>91.779301716509593</v>
      </c>
      <c r="AD18" s="39">
        <v>1.7851035333778922</v>
      </c>
      <c r="AE18" s="39">
        <v>7.7651387772099831E-2</v>
      </c>
      <c r="AF18" s="39">
        <v>-18.527961781168269</v>
      </c>
      <c r="AG18" s="39">
        <v>346.19907335136207</v>
      </c>
      <c r="AH18" s="39">
        <v>-18.527961781168269</v>
      </c>
      <c r="AI18" s="39">
        <v>346.19907335136207</v>
      </c>
    </row>
    <row r="19" spans="1:35" x14ac:dyDescent="0.15">
      <c r="A19" s="15">
        <v>5</v>
      </c>
      <c r="B19" s="15" t="s">
        <v>14</v>
      </c>
      <c r="C19" s="46" t="str">
        <f>IF(B19="Smartphone", "Electronics", IF(B19="Laptop", "Computing", IF(B19="Tablet", "Mobile", IF(B19="Smartwatch", "Wearables", IF(B19="Headphones", "Audio", "Photography")))))</f>
        <v>Audio</v>
      </c>
      <c r="D19" s="47">
        <v>43617</v>
      </c>
      <c r="E19" s="48" t="str">
        <f>IF(OR(MONTH(D19)=9, MONTH(D19)=10, MONTH(D19)=11), "Spring",
 IF(OR(MONTH(D19)=12, MONTH(D19)=1, MONTH(D19)=2), "Summer",
 IF(OR(MONTH(D19)=3, MONTH(D19)=4, MONTH(D19)=5), "Autumn",
 IF(OR(MONTH(D19)=6, MONTH(D19)=7, MONTH(D19)=8), "Winter", "Unknown"
))))</f>
        <v>Winter</v>
      </c>
      <c r="F19" s="15">
        <v>379</v>
      </c>
      <c r="G19" s="46">
        <f>J19+S19</f>
        <v>450</v>
      </c>
      <c r="H19" s="71">
        <f>T19-I19</f>
        <v>234.49962664277177</v>
      </c>
      <c r="I19" s="15">
        <v>23</v>
      </c>
      <c r="J19" s="15">
        <v>48</v>
      </c>
      <c r="K19" s="71">
        <f>MONTH(D19)</f>
        <v>6</v>
      </c>
      <c r="L19" s="46">
        <f t="shared" si="0"/>
        <v>1</v>
      </c>
      <c r="M19" s="46">
        <f t="shared" si="1"/>
        <v>0</v>
      </c>
      <c r="N19" s="46">
        <f t="shared" si="2"/>
        <v>0</v>
      </c>
      <c r="O19" s="46">
        <f>IF($E19="Spring", 1, 0)</f>
        <v>0</v>
      </c>
      <c r="P19" s="46">
        <f>IF($E19="Summer", 1, 0)</f>
        <v>0</v>
      </c>
      <c r="Q19" s="46">
        <f>IF($E19="Autumn",1,0)</f>
        <v>0</v>
      </c>
      <c r="R19" s="46">
        <f>IF($E19="Winter", 1, 0)</f>
        <v>1</v>
      </c>
      <c r="S19" s="15">
        <v>402</v>
      </c>
      <c r="T19" s="71">
        <v>257.49962664277177</v>
      </c>
      <c r="U19" s="51">
        <f>F19/((J19+I19)/2)</f>
        <v>10.67605633802817</v>
      </c>
      <c r="V19" s="15">
        <v>29</v>
      </c>
      <c r="W19" s="15">
        <v>0.90152477523768004</v>
      </c>
      <c r="X19" s="52">
        <v>39.804300871906797</v>
      </c>
      <c r="Y19" s="70">
        <v>1562</v>
      </c>
      <c r="AA19" s="39" t="s">
        <v>93</v>
      </c>
      <c r="AB19" s="39">
        <v>-1.0588781419258488</v>
      </c>
      <c r="AC19" s="39">
        <v>1.6887907678556737</v>
      </c>
      <c r="AD19" s="39">
        <v>-0.62700374852851037</v>
      </c>
      <c r="AE19" s="39">
        <v>0.53226195249678754</v>
      </c>
      <c r="AF19" s="39">
        <v>-4.414469425577936</v>
      </c>
      <c r="AG19" s="39">
        <v>2.2967131417262383</v>
      </c>
      <c r="AH19" s="39">
        <v>-4.414469425577936</v>
      </c>
      <c r="AI19" s="39">
        <v>2.2967131417262383</v>
      </c>
    </row>
    <row r="20" spans="1:35" x14ac:dyDescent="0.15">
      <c r="A20" s="15">
        <v>1</v>
      </c>
      <c r="B20" s="15" t="s">
        <v>10</v>
      </c>
      <c r="C20" s="46" t="str">
        <f>IF(B20="Smartphone", "Electronics", IF(B20="Laptop", "Computing", IF(B20="Tablet", "Mobile", IF(B20="Smartwatch", "Wearables", IF(B20="Headphones", "Audio", "Photography")))))</f>
        <v>Electronics</v>
      </c>
      <c r="D20" s="47">
        <v>43647</v>
      </c>
      <c r="E20" s="48" t="str">
        <f>IF(OR(MONTH(D20)=9, MONTH(D20)=10, MONTH(D20)=11), "Spring",
 IF(OR(MONTH(D20)=12, MONTH(D20)=1, MONTH(D20)=2), "Summer",
 IF(OR(MONTH(D20)=3, MONTH(D20)=4, MONTH(D20)=5), "Autumn",
 IF(OR(MONTH(D20)=6, MONTH(D20)=7, MONTH(D20)=8), "Winter", "Unknown"
))))</f>
        <v>Winter</v>
      </c>
      <c r="F20" s="15">
        <v>433</v>
      </c>
      <c r="G20" s="46">
        <f>J20+S20</f>
        <v>460</v>
      </c>
      <c r="H20" s="71">
        <f>T20-I20</f>
        <v>355.04485264834722</v>
      </c>
      <c r="I20" s="15">
        <v>3</v>
      </c>
      <c r="J20" s="15">
        <v>24</v>
      </c>
      <c r="K20" s="71">
        <f>MONTH(D20)</f>
        <v>7</v>
      </c>
      <c r="L20" s="46">
        <f t="shared" si="0"/>
        <v>0</v>
      </c>
      <c r="M20" s="46">
        <f t="shared" si="1"/>
        <v>1</v>
      </c>
      <c r="N20" s="46">
        <f t="shared" si="2"/>
        <v>0</v>
      </c>
      <c r="O20" s="46">
        <f>IF($E20="Spring", 1, 0)</f>
        <v>0</v>
      </c>
      <c r="P20" s="46">
        <f>IF($E20="Summer", 1, 0)</f>
        <v>0</v>
      </c>
      <c r="Q20" s="46">
        <f>IF($E20="Autumn",1,0)</f>
        <v>0</v>
      </c>
      <c r="R20" s="46">
        <f>IF($E20="Winter", 1, 0)</f>
        <v>1</v>
      </c>
      <c r="S20" s="15">
        <v>436</v>
      </c>
      <c r="T20" s="71">
        <v>358.04485264834722</v>
      </c>
      <c r="U20" s="51">
        <f>F20/((J20+I20)/2)</f>
        <v>32.074074074074076</v>
      </c>
      <c r="V20" s="15">
        <v>18</v>
      </c>
      <c r="W20" s="15">
        <v>0.84426573193700105</v>
      </c>
      <c r="X20" s="52">
        <v>53.301464507264299</v>
      </c>
      <c r="Y20" s="70">
        <v>454</v>
      </c>
      <c r="AA20" s="39" t="s">
        <v>14</v>
      </c>
      <c r="AB20" s="39">
        <v>0</v>
      </c>
      <c r="AC20" s="39">
        <v>0</v>
      </c>
      <c r="AD20" s="39">
        <v>65535</v>
      </c>
      <c r="AE20" s="39" t="e">
        <v>#NUM!</v>
      </c>
      <c r="AF20" s="39">
        <v>0</v>
      </c>
      <c r="AG20" s="39">
        <v>0</v>
      </c>
      <c r="AH20" s="39">
        <v>0</v>
      </c>
      <c r="AI20" s="39">
        <v>0</v>
      </c>
    </row>
    <row r="21" spans="1:35" x14ac:dyDescent="0.15">
      <c r="A21" s="15">
        <v>4</v>
      </c>
      <c r="B21" s="15" t="s">
        <v>13</v>
      </c>
      <c r="C21" s="46" t="str">
        <f>IF(B21="Smartphone", "Electronics", IF(B21="Laptop", "Computing", IF(B21="Tablet", "Mobile", IF(B21="Smartwatch", "Wearables", IF(B21="Headphones", "Audio", "Photography")))))</f>
        <v>Wearables</v>
      </c>
      <c r="D21" s="47">
        <v>43647</v>
      </c>
      <c r="E21" s="48" t="str">
        <f>IF(OR(MONTH(D21)=9, MONTH(D21)=10, MONTH(D21)=11), "Spring",
 IF(OR(MONTH(D21)=12, MONTH(D21)=1, MONTH(D21)=2), "Summer",
 IF(OR(MONTH(D21)=3, MONTH(D21)=4, MONTH(D21)=5), "Autumn",
 IF(OR(MONTH(D21)=6, MONTH(D21)=7, MONTH(D21)=8), "Winter", "Unknown"
))))</f>
        <v>Winter</v>
      </c>
      <c r="F21" s="15">
        <v>322</v>
      </c>
      <c r="G21" s="46">
        <f>J21+S21</f>
        <v>487</v>
      </c>
      <c r="H21" s="71">
        <f>T21-I21</f>
        <v>283.12350657108726</v>
      </c>
      <c r="I21" s="15">
        <v>80</v>
      </c>
      <c r="J21" s="15">
        <v>85</v>
      </c>
      <c r="K21" s="71">
        <f>MONTH(D21)</f>
        <v>7</v>
      </c>
      <c r="L21" s="46">
        <f t="shared" si="0"/>
        <v>0</v>
      </c>
      <c r="M21" s="46">
        <f t="shared" si="1"/>
        <v>0</v>
      </c>
      <c r="N21" s="46">
        <f t="shared" si="2"/>
        <v>1</v>
      </c>
      <c r="O21" s="46">
        <f>IF($E21="Spring", 1, 0)</f>
        <v>0</v>
      </c>
      <c r="P21" s="46">
        <f>IF($E21="Summer", 1, 0)</f>
        <v>0</v>
      </c>
      <c r="Q21" s="46">
        <f>IF($E21="Autumn",1,0)</f>
        <v>0</v>
      </c>
      <c r="R21" s="46">
        <f>IF($E21="Winter", 1, 0)</f>
        <v>1</v>
      </c>
      <c r="S21" s="15">
        <v>402</v>
      </c>
      <c r="T21" s="71">
        <v>363.12350657108726</v>
      </c>
      <c r="U21" s="51">
        <f>F21/((J21+I21)/2)</f>
        <v>3.9030303030303028</v>
      </c>
      <c r="V21" s="15">
        <v>21</v>
      </c>
      <c r="W21" s="15">
        <v>0.96301037030394199</v>
      </c>
      <c r="X21" s="52">
        <v>139.027825302389</v>
      </c>
      <c r="Y21" s="70">
        <v>499</v>
      </c>
      <c r="AA21" s="39" t="s">
        <v>10</v>
      </c>
      <c r="AB21" s="39">
        <v>-1.1138833751970361</v>
      </c>
      <c r="AC21" s="39">
        <v>9.1415198229356065</v>
      </c>
      <c r="AD21" s="39">
        <v>-0.12184881691142424</v>
      </c>
      <c r="AE21" s="39" t="e">
        <v>#NUM!</v>
      </c>
      <c r="AF21" s="39">
        <v>-19.277888544484551</v>
      </c>
      <c r="AG21" s="39">
        <v>17.050121794090479</v>
      </c>
      <c r="AH21" s="39">
        <v>-19.277888544484551</v>
      </c>
      <c r="AI21" s="39">
        <v>17.050121794090479</v>
      </c>
    </row>
    <row r="22" spans="1:35" x14ac:dyDescent="0.15">
      <c r="A22" s="15">
        <v>5</v>
      </c>
      <c r="B22" s="15" t="s">
        <v>14</v>
      </c>
      <c r="C22" s="46" t="str">
        <f>IF(B22="Smartphone", "Electronics", IF(B22="Laptop", "Computing", IF(B22="Tablet", "Mobile", IF(B22="Smartwatch", "Wearables", IF(B22="Headphones", "Audio", "Photography")))))</f>
        <v>Audio</v>
      </c>
      <c r="D22" s="47">
        <v>43647</v>
      </c>
      <c r="E22" s="48" t="str">
        <f>IF(OR(MONTH(D22)=9, MONTH(D22)=10, MONTH(D22)=11), "Spring",
 IF(OR(MONTH(D22)=12, MONTH(D22)=1, MONTH(D22)=2), "Summer",
 IF(OR(MONTH(D22)=3, MONTH(D22)=4, MONTH(D22)=5), "Autumn",
 IF(OR(MONTH(D22)=6, MONTH(D22)=7, MONTH(D22)=8), "Winter", "Unknown"
))))</f>
        <v>Winter</v>
      </c>
      <c r="F22" s="15">
        <v>394</v>
      </c>
      <c r="G22" s="46">
        <f>J22+S22</f>
        <v>440</v>
      </c>
      <c r="H22" s="71">
        <f>T22-I22</f>
        <v>223.49962664277177</v>
      </c>
      <c r="I22" s="15">
        <v>34</v>
      </c>
      <c r="J22" s="15">
        <v>12</v>
      </c>
      <c r="K22" s="71">
        <f>MONTH(D22)</f>
        <v>7</v>
      </c>
      <c r="L22" s="46">
        <f t="shared" si="0"/>
        <v>1</v>
      </c>
      <c r="M22" s="46">
        <f t="shared" si="1"/>
        <v>0</v>
      </c>
      <c r="N22" s="46">
        <f t="shared" si="2"/>
        <v>0</v>
      </c>
      <c r="O22" s="46">
        <f>IF($E22="Spring", 1, 0)</f>
        <v>0</v>
      </c>
      <c r="P22" s="46">
        <f>IF($E22="Summer", 1, 0)</f>
        <v>0</v>
      </c>
      <c r="Q22" s="46">
        <f>IF($E22="Autumn",1,0)</f>
        <v>0</v>
      </c>
      <c r="R22" s="46">
        <f>IF($E22="Winter", 1, 0)</f>
        <v>1</v>
      </c>
      <c r="S22" s="15">
        <v>428</v>
      </c>
      <c r="T22" s="71">
        <v>257.49962664277177</v>
      </c>
      <c r="U22" s="51">
        <f>F22/((J22+I22)/2)</f>
        <v>17.130434782608695</v>
      </c>
      <c r="V22" s="15">
        <v>15</v>
      </c>
      <c r="W22" s="15">
        <v>0.91466310516233895</v>
      </c>
      <c r="X22" s="52">
        <v>37.906821649754797</v>
      </c>
      <c r="Y22" s="70">
        <v>1481</v>
      </c>
      <c r="AA22" s="39" t="s">
        <v>13</v>
      </c>
      <c r="AB22" s="39">
        <v>0</v>
      </c>
      <c r="AC22" s="39">
        <v>0</v>
      </c>
      <c r="AD22" s="39">
        <v>65535</v>
      </c>
      <c r="AE22" s="39" t="e">
        <v>#NUM!</v>
      </c>
      <c r="AF22" s="39">
        <v>0</v>
      </c>
      <c r="AG22" s="39">
        <v>0</v>
      </c>
      <c r="AH22" s="39">
        <v>0</v>
      </c>
      <c r="AI22" s="39">
        <v>0</v>
      </c>
    </row>
    <row r="23" spans="1:35" x14ac:dyDescent="0.15">
      <c r="A23" s="15">
        <v>1</v>
      </c>
      <c r="B23" s="15" t="s">
        <v>10</v>
      </c>
      <c r="C23" s="46" t="str">
        <f>IF(B23="Smartphone", "Electronics", IF(B23="Laptop", "Computing", IF(B23="Tablet", "Mobile", IF(B23="Smartwatch", "Wearables", IF(B23="Headphones", "Audio", "Photography")))))</f>
        <v>Electronics</v>
      </c>
      <c r="D23" s="47">
        <v>43678</v>
      </c>
      <c r="E23" s="48" t="str">
        <f>IF(OR(MONTH(D23)=9, MONTH(D23)=10, MONTH(D23)=11), "Spring",
 IF(OR(MONTH(D23)=12, MONTH(D23)=1, MONTH(D23)=2), "Summer",
 IF(OR(MONTH(D23)=3, MONTH(D23)=4, MONTH(D23)=5), "Autumn",
 IF(OR(MONTH(D23)=6, MONTH(D23)=7, MONTH(D23)=8), "Winter", "Unknown"
))))</f>
        <v>Winter</v>
      </c>
      <c r="F23" s="15">
        <v>458</v>
      </c>
      <c r="G23" s="46">
        <f>J23+S23</f>
        <v>713</v>
      </c>
      <c r="H23" s="71">
        <f>T23-I23</f>
        <v>342.04485264834722</v>
      </c>
      <c r="I23" s="15">
        <v>16</v>
      </c>
      <c r="J23" s="15">
        <v>239</v>
      </c>
      <c r="K23" s="71">
        <f>MONTH(D23)</f>
        <v>8</v>
      </c>
      <c r="L23" s="46">
        <f t="shared" si="0"/>
        <v>0</v>
      </c>
      <c r="M23" s="46">
        <f t="shared" si="1"/>
        <v>1</v>
      </c>
      <c r="N23" s="46">
        <f t="shared" si="2"/>
        <v>0</v>
      </c>
      <c r="O23" s="46">
        <f>IF($E23="Spring", 1, 0)</f>
        <v>0</v>
      </c>
      <c r="P23" s="46">
        <f>IF($E23="Summer", 1, 0)</f>
        <v>0</v>
      </c>
      <c r="Q23" s="46">
        <f>IF($E23="Autumn",1,0)</f>
        <v>0</v>
      </c>
      <c r="R23" s="46">
        <f>IF($E23="Winter", 1, 0)</f>
        <v>1</v>
      </c>
      <c r="S23" s="15">
        <v>474</v>
      </c>
      <c r="T23" s="71">
        <v>358.04485264834722</v>
      </c>
      <c r="U23" s="51">
        <f>F23/((J23+I23)/2)</f>
        <v>3.5921568627450982</v>
      </c>
      <c r="V23" s="15">
        <v>27</v>
      </c>
      <c r="W23" s="15">
        <v>0.87390490929084197</v>
      </c>
      <c r="X23" s="52">
        <v>13.7404866068554</v>
      </c>
      <c r="Y23" s="70">
        <v>458</v>
      </c>
      <c r="AA23" s="39" t="s">
        <v>55</v>
      </c>
      <c r="AB23" s="39">
        <v>8.4469410216249585</v>
      </c>
      <c r="AC23" s="39">
        <v>15.020546140631232</v>
      </c>
      <c r="AD23" s="39">
        <v>0.56235911414536488</v>
      </c>
      <c r="AE23" s="39" t="e">
        <v>#NUM!</v>
      </c>
      <c r="AF23" s="39">
        <v>-21.398564214760636</v>
      </c>
      <c r="AG23" s="39">
        <v>38.29244625801055</v>
      </c>
      <c r="AH23" s="39">
        <v>-21.398564214760636</v>
      </c>
      <c r="AI23" s="39">
        <v>38.29244625801055</v>
      </c>
    </row>
    <row r="24" spans="1:35" x14ac:dyDescent="0.15">
      <c r="A24" s="15">
        <v>4</v>
      </c>
      <c r="B24" s="15" t="s">
        <v>13</v>
      </c>
      <c r="C24" s="46" t="str">
        <f>IF(B24="Smartphone", "Electronics", IF(B24="Laptop", "Computing", IF(B24="Tablet", "Mobile", IF(B24="Smartwatch", "Wearables", IF(B24="Headphones", "Audio", "Photography")))))</f>
        <v>Wearables</v>
      </c>
      <c r="D24" s="47">
        <v>43678</v>
      </c>
      <c r="E24" s="48" t="str">
        <f>IF(OR(MONTH(D24)=9, MONTH(D24)=10, MONTH(D24)=11), "Spring",
 IF(OR(MONTH(D24)=12, MONTH(D24)=1, MONTH(D24)=2), "Summer",
 IF(OR(MONTH(D24)=3, MONTH(D24)=4, MONTH(D24)=5), "Autumn",
 IF(OR(MONTH(D24)=6, MONTH(D24)=7, MONTH(D24)=8), "Winter", "Unknown"
))))</f>
        <v>Winter</v>
      </c>
      <c r="F24" s="15">
        <v>36</v>
      </c>
      <c r="G24" s="46">
        <f>J24+S24</f>
        <v>161</v>
      </c>
      <c r="H24" s="71">
        <f>T24-I24</f>
        <v>301.12350657108726</v>
      </c>
      <c r="I24" s="15">
        <v>62</v>
      </c>
      <c r="J24" s="15">
        <v>63</v>
      </c>
      <c r="K24" s="71">
        <f>MONTH(D24)</f>
        <v>8</v>
      </c>
      <c r="L24" s="46">
        <f t="shared" si="0"/>
        <v>0</v>
      </c>
      <c r="M24" s="46">
        <f t="shared" si="1"/>
        <v>0</v>
      </c>
      <c r="N24" s="46">
        <f t="shared" si="2"/>
        <v>1</v>
      </c>
      <c r="O24" s="46">
        <f>IF($E24="Spring", 1, 0)</f>
        <v>0</v>
      </c>
      <c r="P24" s="46">
        <f>IF($E24="Summer", 1, 0)</f>
        <v>0</v>
      </c>
      <c r="Q24" s="46">
        <f>IF($E24="Autumn",1,0)</f>
        <v>0</v>
      </c>
      <c r="R24" s="46">
        <f>IF($E24="Winter", 1, 0)</f>
        <v>1</v>
      </c>
      <c r="S24" s="15">
        <v>98</v>
      </c>
      <c r="T24" s="71">
        <v>363.12350657108726</v>
      </c>
      <c r="U24" s="51">
        <f>F24/((J24+I24)/2)</f>
        <v>0.57599999999999996</v>
      </c>
      <c r="V24" s="15">
        <v>19</v>
      </c>
      <c r="W24" s="15">
        <v>0.94275543160773401</v>
      </c>
      <c r="X24" s="52">
        <v>148.74410115507101</v>
      </c>
      <c r="Y24" s="70">
        <v>384</v>
      </c>
      <c r="AA24" s="39" t="s">
        <v>52</v>
      </c>
      <c r="AB24" s="39">
        <v>-6.2562962595821592</v>
      </c>
      <c r="AC24" s="39">
        <v>10.705781171126668</v>
      </c>
      <c r="AD24" s="39">
        <v>-0.58438484399954826</v>
      </c>
      <c r="AE24" s="39">
        <v>0.56043984281283099</v>
      </c>
      <c r="AF24" s="39">
        <v>-27.5284554081863</v>
      </c>
      <c r="AG24" s="39">
        <v>15.015862889021982</v>
      </c>
      <c r="AH24" s="39">
        <v>-27.5284554081863</v>
      </c>
      <c r="AI24" s="39">
        <v>15.015862889021982</v>
      </c>
    </row>
    <row r="25" spans="1:35" x14ac:dyDescent="0.15">
      <c r="A25" s="15">
        <v>5</v>
      </c>
      <c r="B25" s="15" t="s">
        <v>14</v>
      </c>
      <c r="C25" s="46" t="str">
        <f>IF(B25="Smartphone", "Electronics", IF(B25="Laptop", "Computing", IF(B25="Tablet", "Mobile", IF(B25="Smartwatch", "Wearables", IF(B25="Headphones", "Audio", "Photography")))))</f>
        <v>Audio</v>
      </c>
      <c r="D25" s="47">
        <v>43678</v>
      </c>
      <c r="E25" s="48" t="str">
        <f>IF(OR(MONTH(D25)=9, MONTH(D25)=10, MONTH(D25)=11), "Spring",
 IF(OR(MONTH(D25)=12, MONTH(D25)=1, MONTH(D25)=2), "Summer",
 IF(OR(MONTH(D25)=3, MONTH(D25)=4, MONTH(D25)=5), "Autumn",
 IF(OR(MONTH(D25)=6, MONTH(D25)=7, MONTH(D25)=8), "Winter", "Unknown"
))))</f>
        <v>Winter</v>
      </c>
      <c r="F25" s="15">
        <v>284</v>
      </c>
      <c r="G25" s="46">
        <f>J25+S25</f>
        <v>376</v>
      </c>
      <c r="H25" s="71">
        <f>T25-I25</f>
        <v>176.49962664277177</v>
      </c>
      <c r="I25" s="15">
        <v>81</v>
      </c>
      <c r="J25" s="15">
        <v>11</v>
      </c>
      <c r="K25" s="71">
        <f>MONTH(D25)</f>
        <v>8</v>
      </c>
      <c r="L25" s="46">
        <f t="shared" si="0"/>
        <v>1</v>
      </c>
      <c r="M25" s="46">
        <f t="shared" si="1"/>
        <v>0</v>
      </c>
      <c r="N25" s="46">
        <f t="shared" si="2"/>
        <v>0</v>
      </c>
      <c r="O25" s="46">
        <f>IF($E25="Spring", 1, 0)</f>
        <v>0</v>
      </c>
      <c r="P25" s="46">
        <f>IF($E25="Summer", 1, 0)</f>
        <v>0</v>
      </c>
      <c r="Q25" s="46">
        <f>IF($E25="Autumn",1,0)</f>
        <v>0</v>
      </c>
      <c r="R25" s="46">
        <f>IF($E25="Winter", 1, 0)</f>
        <v>1</v>
      </c>
      <c r="S25" s="15">
        <v>365</v>
      </c>
      <c r="T25" s="71">
        <v>257.49962664277177</v>
      </c>
      <c r="U25" s="51">
        <f>F25/((J25+I25)/2)</f>
        <v>6.1739130434782608</v>
      </c>
      <c r="V25" s="15">
        <v>23</v>
      </c>
      <c r="W25" s="15">
        <v>0.84757379433974001</v>
      </c>
      <c r="X25" s="52">
        <v>58.756055775779501</v>
      </c>
      <c r="Y25" s="70">
        <v>1914</v>
      </c>
      <c r="AA25" s="39" t="s">
        <v>53</v>
      </c>
      <c r="AB25" s="39">
        <v>0</v>
      </c>
      <c r="AC25" s="39">
        <v>0</v>
      </c>
      <c r="AD25" s="39">
        <v>65535</v>
      </c>
      <c r="AE25" s="39" t="e">
        <v>#NUM!</v>
      </c>
      <c r="AF25" s="39">
        <v>0</v>
      </c>
      <c r="AG25" s="39">
        <v>0</v>
      </c>
      <c r="AH25" s="39">
        <v>0</v>
      </c>
      <c r="AI25" s="39">
        <v>0</v>
      </c>
    </row>
    <row r="26" spans="1:35" x14ac:dyDescent="0.15">
      <c r="A26" s="15">
        <v>1</v>
      </c>
      <c r="B26" s="15" t="s">
        <v>10</v>
      </c>
      <c r="C26" s="46" t="str">
        <f>IF(B26="Smartphone", "Electronics", IF(B26="Laptop", "Computing", IF(B26="Tablet", "Mobile", IF(B26="Smartwatch", "Wearables", IF(B26="Headphones", "Audio", "Photography")))))</f>
        <v>Electronics</v>
      </c>
      <c r="D26" s="47">
        <v>43709</v>
      </c>
      <c r="E26" s="48" t="str">
        <f>IF(OR(MONTH(D26)=9, MONTH(D26)=10, MONTH(D26)=11), "Spring",
 IF(OR(MONTH(D26)=12, MONTH(D26)=1, MONTH(D26)=2), "Summer",
 IF(OR(MONTH(D26)=3, MONTH(D26)=4, MONTH(D26)=5), "Autumn",
 IF(OR(MONTH(D26)=6, MONTH(D26)=7, MONTH(D26)=8), "Winter", "Unknown"
))))</f>
        <v>Spring</v>
      </c>
      <c r="F26" s="15">
        <v>337</v>
      </c>
      <c r="G26" s="46">
        <f>J26+S26</f>
        <v>515</v>
      </c>
      <c r="H26" s="71">
        <f>T26-I26</f>
        <v>202.04485264834722</v>
      </c>
      <c r="I26" s="15">
        <v>156</v>
      </c>
      <c r="J26" s="15">
        <v>22</v>
      </c>
      <c r="K26" s="71">
        <f>MONTH(D26)</f>
        <v>9</v>
      </c>
      <c r="L26" s="46">
        <f t="shared" si="0"/>
        <v>0</v>
      </c>
      <c r="M26" s="46">
        <f t="shared" si="1"/>
        <v>1</v>
      </c>
      <c r="N26" s="46">
        <f t="shared" si="2"/>
        <v>0</v>
      </c>
      <c r="O26" s="46">
        <f>IF($E26="Spring", 1, 0)</f>
        <v>1</v>
      </c>
      <c r="P26" s="46">
        <f>IF($E26="Summer", 1, 0)</f>
        <v>0</v>
      </c>
      <c r="Q26" s="46">
        <f>IF($E26="Autumn",1,0)</f>
        <v>0</v>
      </c>
      <c r="R26" s="46">
        <f>IF($E26="Winter", 1, 0)</f>
        <v>0</v>
      </c>
      <c r="S26" s="15">
        <v>493</v>
      </c>
      <c r="T26" s="71">
        <v>358.04485264834722</v>
      </c>
      <c r="U26" s="51">
        <f>F26/((J26+I26)/2)</f>
        <v>3.7865168539325844</v>
      </c>
      <c r="V26" s="15">
        <v>12</v>
      </c>
      <c r="W26" s="15">
        <v>0.89050987401262804</v>
      </c>
      <c r="X26" s="52">
        <v>45.398052272973104</v>
      </c>
      <c r="Y26" s="70">
        <v>337</v>
      </c>
      <c r="AA26" s="39" t="s">
        <v>54</v>
      </c>
      <c r="AB26" s="39">
        <v>-5.9657107149720687</v>
      </c>
      <c r="AC26" s="39">
        <v>11.750196314195197</v>
      </c>
      <c r="AD26" s="39">
        <v>-0.50771157821125112</v>
      </c>
      <c r="AE26" s="39" t="e">
        <v>#NUM!</v>
      </c>
      <c r="AF26" s="39">
        <v>-29.313100506295186</v>
      </c>
      <c r="AG26" s="39">
        <v>17.381679076351048</v>
      </c>
      <c r="AH26" s="39">
        <v>-29.313100506295186</v>
      </c>
      <c r="AI26" s="39">
        <v>17.381679076351048</v>
      </c>
    </row>
    <row r="27" spans="1:35" x14ac:dyDescent="0.15">
      <c r="A27" s="15">
        <v>4</v>
      </c>
      <c r="B27" s="15" t="s">
        <v>13</v>
      </c>
      <c r="C27" s="46" t="str">
        <f>IF(B27="Smartphone", "Electronics", IF(B27="Laptop", "Computing", IF(B27="Tablet", "Mobile", IF(B27="Smartwatch", "Wearables", IF(B27="Headphones", "Audio", "Photography")))))</f>
        <v>Wearables</v>
      </c>
      <c r="D27" s="47">
        <v>43709</v>
      </c>
      <c r="E27" s="48" t="str">
        <f>IF(OR(MONTH(D27)=9, MONTH(D27)=10, MONTH(D27)=11), "Spring",
 IF(OR(MONTH(D27)=12, MONTH(D27)=1, MONTH(D27)=2), "Summer",
 IF(OR(MONTH(D27)=3, MONTH(D27)=4, MONTH(D27)=5), "Autumn",
 IF(OR(MONTH(D27)=6, MONTH(D27)=7, MONTH(D27)=8), "Winter", "Unknown"
))))</f>
        <v>Spring</v>
      </c>
      <c r="F27" s="15">
        <v>213</v>
      </c>
      <c r="G27" s="46">
        <f>J27+S27</f>
        <v>205</v>
      </c>
      <c r="H27" s="71">
        <f>T27-I27</f>
        <v>275.12350657108726</v>
      </c>
      <c r="I27" s="15">
        <v>88</v>
      </c>
      <c r="J27" s="15">
        <v>129</v>
      </c>
      <c r="K27" s="71">
        <f>MONTH(D27)</f>
        <v>9</v>
      </c>
      <c r="L27" s="46">
        <f t="shared" si="0"/>
        <v>0</v>
      </c>
      <c r="M27" s="46">
        <f t="shared" si="1"/>
        <v>0</v>
      </c>
      <c r="N27" s="46">
        <f t="shared" si="2"/>
        <v>1</v>
      </c>
      <c r="O27" s="46">
        <f>IF($E27="Spring", 1, 0)</f>
        <v>1</v>
      </c>
      <c r="P27" s="46">
        <f>IF($E27="Summer", 1, 0)</f>
        <v>0</v>
      </c>
      <c r="Q27" s="46">
        <f>IF($E27="Autumn",1,0)</f>
        <v>0</v>
      </c>
      <c r="R27" s="46">
        <f>IF($E27="Winter", 1, 0)</f>
        <v>0</v>
      </c>
      <c r="S27" s="15">
        <v>76</v>
      </c>
      <c r="T27" s="71">
        <v>363.12350657108726</v>
      </c>
      <c r="U27" s="51">
        <f>F27/((J27+I27)/2)</f>
        <v>1.9631336405529953</v>
      </c>
      <c r="V27" s="15">
        <v>11</v>
      </c>
      <c r="W27" s="15">
        <v>0.92274859453004798</v>
      </c>
      <c r="X27" s="52">
        <v>112.790270212506</v>
      </c>
      <c r="Y27" s="70">
        <v>423</v>
      </c>
      <c r="AA27" s="39" t="s">
        <v>4</v>
      </c>
      <c r="AB27" s="39">
        <v>2.7128111392788781E-2</v>
      </c>
      <c r="AC27" s="39">
        <v>3.1512181311583835E-2</v>
      </c>
      <c r="AD27" s="39">
        <v>0.86087697720933476</v>
      </c>
      <c r="AE27" s="39">
        <v>0.39161910771334862</v>
      </c>
      <c r="AF27" s="39">
        <v>-3.5485921648308327E-2</v>
      </c>
      <c r="AG27" s="39">
        <v>8.9742144433885895E-2</v>
      </c>
      <c r="AH27" s="39">
        <v>-3.5485921648308327E-2</v>
      </c>
      <c r="AI27" s="39">
        <v>8.9742144433885895E-2</v>
      </c>
    </row>
    <row r="28" spans="1:35" x14ac:dyDescent="0.15">
      <c r="A28" s="15">
        <v>5</v>
      </c>
      <c r="B28" s="15" t="s">
        <v>14</v>
      </c>
      <c r="C28" s="46" t="str">
        <f>IF(B28="Smartphone", "Electronics", IF(B28="Laptop", "Computing", IF(B28="Tablet", "Mobile", IF(B28="Smartwatch", "Wearables", IF(B28="Headphones", "Audio", "Photography")))))</f>
        <v>Audio</v>
      </c>
      <c r="D28" s="47">
        <v>43709</v>
      </c>
      <c r="E28" s="48" t="str">
        <f>IF(OR(MONTH(D28)=9, MONTH(D28)=10, MONTH(D28)=11), "Spring",
 IF(OR(MONTH(D28)=12, MONTH(D28)=1, MONTH(D28)=2), "Summer",
 IF(OR(MONTH(D28)=3, MONTH(D28)=4, MONTH(D28)=5), "Autumn",
 IF(OR(MONTH(D28)=6, MONTH(D28)=7, MONTH(D28)=8), "Winter", "Unknown"
))))</f>
        <v>Spring</v>
      </c>
      <c r="F28" s="15">
        <v>204</v>
      </c>
      <c r="G28" s="46">
        <f>J28+S28</f>
        <v>210</v>
      </c>
      <c r="H28" s="71">
        <f>T28-I28</f>
        <v>252.49962664277177</v>
      </c>
      <c r="I28" s="15">
        <v>5</v>
      </c>
      <c r="J28" s="15">
        <v>1</v>
      </c>
      <c r="K28" s="71">
        <f>MONTH(D28)</f>
        <v>9</v>
      </c>
      <c r="L28" s="46">
        <f t="shared" si="0"/>
        <v>1</v>
      </c>
      <c r="M28" s="46">
        <f t="shared" si="1"/>
        <v>0</v>
      </c>
      <c r="N28" s="46">
        <f t="shared" si="2"/>
        <v>0</v>
      </c>
      <c r="O28" s="46">
        <f>IF($E28="Spring", 1, 0)</f>
        <v>1</v>
      </c>
      <c r="P28" s="46">
        <f>IF($E28="Summer", 1, 0)</f>
        <v>0</v>
      </c>
      <c r="Q28" s="46">
        <f>IF($E28="Autumn",1,0)</f>
        <v>0</v>
      </c>
      <c r="R28" s="46">
        <f>IF($E28="Winter", 1, 0)</f>
        <v>0</v>
      </c>
      <c r="S28" s="15">
        <v>209</v>
      </c>
      <c r="T28" s="71">
        <v>257.49962664277177</v>
      </c>
      <c r="U28" s="51">
        <f>F28/((J28+I28)/2)</f>
        <v>68</v>
      </c>
      <c r="V28" s="15">
        <v>5</v>
      </c>
      <c r="W28" s="15">
        <v>0.92275305694694798</v>
      </c>
      <c r="X28" s="52">
        <v>62.744973437706101</v>
      </c>
      <c r="Y28" s="70">
        <v>1649</v>
      </c>
      <c r="AA28" s="39" t="s">
        <v>66</v>
      </c>
      <c r="AB28" s="39">
        <v>-4.675753382220265E-2</v>
      </c>
      <c r="AC28" s="39">
        <v>0.14431535595075268</v>
      </c>
      <c r="AD28" s="39">
        <v>-0.32399555483311537</v>
      </c>
      <c r="AE28" s="39">
        <v>0.74670157829209782</v>
      </c>
      <c r="AF28" s="39">
        <v>-0.33350907210801584</v>
      </c>
      <c r="AG28" s="39">
        <v>0.23999400446361052</v>
      </c>
      <c r="AH28" s="39">
        <v>-0.33350907210801584</v>
      </c>
      <c r="AI28" s="39">
        <v>0.23999400446361052</v>
      </c>
    </row>
    <row r="29" spans="1:35" x14ac:dyDescent="0.15">
      <c r="A29" s="15">
        <v>1</v>
      </c>
      <c r="B29" s="15" t="s">
        <v>10</v>
      </c>
      <c r="C29" s="46" t="str">
        <f>IF(B29="Smartphone", "Electronics", IF(B29="Laptop", "Computing", IF(B29="Tablet", "Mobile", IF(B29="Smartwatch", "Wearables", IF(B29="Headphones", "Audio", "Photography")))))</f>
        <v>Electronics</v>
      </c>
      <c r="D29" s="47">
        <v>43739</v>
      </c>
      <c r="E29" s="48" t="str">
        <f>IF(OR(MONTH(D29)=9, MONTH(D29)=10, MONTH(D29)=11), "Spring",
 IF(OR(MONTH(D29)=12, MONTH(D29)=1, MONTH(D29)=2), "Summer",
 IF(OR(MONTH(D29)=3, MONTH(D29)=4, MONTH(D29)=5), "Autumn",
 IF(OR(MONTH(D29)=6, MONTH(D29)=7, MONTH(D29)=8), "Winter", "Unknown"
))))</f>
        <v>Spring</v>
      </c>
      <c r="F29" s="15">
        <v>237</v>
      </c>
      <c r="G29" s="46">
        <f>J29+S29</f>
        <v>346</v>
      </c>
      <c r="H29" s="71">
        <f>T29-I29</f>
        <v>282.04485264834722</v>
      </c>
      <c r="I29" s="15">
        <v>76</v>
      </c>
      <c r="J29" s="15">
        <v>33</v>
      </c>
      <c r="K29" s="71">
        <f>MONTH(D29)</f>
        <v>10</v>
      </c>
      <c r="L29" s="46">
        <f t="shared" si="0"/>
        <v>0</v>
      </c>
      <c r="M29" s="46">
        <f t="shared" si="1"/>
        <v>1</v>
      </c>
      <c r="N29" s="46">
        <f t="shared" si="2"/>
        <v>0</v>
      </c>
      <c r="O29" s="46">
        <f>IF($E29="Spring", 1, 0)</f>
        <v>1</v>
      </c>
      <c r="P29" s="46">
        <f>IF($E29="Summer", 1, 0)</f>
        <v>0</v>
      </c>
      <c r="Q29" s="46">
        <f>IF($E29="Autumn",1,0)</f>
        <v>0</v>
      </c>
      <c r="R29" s="46">
        <f>IF($E29="Winter", 1, 0)</f>
        <v>0</v>
      </c>
      <c r="S29" s="15">
        <v>313</v>
      </c>
      <c r="T29" s="71">
        <v>358.04485264834722</v>
      </c>
      <c r="U29" s="51">
        <f>F29/((J29+I29)/2)</f>
        <v>4.3486238532110093</v>
      </c>
      <c r="V29" s="15">
        <v>1</v>
      </c>
      <c r="W29" s="15">
        <v>0.98322201269741005</v>
      </c>
      <c r="X29" s="52">
        <v>53.169953297047101</v>
      </c>
      <c r="Y29" s="70">
        <v>517</v>
      </c>
      <c r="AA29" s="39" t="s">
        <v>32</v>
      </c>
      <c r="AB29" s="39">
        <v>-0.97553734645047907</v>
      </c>
      <c r="AC29" s="39">
        <v>0.31712594061609362</v>
      </c>
      <c r="AD29" s="39">
        <v>-3.0761827447961605</v>
      </c>
      <c r="AE29" s="39">
        <v>2.7854796047930216E-3</v>
      </c>
      <c r="AF29" s="39">
        <v>-1.6056598355155522</v>
      </c>
      <c r="AG29" s="39">
        <v>-0.345414857385406</v>
      </c>
      <c r="AH29" s="39">
        <v>-1.6056598355155522</v>
      </c>
      <c r="AI29" s="39">
        <v>-0.345414857385406</v>
      </c>
    </row>
    <row r="30" spans="1:35" x14ac:dyDescent="0.15">
      <c r="A30" s="15">
        <v>4</v>
      </c>
      <c r="B30" s="15" t="s">
        <v>13</v>
      </c>
      <c r="C30" s="46" t="str">
        <f>IF(B30="Smartphone", "Electronics", IF(B30="Laptop", "Computing", IF(B30="Tablet", "Mobile", IF(B30="Smartwatch", "Wearables", IF(B30="Headphones", "Audio", "Photography")))))</f>
        <v>Wearables</v>
      </c>
      <c r="D30" s="47">
        <v>43739</v>
      </c>
      <c r="E30" s="48" t="str">
        <f>IF(OR(MONTH(D30)=9, MONTH(D30)=10, MONTH(D30)=11), "Spring",
 IF(OR(MONTH(D30)=12, MONTH(D30)=1, MONTH(D30)=2), "Summer",
 IF(OR(MONTH(D30)=3, MONTH(D30)=4, MONTH(D30)=5), "Autumn",
 IF(OR(MONTH(D30)=6, MONTH(D30)=7, MONTH(D30)=8), "Winter", "Unknown"
))))</f>
        <v>Spring</v>
      </c>
      <c r="F30" s="15">
        <v>28</v>
      </c>
      <c r="G30" s="46">
        <f>J30+S30</f>
        <v>188</v>
      </c>
      <c r="H30" s="71">
        <f>T30-I30</f>
        <v>292.12350657108726</v>
      </c>
      <c r="I30" s="15">
        <v>71</v>
      </c>
      <c r="J30" s="15">
        <v>89</v>
      </c>
      <c r="K30" s="71">
        <f>MONTH(D30)</f>
        <v>10</v>
      </c>
      <c r="L30" s="46">
        <f t="shared" si="0"/>
        <v>0</v>
      </c>
      <c r="M30" s="46">
        <f t="shared" si="1"/>
        <v>0</v>
      </c>
      <c r="N30" s="46">
        <f t="shared" si="2"/>
        <v>1</v>
      </c>
      <c r="O30" s="46">
        <f>IF($E30="Spring", 1, 0)</f>
        <v>1</v>
      </c>
      <c r="P30" s="46">
        <f>IF($E30="Summer", 1, 0)</f>
        <v>0</v>
      </c>
      <c r="Q30" s="46">
        <f>IF($E30="Autumn",1,0)</f>
        <v>0</v>
      </c>
      <c r="R30" s="46">
        <f>IF($E30="Winter", 1, 0)</f>
        <v>0</v>
      </c>
      <c r="S30" s="15">
        <v>99</v>
      </c>
      <c r="T30" s="71">
        <v>363.12350657108726</v>
      </c>
      <c r="U30" s="51">
        <f>F30/((J30+I30)/2)</f>
        <v>0.35</v>
      </c>
      <c r="V30" s="15">
        <v>22</v>
      </c>
      <c r="W30" s="15">
        <v>0.8</v>
      </c>
      <c r="X30" s="52">
        <v>62.470601819033803</v>
      </c>
      <c r="Y30" s="70">
        <v>648</v>
      </c>
      <c r="AA30" s="39" t="s">
        <v>7</v>
      </c>
      <c r="AB30" s="39">
        <v>3.0374167394062096E-2</v>
      </c>
      <c r="AC30" s="39">
        <v>0.49215458820515318</v>
      </c>
      <c r="AD30" s="39">
        <v>6.1716720969389224E-2</v>
      </c>
      <c r="AE30" s="39">
        <v>0.95092681129210666</v>
      </c>
      <c r="AF30" s="39">
        <v>-0.94752651623386441</v>
      </c>
      <c r="AG30" s="39">
        <v>1.0082748510219885</v>
      </c>
      <c r="AH30" s="39">
        <v>-0.94752651623386441</v>
      </c>
      <c r="AI30" s="39">
        <v>1.0082748510219885</v>
      </c>
    </row>
    <row r="31" spans="1:35" x14ac:dyDescent="0.15">
      <c r="A31" s="15">
        <v>5</v>
      </c>
      <c r="B31" s="15" t="s">
        <v>14</v>
      </c>
      <c r="C31" s="46" t="str">
        <f>IF(B31="Smartphone", "Electronics", IF(B31="Laptop", "Computing", IF(B31="Tablet", "Mobile", IF(B31="Smartwatch", "Wearables", IF(B31="Headphones", "Audio", "Photography")))))</f>
        <v>Audio</v>
      </c>
      <c r="D31" s="47">
        <v>43739</v>
      </c>
      <c r="E31" s="48" t="str">
        <f>IF(OR(MONTH(D31)=9, MONTH(D31)=10, MONTH(D31)=11), "Spring",
 IF(OR(MONTH(D31)=12, MONTH(D31)=1, MONTH(D31)=2), "Summer",
 IF(OR(MONTH(D31)=3, MONTH(D31)=4, MONTH(D31)=5), "Autumn",
 IF(OR(MONTH(D31)=6, MONTH(D31)=7, MONTH(D31)=8), "Winter", "Unknown"
))))</f>
        <v>Spring</v>
      </c>
      <c r="F31" s="15">
        <v>38</v>
      </c>
      <c r="G31" s="46">
        <f>J31+S31</f>
        <v>163</v>
      </c>
      <c r="H31" s="71">
        <f>T31-I31</f>
        <v>179.49962664277177</v>
      </c>
      <c r="I31" s="15">
        <v>78</v>
      </c>
      <c r="J31" s="15">
        <v>47</v>
      </c>
      <c r="K31" s="71">
        <f>MONTH(D31)</f>
        <v>10</v>
      </c>
      <c r="L31" s="46">
        <f t="shared" si="0"/>
        <v>1</v>
      </c>
      <c r="M31" s="46">
        <f t="shared" si="1"/>
        <v>0</v>
      </c>
      <c r="N31" s="46">
        <f t="shared" si="2"/>
        <v>0</v>
      </c>
      <c r="O31" s="46">
        <f>IF($E31="Spring", 1, 0)</f>
        <v>1</v>
      </c>
      <c r="P31" s="46">
        <f>IF($E31="Summer", 1, 0)</f>
        <v>0</v>
      </c>
      <c r="Q31" s="46">
        <f>IF($E31="Autumn",1,0)</f>
        <v>0</v>
      </c>
      <c r="R31" s="46">
        <f>IF($E31="Winter", 1, 0)</f>
        <v>0</v>
      </c>
      <c r="S31" s="15">
        <v>116</v>
      </c>
      <c r="T31" s="71">
        <v>257.49962664277177</v>
      </c>
      <c r="U31" s="51">
        <f>F31/((J31+I31)/2)</f>
        <v>0.60799999999999998</v>
      </c>
      <c r="V31" s="15">
        <v>19</v>
      </c>
      <c r="W31" s="15">
        <v>0.86607353323176195</v>
      </c>
      <c r="X31" s="52">
        <v>72.146257214624598</v>
      </c>
      <c r="Y31" s="70">
        <v>1394</v>
      </c>
      <c r="AA31" s="39" t="s">
        <v>8</v>
      </c>
      <c r="AB31" s="39">
        <v>-60.816058726479625</v>
      </c>
      <c r="AC31" s="39">
        <v>77.986191762462241</v>
      </c>
      <c r="AD31" s="39">
        <v>-0.77983111307343944</v>
      </c>
      <c r="AE31" s="39">
        <v>0.43755922549329629</v>
      </c>
      <c r="AF31" s="39">
        <v>-215.77296061410462</v>
      </c>
      <c r="AG31" s="39">
        <v>94.140843161145355</v>
      </c>
      <c r="AH31" s="39">
        <v>-215.77296061410462</v>
      </c>
      <c r="AI31" s="39">
        <v>94.140843161145355</v>
      </c>
    </row>
    <row r="32" spans="1:35" x14ac:dyDescent="0.15">
      <c r="A32" s="15">
        <v>1</v>
      </c>
      <c r="B32" s="15" t="s">
        <v>10</v>
      </c>
      <c r="C32" s="46" t="str">
        <f>IF(B32="Smartphone", "Electronics", IF(B32="Laptop", "Computing", IF(B32="Tablet", "Mobile", IF(B32="Smartwatch", "Wearables", IF(B32="Headphones", "Audio", "Photography")))))</f>
        <v>Electronics</v>
      </c>
      <c r="D32" s="47">
        <v>43770</v>
      </c>
      <c r="E32" s="48" t="str">
        <f>IF(OR(MONTH(D32)=9, MONTH(D32)=10, MONTH(D32)=11), "Spring",
 IF(OR(MONTH(D32)=12, MONTH(D32)=1, MONTH(D32)=2), "Summer",
 IF(OR(MONTH(D32)=3, MONTH(D32)=4, MONTH(D32)=5), "Autumn",
 IF(OR(MONTH(D32)=6, MONTH(D32)=7, MONTH(D32)=8), "Winter", "Unknown"
))))</f>
        <v>Spring</v>
      </c>
      <c r="F32" s="15">
        <v>443</v>
      </c>
      <c r="G32" s="46">
        <f>J32+S32</f>
        <v>433</v>
      </c>
      <c r="H32" s="71">
        <f>T32-I32</f>
        <v>298.04485264834722</v>
      </c>
      <c r="I32" s="15">
        <v>60</v>
      </c>
      <c r="J32" s="15">
        <v>3</v>
      </c>
      <c r="K32" s="71">
        <f>MONTH(D32)</f>
        <v>11</v>
      </c>
      <c r="L32" s="46">
        <f t="shared" si="0"/>
        <v>0</v>
      </c>
      <c r="M32" s="46">
        <f t="shared" si="1"/>
        <v>1</v>
      </c>
      <c r="N32" s="46">
        <f t="shared" si="2"/>
        <v>0</v>
      </c>
      <c r="O32" s="46">
        <f>IF($E32="Spring", 1, 0)</f>
        <v>1</v>
      </c>
      <c r="P32" s="46">
        <f>IF($E32="Summer", 1, 0)</f>
        <v>0</v>
      </c>
      <c r="Q32" s="46">
        <f>IF($E32="Autumn",1,0)</f>
        <v>0</v>
      </c>
      <c r="R32" s="46">
        <f>IF($E32="Winter", 1, 0)</f>
        <v>0</v>
      </c>
      <c r="S32" s="15">
        <v>430</v>
      </c>
      <c r="T32" s="71">
        <v>358.04485264834722</v>
      </c>
      <c r="U32" s="51">
        <f>F32/((J32+I32)/2)</f>
        <v>14.063492063492063</v>
      </c>
      <c r="V32" s="15">
        <v>29</v>
      </c>
      <c r="W32" s="15">
        <v>0.881917736115717</v>
      </c>
      <c r="X32" s="52">
        <v>52.276153385806701</v>
      </c>
      <c r="Y32" s="70">
        <v>835</v>
      </c>
      <c r="AA32" s="39" t="s">
        <v>9</v>
      </c>
      <c r="AB32" s="39">
        <v>-0.1331641843604412</v>
      </c>
      <c r="AC32" s="39">
        <v>9.2859390199163436E-2</v>
      </c>
      <c r="AD32" s="39">
        <v>-1.4340411247029798</v>
      </c>
      <c r="AE32" s="39">
        <v>0.15506473473024987</v>
      </c>
      <c r="AF32" s="39">
        <v>-0.31767381473532164</v>
      </c>
      <c r="AG32" s="39">
        <v>5.1345446014439237E-2</v>
      </c>
      <c r="AH32" s="39">
        <v>-0.31767381473532164</v>
      </c>
      <c r="AI32" s="39">
        <v>5.1345446014439237E-2</v>
      </c>
    </row>
    <row r="33" spans="1:35" ht="15" thickBot="1" x14ac:dyDescent="0.2">
      <c r="A33" s="15">
        <v>4</v>
      </c>
      <c r="B33" s="15" t="s">
        <v>13</v>
      </c>
      <c r="C33" s="46" t="str">
        <f>IF(B33="Smartphone", "Electronics", IF(B33="Laptop", "Computing", IF(B33="Tablet", "Mobile", IF(B33="Smartwatch", "Wearables", IF(B33="Headphones", "Audio", "Photography")))))</f>
        <v>Wearables</v>
      </c>
      <c r="D33" s="47">
        <v>43770</v>
      </c>
      <c r="E33" s="48" t="str">
        <f>IF(OR(MONTH(D33)=9, MONTH(D33)=10, MONTH(D33)=11), "Spring",
 IF(OR(MONTH(D33)=12, MONTH(D33)=1, MONTH(D33)=2), "Summer",
 IF(OR(MONTH(D33)=3, MONTH(D33)=4, MONTH(D33)=5), "Autumn",
 IF(OR(MONTH(D33)=6, MONTH(D33)=7, MONTH(D33)=8), "Winter", "Unknown"
))))</f>
        <v>Spring</v>
      </c>
      <c r="F33" s="15">
        <v>326</v>
      </c>
      <c r="G33" s="46">
        <f>J33+S33</f>
        <v>436</v>
      </c>
      <c r="H33" s="71">
        <f>T33-I33</f>
        <v>298.12350657108726</v>
      </c>
      <c r="I33" s="15">
        <v>65</v>
      </c>
      <c r="J33" s="15">
        <v>45</v>
      </c>
      <c r="K33" s="71">
        <f>MONTH(D33)</f>
        <v>11</v>
      </c>
      <c r="L33" s="46">
        <f t="shared" si="0"/>
        <v>0</v>
      </c>
      <c r="M33" s="46">
        <f t="shared" si="1"/>
        <v>0</v>
      </c>
      <c r="N33" s="46">
        <f t="shared" si="2"/>
        <v>1</v>
      </c>
      <c r="O33" s="46">
        <f>IF($E33="Spring", 1, 0)</f>
        <v>1</v>
      </c>
      <c r="P33" s="46">
        <f>IF($E33="Summer", 1, 0)</f>
        <v>0</v>
      </c>
      <c r="Q33" s="46">
        <f>IF($E33="Autumn",1,0)</f>
        <v>0</v>
      </c>
      <c r="R33" s="46">
        <f>IF($E33="Winter", 1, 0)</f>
        <v>0</v>
      </c>
      <c r="S33" s="15">
        <v>391</v>
      </c>
      <c r="T33" s="71">
        <v>363.12350657108726</v>
      </c>
      <c r="U33" s="51">
        <f>F33/((J33+I33)/2)</f>
        <v>5.9272727272727277</v>
      </c>
      <c r="V33" s="15">
        <v>15</v>
      </c>
      <c r="W33" s="15">
        <v>0.93268559401280904</v>
      </c>
      <c r="X33" s="52">
        <v>76.312615294337704</v>
      </c>
      <c r="Y33" s="70">
        <v>718</v>
      </c>
      <c r="AA33" s="40" t="s">
        <v>80</v>
      </c>
      <c r="AB33" s="40">
        <v>-2.6562937521766958E-2</v>
      </c>
      <c r="AC33" s="40">
        <v>1.8024195197421471E-2</v>
      </c>
      <c r="AD33" s="40">
        <v>-1.4737377858383953</v>
      </c>
      <c r="AE33" s="40">
        <v>0.14408048580887772</v>
      </c>
      <c r="AF33" s="40">
        <v>-6.2376629454786899E-2</v>
      </c>
      <c r="AG33" s="40">
        <v>9.2507544112529864E-3</v>
      </c>
      <c r="AH33" s="40">
        <v>-6.2376629454786899E-2</v>
      </c>
      <c r="AI33" s="40">
        <v>9.2507544112529864E-3</v>
      </c>
    </row>
    <row r="34" spans="1:35" ht="15" x14ac:dyDescent="0.2">
      <c r="A34" s="15">
        <v>5</v>
      </c>
      <c r="B34" s="15" t="s">
        <v>14</v>
      </c>
      <c r="C34" s="46" t="str">
        <f>IF(B34="Smartphone", "Electronics", IF(B34="Laptop", "Computing", IF(B34="Tablet", "Mobile", IF(B34="Smartwatch", "Wearables", IF(B34="Headphones", "Audio", "Photography")))))</f>
        <v>Audio</v>
      </c>
      <c r="D34" s="47">
        <v>43770</v>
      </c>
      <c r="E34" s="48" t="str">
        <f>IF(OR(MONTH(D34)=9, MONTH(D34)=10, MONTH(D34)=11), "Spring",
 IF(OR(MONTH(D34)=12, MONTH(D34)=1, MONTH(D34)=2), "Summer",
 IF(OR(MONTH(D34)=3, MONTH(D34)=4, MONTH(D34)=5), "Autumn",
 IF(OR(MONTH(D34)=6, MONTH(D34)=7, MONTH(D34)=8), "Winter", "Unknown"
))))</f>
        <v>Spring</v>
      </c>
      <c r="F34" s="15">
        <v>310</v>
      </c>
      <c r="G34" s="46">
        <f>J34+S34</f>
        <v>410</v>
      </c>
      <c r="H34" s="71">
        <f>T34-I34</f>
        <v>192.49962664277177</v>
      </c>
      <c r="I34" s="15">
        <v>65</v>
      </c>
      <c r="J34" s="15">
        <v>35</v>
      </c>
      <c r="K34" s="71">
        <f>MONTH(D34)</f>
        <v>11</v>
      </c>
      <c r="L34" s="46">
        <f t="shared" si="0"/>
        <v>1</v>
      </c>
      <c r="M34" s="46">
        <f t="shared" si="1"/>
        <v>0</v>
      </c>
      <c r="N34" s="46">
        <f t="shared" si="2"/>
        <v>0</v>
      </c>
      <c r="O34" s="46">
        <f>IF($E34="Spring", 1, 0)</f>
        <v>1</v>
      </c>
      <c r="P34" s="46">
        <f>IF($E34="Summer", 1, 0)</f>
        <v>0</v>
      </c>
      <c r="Q34" s="46">
        <f>IF($E34="Autumn",1,0)</f>
        <v>0</v>
      </c>
      <c r="R34" s="46">
        <f>IF($E34="Winter", 1, 0)</f>
        <v>0</v>
      </c>
      <c r="S34" s="15">
        <v>375</v>
      </c>
      <c r="T34" s="71">
        <v>257.49962664277177</v>
      </c>
      <c r="U34" s="51">
        <f>F34/((J34+I34)/2)</f>
        <v>6.2</v>
      </c>
      <c r="V34" s="15">
        <v>25</v>
      </c>
      <c r="W34" s="15">
        <v>0.91086071548236702</v>
      </c>
      <c r="X34" s="52">
        <v>55.032914307840002</v>
      </c>
      <c r="Y34" s="70">
        <v>1681</v>
      </c>
      <c r="AA34"/>
      <c r="AB34"/>
      <c r="AC34"/>
      <c r="AD34"/>
      <c r="AE34"/>
      <c r="AF34"/>
      <c r="AG34"/>
      <c r="AH34"/>
      <c r="AI34"/>
    </row>
    <row r="35" spans="1:35" ht="15" x14ac:dyDescent="0.2">
      <c r="A35" s="15">
        <v>1</v>
      </c>
      <c r="B35" s="15" t="s">
        <v>10</v>
      </c>
      <c r="C35" s="46" t="str">
        <f>IF(B35="Smartphone", "Electronics", IF(B35="Laptop", "Computing", IF(B35="Tablet", "Mobile", IF(B35="Smartwatch", "Wearables", IF(B35="Headphones", "Audio", "Photography")))))</f>
        <v>Electronics</v>
      </c>
      <c r="D35" s="47">
        <v>43800</v>
      </c>
      <c r="E35" s="48" t="str">
        <f>IF(OR(MONTH(D35)=9, MONTH(D35)=10, MONTH(D35)=11), "Spring",
 IF(OR(MONTH(D35)=12, MONTH(D35)=1, MONTH(D35)=2), "Summer",
 IF(OR(MONTH(D35)=3, MONTH(D35)=4, MONTH(D35)=5), "Autumn",
 IF(OR(MONTH(D35)=6, MONTH(D35)=7, MONTH(D35)=8), "Winter", "Unknown"
))))</f>
        <v>Summer</v>
      </c>
      <c r="F35" s="15">
        <v>192</v>
      </c>
      <c r="G35" s="46">
        <f>J35+S35</f>
        <v>279</v>
      </c>
      <c r="H35" s="71">
        <f>T35-I35</f>
        <v>286.04485264834722</v>
      </c>
      <c r="I35" s="15">
        <v>72</v>
      </c>
      <c r="J35" s="15">
        <v>15</v>
      </c>
      <c r="K35" s="71">
        <f>MONTH(D35)</f>
        <v>12</v>
      </c>
      <c r="L35" s="46">
        <f t="shared" si="0"/>
        <v>0</v>
      </c>
      <c r="M35" s="46">
        <f t="shared" si="1"/>
        <v>1</v>
      </c>
      <c r="N35" s="46">
        <f t="shared" si="2"/>
        <v>0</v>
      </c>
      <c r="O35" s="46">
        <f>IF($E35="Spring", 1, 0)</f>
        <v>0</v>
      </c>
      <c r="P35" s="46">
        <f>IF($E35="Summer", 1, 0)</f>
        <v>1</v>
      </c>
      <c r="Q35" s="46">
        <f>IF($E35="Autumn",1,0)</f>
        <v>0</v>
      </c>
      <c r="R35" s="46">
        <f>IF($E35="Winter", 1, 0)</f>
        <v>0</v>
      </c>
      <c r="S35" s="15">
        <v>264</v>
      </c>
      <c r="T35" s="71">
        <v>358.04485264834722</v>
      </c>
      <c r="U35" s="51">
        <f>F35/((J35+I35)/2)</f>
        <v>4.4137931034482758</v>
      </c>
      <c r="V35" s="15">
        <v>15</v>
      </c>
      <c r="W35" s="15">
        <v>0.80375941610186596</v>
      </c>
      <c r="X35" s="52">
        <v>40.453491693959698</v>
      </c>
      <c r="Y35" s="70">
        <v>757</v>
      </c>
      <c r="AA35"/>
      <c r="AB35"/>
      <c r="AC35"/>
      <c r="AD35"/>
      <c r="AE35"/>
      <c r="AF35"/>
      <c r="AG35"/>
      <c r="AH35"/>
      <c r="AI35"/>
    </row>
    <row r="36" spans="1:35" ht="15" x14ac:dyDescent="0.2">
      <c r="A36" s="15">
        <v>4</v>
      </c>
      <c r="B36" s="15" t="s">
        <v>13</v>
      </c>
      <c r="C36" s="46" t="str">
        <f>IF(B36="Smartphone", "Electronics", IF(B36="Laptop", "Computing", IF(B36="Tablet", "Mobile", IF(B36="Smartwatch", "Wearables", IF(B36="Headphones", "Audio", "Photography")))))</f>
        <v>Wearables</v>
      </c>
      <c r="D36" s="47">
        <v>43800</v>
      </c>
      <c r="E36" s="48" t="str">
        <f>IF(OR(MONTH(D36)=9, MONTH(D36)=10, MONTH(D36)=11), "Spring",
 IF(OR(MONTH(D36)=12, MONTH(D36)=1, MONTH(D36)=2), "Summer",
 IF(OR(MONTH(D36)=3, MONTH(D36)=4, MONTH(D36)=5), "Autumn",
 IF(OR(MONTH(D36)=6, MONTH(D36)=7, MONTH(D36)=8), "Winter", "Unknown"
))))</f>
        <v>Summer</v>
      </c>
      <c r="F36" s="15">
        <v>103</v>
      </c>
      <c r="G36" s="46">
        <f>J36+S36</f>
        <v>246</v>
      </c>
      <c r="H36" s="71">
        <f>T36-I36</f>
        <v>315.12350657108726</v>
      </c>
      <c r="I36" s="15">
        <v>48</v>
      </c>
      <c r="J36" s="15">
        <v>95</v>
      </c>
      <c r="K36" s="71">
        <f>MONTH(D36)</f>
        <v>12</v>
      </c>
      <c r="L36" s="46">
        <f t="shared" si="0"/>
        <v>0</v>
      </c>
      <c r="M36" s="46">
        <f t="shared" si="1"/>
        <v>0</v>
      </c>
      <c r="N36" s="46">
        <f t="shared" si="2"/>
        <v>1</v>
      </c>
      <c r="O36" s="46">
        <f>IF($E36="Spring", 1, 0)</f>
        <v>0</v>
      </c>
      <c r="P36" s="46">
        <f>IF($E36="Summer", 1, 0)</f>
        <v>1</v>
      </c>
      <c r="Q36" s="46">
        <f>IF($E36="Autumn",1,0)</f>
        <v>0</v>
      </c>
      <c r="R36" s="46">
        <f>IF($E36="Winter", 1, 0)</f>
        <v>0</v>
      </c>
      <c r="S36" s="15">
        <v>151</v>
      </c>
      <c r="T36" s="71">
        <v>363.12350657108726</v>
      </c>
      <c r="U36" s="51">
        <f>F36/((J36+I36)/2)</f>
        <v>1.4405594405594406</v>
      </c>
      <c r="V36" s="15">
        <v>26</v>
      </c>
      <c r="W36" s="15">
        <v>0.83777708000810802</v>
      </c>
      <c r="X36" s="52">
        <v>96.285501756584594</v>
      </c>
      <c r="Y36" s="70">
        <v>264</v>
      </c>
      <c r="AA36"/>
      <c r="AB36"/>
      <c r="AC36"/>
      <c r="AD36"/>
      <c r="AE36"/>
      <c r="AF36"/>
      <c r="AG36"/>
      <c r="AH36"/>
      <c r="AI36"/>
    </row>
    <row r="37" spans="1:35" x14ac:dyDescent="0.15">
      <c r="A37" s="15">
        <v>5</v>
      </c>
      <c r="B37" s="15" t="s">
        <v>14</v>
      </c>
      <c r="C37" s="46" t="str">
        <f>IF(B37="Smartphone", "Electronics", IF(B37="Laptop", "Computing", IF(B37="Tablet", "Mobile", IF(B37="Smartwatch", "Wearables", IF(B37="Headphones", "Audio", "Photography")))))</f>
        <v>Audio</v>
      </c>
      <c r="D37" s="47">
        <v>43800</v>
      </c>
      <c r="E37" s="48" t="str">
        <f>IF(OR(MONTH(D37)=9, MONTH(D37)=10, MONTH(D37)=11), "Spring",
 IF(OR(MONTH(D37)=12, MONTH(D37)=1, MONTH(D37)=2), "Summer",
 IF(OR(MONTH(D37)=3, MONTH(D37)=4, MONTH(D37)=5), "Autumn",
 IF(OR(MONTH(D37)=6, MONTH(D37)=7, MONTH(D37)=8), "Winter", "Unknown"
))))</f>
        <v>Summer</v>
      </c>
      <c r="F37" s="15">
        <v>223</v>
      </c>
      <c r="G37" s="46">
        <f>J37+S37</f>
        <v>293</v>
      </c>
      <c r="H37" s="71">
        <f>T37-I37</f>
        <v>222.49962664277177</v>
      </c>
      <c r="I37" s="15">
        <v>35</v>
      </c>
      <c r="J37" s="15">
        <v>35</v>
      </c>
      <c r="K37" s="71">
        <f>MONTH(D37)</f>
        <v>12</v>
      </c>
      <c r="L37" s="46">
        <f t="shared" si="0"/>
        <v>1</v>
      </c>
      <c r="M37" s="46">
        <f t="shared" si="1"/>
        <v>0</v>
      </c>
      <c r="N37" s="46">
        <f t="shared" si="2"/>
        <v>0</v>
      </c>
      <c r="O37" s="46">
        <f>IF($E37="Spring", 1, 0)</f>
        <v>0</v>
      </c>
      <c r="P37" s="46">
        <f>IF($E37="Summer", 1, 0)</f>
        <v>1</v>
      </c>
      <c r="Q37" s="46">
        <f>IF($E37="Autumn",1,0)</f>
        <v>0</v>
      </c>
      <c r="R37" s="46">
        <f>IF($E37="Winter", 1, 0)</f>
        <v>0</v>
      </c>
      <c r="S37" s="15">
        <v>258</v>
      </c>
      <c r="T37" s="71">
        <v>257.49962664277177</v>
      </c>
      <c r="U37" s="51">
        <f>F37/((J37+I37)/2)</f>
        <v>6.371428571428571</v>
      </c>
      <c r="V37" s="15">
        <v>16</v>
      </c>
      <c r="W37" s="15">
        <v>0.80925634778128797</v>
      </c>
      <c r="X37" s="52">
        <v>117.370677901858</v>
      </c>
      <c r="Y37" s="70">
        <v>1054</v>
      </c>
    </row>
    <row r="38" spans="1:35" x14ac:dyDescent="0.15">
      <c r="A38" s="15">
        <v>1</v>
      </c>
      <c r="B38" s="15" t="s">
        <v>10</v>
      </c>
      <c r="C38" s="46" t="str">
        <f>IF(B38="Smartphone", "Electronics", IF(B38="Laptop", "Computing", IF(B38="Tablet", "Mobile", IF(B38="Smartwatch", "Wearables", IF(B38="Headphones", "Audio", "Photography")))))</f>
        <v>Electronics</v>
      </c>
      <c r="D38" s="47">
        <v>43831</v>
      </c>
      <c r="E38" s="48" t="str">
        <f>IF(OR(MONTH(D38)=9, MONTH(D38)=10, MONTH(D38)=11), "Spring",
 IF(OR(MONTH(D38)=12, MONTH(D38)=1, MONTH(D38)=2), "Summer",
 IF(OR(MONTH(D38)=3, MONTH(D38)=4, MONTH(D38)=5), "Autumn",
 IF(OR(MONTH(D38)=6, MONTH(D38)=7, MONTH(D38)=8), "Winter", "Unknown"
))))</f>
        <v>Summer</v>
      </c>
      <c r="F38" s="15">
        <v>315</v>
      </c>
      <c r="G38" s="46">
        <f>J38+S38</f>
        <v>463</v>
      </c>
      <c r="H38" s="71">
        <f>T38-I38</f>
        <v>270.04485264834722</v>
      </c>
      <c r="I38" s="15">
        <v>88</v>
      </c>
      <c r="J38" s="15">
        <v>60</v>
      </c>
      <c r="K38" s="71">
        <f>MONTH(D38)</f>
        <v>1</v>
      </c>
      <c r="L38" s="46">
        <f t="shared" si="0"/>
        <v>0</v>
      </c>
      <c r="M38" s="46">
        <f t="shared" si="1"/>
        <v>1</v>
      </c>
      <c r="N38" s="46">
        <f t="shared" si="2"/>
        <v>0</v>
      </c>
      <c r="O38" s="46">
        <f>IF($E38="Spring", 1, 0)</f>
        <v>0</v>
      </c>
      <c r="P38" s="46">
        <f>IF($E38="Summer", 1, 0)</f>
        <v>1</v>
      </c>
      <c r="Q38" s="46">
        <f>IF($E38="Autumn",1,0)</f>
        <v>0</v>
      </c>
      <c r="R38" s="46">
        <f>IF($E38="Winter", 1, 0)</f>
        <v>0</v>
      </c>
      <c r="S38" s="15">
        <v>403</v>
      </c>
      <c r="T38" s="71">
        <v>358.04485264834722</v>
      </c>
      <c r="U38" s="51">
        <f>F38/((J38+I38)/2)</f>
        <v>4.256756756756757</v>
      </c>
      <c r="V38" s="15">
        <v>1</v>
      </c>
      <c r="W38" s="15">
        <v>0.93710414849346602</v>
      </c>
      <c r="X38" s="52">
        <v>73.449654170874396</v>
      </c>
      <c r="Y38" s="70">
        <v>596</v>
      </c>
    </row>
    <row r="39" spans="1:35" x14ac:dyDescent="0.15">
      <c r="A39" s="15">
        <v>4</v>
      </c>
      <c r="B39" s="15" t="s">
        <v>13</v>
      </c>
      <c r="C39" s="46" t="str">
        <f>IF(B39="Smartphone", "Electronics", IF(B39="Laptop", "Computing", IF(B39="Tablet", "Mobile", IF(B39="Smartwatch", "Wearables", IF(B39="Headphones", "Audio", "Photography")))))</f>
        <v>Wearables</v>
      </c>
      <c r="D39" s="47">
        <v>43831</v>
      </c>
      <c r="E39" s="48" t="str">
        <f>IF(OR(MONTH(D39)=9, MONTH(D39)=10, MONTH(D39)=11), "Spring",
 IF(OR(MONTH(D39)=12, MONTH(D39)=1, MONTH(D39)=2), "Summer",
 IF(OR(MONTH(D39)=3, MONTH(D39)=4, MONTH(D39)=5), "Autumn",
 IF(OR(MONTH(D39)=6, MONTH(D39)=7, MONTH(D39)=8), "Winter", "Unknown"
))))</f>
        <v>Summer</v>
      </c>
      <c r="F39" s="15">
        <v>273</v>
      </c>
      <c r="G39" s="46">
        <f>J39+S39</f>
        <v>375</v>
      </c>
      <c r="H39" s="71">
        <f>T39-I39</f>
        <v>323.12350657108726</v>
      </c>
      <c r="I39" s="15">
        <v>40</v>
      </c>
      <c r="J39" s="15">
        <v>62</v>
      </c>
      <c r="K39" s="71">
        <f>MONTH(D39)</f>
        <v>1</v>
      </c>
      <c r="L39" s="46">
        <f t="shared" si="0"/>
        <v>0</v>
      </c>
      <c r="M39" s="46">
        <f t="shared" si="1"/>
        <v>0</v>
      </c>
      <c r="N39" s="46">
        <f t="shared" si="2"/>
        <v>1</v>
      </c>
      <c r="O39" s="46">
        <f>IF($E39="Spring", 1, 0)</f>
        <v>0</v>
      </c>
      <c r="P39" s="46">
        <f>IF($E39="Summer", 1, 0)</f>
        <v>1</v>
      </c>
      <c r="Q39" s="46">
        <f>IF($E39="Autumn",1,0)</f>
        <v>0</v>
      </c>
      <c r="R39" s="46">
        <f>IF($E39="Winter", 1, 0)</f>
        <v>0</v>
      </c>
      <c r="S39" s="15">
        <v>313</v>
      </c>
      <c r="T39" s="71">
        <v>363.12350657108726</v>
      </c>
      <c r="U39" s="51">
        <f>F39/((J39+I39)/2)</f>
        <v>5.3529411764705879</v>
      </c>
      <c r="V39" s="15">
        <v>3</v>
      </c>
      <c r="W39" s="15">
        <v>0.85842490285219497</v>
      </c>
      <c r="X39" s="52">
        <v>64.091805424332406</v>
      </c>
      <c r="Y39" s="70">
        <v>434</v>
      </c>
    </row>
    <row r="40" spans="1:35" x14ac:dyDescent="0.15">
      <c r="A40" s="15">
        <v>5</v>
      </c>
      <c r="B40" s="15" t="s">
        <v>14</v>
      </c>
      <c r="C40" s="46" t="str">
        <f>IF(B40="Smartphone", "Electronics", IF(B40="Laptop", "Computing", IF(B40="Tablet", "Mobile", IF(B40="Smartwatch", "Wearables", IF(B40="Headphones", "Audio", "Photography")))))</f>
        <v>Audio</v>
      </c>
      <c r="D40" s="47">
        <v>43831</v>
      </c>
      <c r="E40" s="48" t="str">
        <f>IF(OR(MONTH(D40)=9, MONTH(D40)=10, MONTH(D40)=11), "Spring",
 IF(OR(MONTH(D40)=12, MONTH(D40)=1, MONTH(D40)=2), "Summer",
 IF(OR(MONTH(D40)=3, MONTH(D40)=4, MONTH(D40)=5), "Autumn",
 IF(OR(MONTH(D40)=6, MONTH(D40)=7, MONTH(D40)=8), "Winter", "Unknown"
))))</f>
        <v>Summer</v>
      </c>
      <c r="F40" s="15">
        <v>127</v>
      </c>
      <c r="G40" s="46">
        <f>J40+S40</f>
        <v>272</v>
      </c>
      <c r="H40" s="71">
        <f>T40-I40</f>
        <v>185.49962664277177</v>
      </c>
      <c r="I40" s="15">
        <v>72</v>
      </c>
      <c r="J40" s="15">
        <v>73</v>
      </c>
      <c r="K40" s="71">
        <f>MONTH(D40)</f>
        <v>1</v>
      </c>
      <c r="L40" s="46">
        <f t="shared" si="0"/>
        <v>1</v>
      </c>
      <c r="M40" s="46">
        <f t="shared" si="1"/>
        <v>0</v>
      </c>
      <c r="N40" s="46">
        <f t="shared" si="2"/>
        <v>0</v>
      </c>
      <c r="O40" s="46">
        <f>IF($E40="Spring", 1, 0)</f>
        <v>0</v>
      </c>
      <c r="P40" s="46">
        <f>IF($E40="Summer", 1, 0)</f>
        <v>1</v>
      </c>
      <c r="Q40" s="46">
        <f>IF($E40="Autumn",1,0)</f>
        <v>0</v>
      </c>
      <c r="R40" s="46">
        <f>IF($E40="Winter", 1, 0)</f>
        <v>0</v>
      </c>
      <c r="S40" s="15">
        <v>199</v>
      </c>
      <c r="T40" s="71">
        <v>257.49962664277177</v>
      </c>
      <c r="U40" s="51">
        <f>F40/((J40+I40)/2)</f>
        <v>1.7517241379310344</v>
      </c>
      <c r="V40" s="15">
        <v>1</v>
      </c>
      <c r="W40" s="15">
        <v>0.89467026195426702</v>
      </c>
      <c r="X40" s="52">
        <v>92.921740974054003</v>
      </c>
      <c r="Y40" s="70">
        <v>1016</v>
      </c>
    </row>
    <row r="41" spans="1:35" x14ac:dyDescent="0.15">
      <c r="A41" s="15">
        <v>1</v>
      </c>
      <c r="B41" s="15" t="s">
        <v>10</v>
      </c>
      <c r="C41" s="46" t="str">
        <f>IF(B41="Smartphone", "Electronics", IF(B41="Laptop", "Computing", IF(B41="Tablet", "Mobile", IF(B41="Smartwatch", "Wearables", IF(B41="Headphones", "Audio", "Photography")))))</f>
        <v>Electronics</v>
      </c>
      <c r="D41" s="47">
        <v>43862</v>
      </c>
      <c r="E41" s="48" t="str">
        <f>IF(OR(MONTH(D41)=9, MONTH(D41)=10, MONTH(D41)=11), "Spring",
 IF(OR(MONTH(D41)=12, MONTH(D41)=1, MONTH(D41)=2), "Summer",
 IF(OR(MONTH(D41)=3, MONTH(D41)=4, MONTH(D41)=5), "Autumn",
 IF(OR(MONTH(D41)=6, MONTH(D41)=7, MONTH(D41)=8), "Winter", "Unknown"
))))</f>
        <v>Summer</v>
      </c>
      <c r="F41" s="15">
        <v>404</v>
      </c>
      <c r="G41" s="46">
        <f>J41+S41</f>
        <v>574</v>
      </c>
      <c r="H41" s="71">
        <f>T41-I41</f>
        <v>271.04485264834722</v>
      </c>
      <c r="I41" s="15">
        <v>87</v>
      </c>
      <c r="J41" s="15">
        <v>83</v>
      </c>
      <c r="K41" s="71">
        <f>MONTH(D41)</f>
        <v>2</v>
      </c>
      <c r="L41" s="46">
        <f t="shared" si="0"/>
        <v>0</v>
      </c>
      <c r="M41" s="46">
        <f t="shared" si="1"/>
        <v>1</v>
      </c>
      <c r="N41" s="46">
        <f t="shared" si="2"/>
        <v>0</v>
      </c>
      <c r="O41" s="46">
        <f>IF($E41="Spring", 1, 0)</f>
        <v>0</v>
      </c>
      <c r="P41" s="46">
        <f>IF($E41="Summer", 1, 0)</f>
        <v>1</v>
      </c>
      <c r="Q41" s="46">
        <f>IF($E41="Autumn",1,0)</f>
        <v>0</v>
      </c>
      <c r="R41" s="46">
        <f>IF($E41="Winter", 1, 0)</f>
        <v>0</v>
      </c>
      <c r="S41" s="15">
        <v>491</v>
      </c>
      <c r="T41" s="71">
        <v>358.04485264834722</v>
      </c>
      <c r="U41" s="51">
        <f>F41/((J41+I41)/2)</f>
        <v>4.7529411764705882</v>
      </c>
      <c r="V41" s="15">
        <v>8</v>
      </c>
      <c r="W41" s="15">
        <v>1</v>
      </c>
      <c r="X41" s="52">
        <v>8.49615763598357</v>
      </c>
      <c r="Y41" s="70">
        <v>670</v>
      </c>
    </row>
    <row r="42" spans="1:35" x14ac:dyDescent="0.15">
      <c r="A42" s="15">
        <v>4</v>
      </c>
      <c r="B42" s="15" t="s">
        <v>13</v>
      </c>
      <c r="C42" s="46" t="str">
        <f>IF(B42="Smartphone", "Electronics", IF(B42="Laptop", "Computing", IF(B42="Tablet", "Mobile", IF(B42="Smartwatch", "Wearables", IF(B42="Headphones", "Audio", "Photography")))))</f>
        <v>Wearables</v>
      </c>
      <c r="D42" s="47">
        <v>43862</v>
      </c>
      <c r="E42" s="48" t="str">
        <f>IF(OR(MONTH(D42)=9, MONTH(D42)=10, MONTH(D42)=11), "Spring",
 IF(OR(MONTH(D42)=12, MONTH(D42)=1, MONTH(D42)=2), "Summer",
 IF(OR(MONTH(D42)=3, MONTH(D42)=4, MONTH(D42)=5), "Autumn",
 IF(OR(MONTH(D42)=6, MONTH(D42)=7, MONTH(D42)=8), "Winter", "Unknown"
))))</f>
        <v>Summer</v>
      </c>
      <c r="F42" s="15">
        <v>261</v>
      </c>
      <c r="G42" s="46">
        <f>J42+S42</f>
        <v>414</v>
      </c>
      <c r="H42" s="71">
        <f>T42-I42</f>
        <v>288.12350657108726</v>
      </c>
      <c r="I42" s="15">
        <v>75</v>
      </c>
      <c r="J42" s="15">
        <v>78</v>
      </c>
      <c r="K42" s="71">
        <f>MONTH(D42)</f>
        <v>2</v>
      </c>
      <c r="L42" s="46">
        <f t="shared" si="0"/>
        <v>0</v>
      </c>
      <c r="M42" s="46">
        <f t="shared" si="1"/>
        <v>0</v>
      </c>
      <c r="N42" s="46">
        <f t="shared" si="2"/>
        <v>1</v>
      </c>
      <c r="O42" s="46">
        <f>IF($E42="Spring", 1, 0)</f>
        <v>0</v>
      </c>
      <c r="P42" s="46">
        <f>IF($E42="Summer", 1, 0)</f>
        <v>1</v>
      </c>
      <c r="Q42" s="46">
        <f>IF($E42="Autumn",1,0)</f>
        <v>0</v>
      </c>
      <c r="R42" s="46">
        <f>IF($E42="Winter", 1, 0)</f>
        <v>0</v>
      </c>
      <c r="S42" s="15">
        <v>336</v>
      </c>
      <c r="T42" s="71">
        <v>363.12350657108726</v>
      </c>
      <c r="U42" s="51">
        <f>F42/((J42+I42)/2)</f>
        <v>3.4117647058823528</v>
      </c>
      <c r="V42" s="15">
        <v>2</v>
      </c>
      <c r="W42" s="15">
        <v>0.91909195304204905</v>
      </c>
      <c r="X42" s="52">
        <v>115.83798136334001</v>
      </c>
      <c r="Y42" s="70">
        <v>261</v>
      </c>
    </row>
    <row r="43" spans="1:35" x14ac:dyDescent="0.15">
      <c r="A43" s="15">
        <v>5</v>
      </c>
      <c r="B43" s="15" t="s">
        <v>14</v>
      </c>
      <c r="C43" s="46" t="str">
        <f>IF(B43="Smartphone", "Electronics", IF(B43="Laptop", "Computing", IF(B43="Tablet", "Mobile", IF(B43="Smartwatch", "Wearables", IF(B43="Headphones", "Audio", "Photography")))))</f>
        <v>Audio</v>
      </c>
      <c r="D43" s="47">
        <v>43862</v>
      </c>
      <c r="E43" s="48" t="str">
        <f>IF(OR(MONTH(D43)=9, MONTH(D43)=10, MONTH(D43)=11), "Spring",
 IF(OR(MONTH(D43)=12, MONTH(D43)=1, MONTH(D43)=2), "Summer",
 IF(OR(MONTH(D43)=3, MONTH(D43)=4, MONTH(D43)=5), "Autumn",
 IF(OR(MONTH(D43)=6, MONTH(D43)=7, MONTH(D43)=8), "Winter", "Unknown"
))))</f>
        <v>Summer</v>
      </c>
      <c r="F43" s="15">
        <v>324</v>
      </c>
      <c r="G43" s="46">
        <f>J43+S43</f>
        <v>393</v>
      </c>
      <c r="H43" s="71">
        <f>T43-I43</f>
        <v>229.49962664277177</v>
      </c>
      <c r="I43" s="15">
        <v>28</v>
      </c>
      <c r="J43" s="15">
        <v>41</v>
      </c>
      <c r="K43" s="71">
        <f>MONTH(D43)</f>
        <v>2</v>
      </c>
      <c r="L43" s="46">
        <f t="shared" si="0"/>
        <v>1</v>
      </c>
      <c r="M43" s="46">
        <f t="shared" si="1"/>
        <v>0</v>
      </c>
      <c r="N43" s="46">
        <f t="shared" si="2"/>
        <v>0</v>
      </c>
      <c r="O43" s="46">
        <f>IF($E43="Spring", 1, 0)</f>
        <v>0</v>
      </c>
      <c r="P43" s="46">
        <f>IF($E43="Summer", 1, 0)</f>
        <v>1</v>
      </c>
      <c r="Q43" s="46">
        <f>IF($E43="Autumn",1,0)</f>
        <v>0</v>
      </c>
      <c r="R43" s="46">
        <f>IF($E43="Winter", 1, 0)</f>
        <v>0</v>
      </c>
      <c r="S43" s="15">
        <v>352</v>
      </c>
      <c r="T43" s="71">
        <v>257.49962664277177</v>
      </c>
      <c r="U43" s="51">
        <f>F43/((J43+I43)/2)</f>
        <v>9.3913043478260878</v>
      </c>
      <c r="V43" s="15">
        <v>11</v>
      </c>
      <c r="W43" s="15">
        <v>0.90815305337147001</v>
      </c>
      <c r="X43" s="52">
        <v>23.413711494751901</v>
      </c>
      <c r="Y43" s="70">
        <v>1324</v>
      </c>
    </row>
    <row r="44" spans="1:35" x14ac:dyDescent="0.15">
      <c r="A44" s="15">
        <v>1</v>
      </c>
      <c r="B44" s="15" t="s">
        <v>10</v>
      </c>
      <c r="C44" s="46" t="str">
        <f>IF(B44="Smartphone", "Electronics", IF(B44="Laptop", "Computing", IF(B44="Tablet", "Mobile", IF(B44="Smartwatch", "Wearables", IF(B44="Headphones", "Audio", "Photography")))))</f>
        <v>Electronics</v>
      </c>
      <c r="D44" s="47">
        <v>43891</v>
      </c>
      <c r="E44" s="48" t="str">
        <f>IF(OR(MONTH(D44)=9, MONTH(D44)=10, MONTH(D44)=11), "Spring",
 IF(OR(MONTH(D44)=12, MONTH(D44)=1, MONTH(D44)=2), "Summer",
 IF(OR(MONTH(D44)=3, MONTH(D44)=4, MONTH(D44)=5), "Autumn",
 IF(OR(MONTH(D44)=6, MONTH(D44)=7, MONTH(D44)=8), "Winter", "Unknown"
))))</f>
        <v>Autumn</v>
      </c>
      <c r="F44" s="15">
        <v>446</v>
      </c>
      <c r="G44" s="46">
        <f>J44+S44</f>
        <v>352</v>
      </c>
      <c r="H44" s="71">
        <f>T44-I44</f>
        <v>314.04485264834722</v>
      </c>
      <c r="I44" s="15">
        <v>44</v>
      </c>
      <c r="J44" s="15">
        <v>95</v>
      </c>
      <c r="K44" s="71">
        <f>MONTH(D44)</f>
        <v>3</v>
      </c>
      <c r="L44" s="46">
        <f t="shared" si="0"/>
        <v>0</v>
      </c>
      <c r="M44" s="46">
        <f t="shared" si="1"/>
        <v>1</v>
      </c>
      <c r="N44" s="46">
        <f t="shared" si="2"/>
        <v>0</v>
      </c>
      <c r="O44" s="46">
        <f>IF($E44="Spring", 1, 0)</f>
        <v>0</v>
      </c>
      <c r="P44" s="46">
        <f>IF($E44="Summer", 1, 0)</f>
        <v>0</v>
      </c>
      <c r="Q44" s="46">
        <f>IF($E44="Autumn",1,0)</f>
        <v>1</v>
      </c>
      <c r="R44" s="46">
        <f>IF($E44="Winter", 1, 0)</f>
        <v>0</v>
      </c>
      <c r="S44" s="15">
        <v>257</v>
      </c>
      <c r="T44" s="71">
        <v>358.04485264834722</v>
      </c>
      <c r="U44" s="51">
        <f>F44/((J44+I44)/2)</f>
        <v>6.4172661870503598</v>
      </c>
      <c r="V44" s="15">
        <v>10</v>
      </c>
      <c r="W44" s="15">
        <v>0.83076766896526899</v>
      </c>
      <c r="X44" s="52">
        <v>45.626086306082797</v>
      </c>
      <c r="Y44" s="70">
        <v>446</v>
      </c>
    </row>
    <row r="45" spans="1:35" x14ac:dyDescent="0.15">
      <c r="A45" s="15">
        <v>4</v>
      </c>
      <c r="B45" s="15" t="s">
        <v>13</v>
      </c>
      <c r="C45" s="46" t="str">
        <f>IF(B45="Smartphone", "Electronics", IF(B45="Laptop", "Computing", IF(B45="Tablet", "Mobile", IF(B45="Smartwatch", "Wearables", IF(B45="Headphones", "Audio", "Photography")))))</f>
        <v>Wearables</v>
      </c>
      <c r="D45" s="47">
        <v>43891</v>
      </c>
      <c r="E45" s="48" t="str">
        <f>IF(OR(MONTH(D45)=9, MONTH(D45)=10, MONTH(D45)=11), "Spring",
 IF(OR(MONTH(D45)=12, MONTH(D45)=1, MONTH(D45)=2), "Summer",
 IF(OR(MONTH(D45)=3, MONTH(D45)=4, MONTH(D45)=5), "Autumn",
 IF(OR(MONTH(D45)=6, MONTH(D45)=7, MONTH(D45)=8), "Winter", "Unknown"
))))</f>
        <v>Autumn</v>
      </c>
      <c r="F45" s="15">
        <v>166</v>
      </c>
      <c r="G45" s="46">
        <f>J45+S45</f>
        <v>267</v>
      </c>
      <c r="H45" s="71">
        <f>T45-I45</f>
        <v>322.12350657108726</v>
      </c>
      <c r="I45" s="15">
        <v>41</v>
      </c>
      <c r="J45" s="15">
        <v>60</v>
      </c>
      <c r="K45" s="71">
        <f>MONTH(D45)</f>
        <v>3</v>
      </c>
      <c r="L45" s="46">
        <f t="shared" si="0"/>
        <v>0</v>
      </c>
      <c r="M45" s="46">
        <f t="shared" si="1"/>
        <v>0</v>
      </c>
      <c r="N45" s="46">
        <f t="shared" si="2"/>
        <v>1</v>
      </c>
      <c r="O45" s="46">
        <f>IF($E45="Spring", 1, 0)</f>
        <v>0</v>
      </c>
      <c r="P45" s="46">
        <f>IF($E45="Summer", 1, 0)</f>
        <v>0</v>
      </c>
      <c r="Q45" s="46">
        <f>IF($E45="Autumn",1,0)</f>
        <v>1</v>
      </c>
      <c r="R45" s="46">
        <f>IF($E45="Winter", 1, 0)</f>
        <v>0</v>
      </c>
      <c r="S45" s="15">
        <v>207</v>
      </c>
      <c r="T45" s="71">
        <v>363.12350657108726</v>
      </c>
      <c r="U45" s="51">
        <f>F45/((J45+I45)/2)</f>
        <v>3.2871287128712869</v>
      </c>
      <c r="V45" s="15">
        <v>7</v>
      </c>
      <c r="W45" s="15">
        <v>0.84601546487488199</v>
      </c>
      <c r="X45" s="52">
        <v>30.783134313186601</v>
      </c>
      <c r="Y45" s="70">
        <v>951</v>
      </c>
    </row>
    <row r="46" spans="1:35" x14ac:dyDescent="0.15">
      <c r="A46" s="15">
        <v>5</v>
      </c>
      <c r="B46" s="15" t="s">
        <v>14</v>
      </c>
      <c r="C46" s="46" t="str">
        <f>IF(B46="Smartphone", "Electronics", IF(B46="Laptop", "Computing", IF(B46="Tablet", "Mobile", IF(B46="Smartwatch", "Wearables", IF(B46="Headphones", "Audio", "Photography")))))</f>
        <v>Audio</v>
      </c>
      <c r="D46" s="47">
        <v>43891</v>
      </c>
      <c r="E46" s="48" t="str">
        <f>IF(OR(MONTH(D46)=9, MONTH(D46)=10, MONTH(D46)=11), "Spring",
 IF(OR(MONTH(D46)=12, MONTH(D46)=1, MONTH(D46)=2), "Summer",
 IF(OR(MONTH(D46)=3, MONTH(D46)=4, MONTH(D46)=5), "Autumn",
 IF(OR(MONTH(D46)=6, MONTH(D46)=7, MONTH(D46)=8), "Winter", "Unknown"
))))</f>
        <v>Autumn</v>
      </c>
      <c r="F46" s="15">
        <v>71</v>
      </c>
      <c r="G46" s="46">
        <f>J46+S46</f>
        <v>207</v>
      </c>
      <c r="H46" s="71">
        <f>T46-I46</f>
        <v>158.49962664277177</v>
      </c>
      <c r="I46" s="15">
        <v>99</v>
      </c>
      <c r="J46" s="15">
        <v>37</v>
      </c>
      <c r="K46" s="71">
        <f>MONTH(D46)</f>
        <v>3</v>
      </c>
      <c r="L46" s="46">
        <f t="shared" si="0"/>
        <v>1</v>
      </c>
      <c r="M46" s="46">
        <f t="shared" si="1"/>
        <v>0</v>
      </c>
      <c r="N46" s="46">
        <f t="shared" si="2"/>
        <v>0</v>
      </c>
      <c r="O46" s="46">
        <f>IF($E46="Spring", 1, 0)</f>
        <v>0</v>
      </c>
      <c r="P46" s="46">
        <f>IF($E46="Summer", 1, 0)</f>
        <v>0</v>
      </c>
      <c r="Q46" s="46">
        <f>IF($E46="Autumn",1,0)</f>
        <v>1</v>
      </c>
      <c r="R46" s="46">
        <f>IF($E46="Winter", 1, 0)</f>
        <v>0</v>
      </c>
      <c r="S46" s="15">
        <v>170</v>
      </c>
      <c r="T46" s="71">
        <v>257.49962664277177</v>
      </c>
      <c r="U46" s="51">
        <f>F46/((J46+I46)/2)</f>
        <v>1.0441176470588236</v>
      </c>
      <c r="V46" s="15">
        <v>27</v>
      </c>
      <c r="W46" s="15">
        <v>0.94427294794501604</v>
      </c>
      <c r="X46" s="52">
        <v>81.901975536303794</v>
      </c>
      <c r="Y46" s="70">
        <v>786</v>
      </c>
    </row>
    <row r="47" spans="1:35" x14ac:dyDescent="0.15">
      <c r="A47" s="15">
        <v>1</v>
      </c>
      <c r="B47" s="15" t="s">
        <v>10</v>
      </c>
      <c r="C47" s="46" t="str">
        <f>IF(B47="Smartphone", "Electronics", IF(B47="Laptop", "Computing", IF(B47="Tablet", "Mobile", IF(B47="Smartwatch", "Wearables", IF(B47="Headphones", "Audio", "Photography")))))</f>
        <v>Electronics</v>
      </c>
      <c r="D47" s="47">
        <v>43922</v>
      </c>
      <c r="E47" s="48" t="str">
        <f>IF(OR(MONTH(D47)=9, MONTH(D47)=10, MONTH(D47)=11), "Spring",
 IF(OR(MONTH(D47)=12, MONTH(D47)=1, MONTH(D47)=2), "Summer",
 IF(OR(MONTH(D47)=3, MONTH(D47)=4, MONTH(D47)=5), "Autumn",
 IF(OR(MONTH(D47)=6, MONTH(D47)=7, MONTH(D47)=8), "Winter", "Unknown"
))))</f>
        <v>Autumn</v>
      </c>
      <c r="F47" s="15">
        <v>264</v>
      </c>
      <c r="G47" s="46">
        <f>J47+S47</f>
        <v>501</v>
      </c>
      <c r="H47" s="71">
        <f>T47-I47</f>
        <v>173.04485264834722</v>
      </c>
      <c r="I47" s="15">
        <v>185</v>
      </c>
      <c r="J47" s="15">
        <v>52</v>
      </c>
      <c r="K47" s="71">
        <f>MONTH(D47)</f>
        <v>4</v>
      </c>
      <c r="L47" s="46">
        <f t="shared" si="0"/>
        <v>0</v>
      </c>
      <c r="M47" s="46">
        <f t="shared" si="1"/>
        <v>1</v>
      </c>
      <c r="N47" s="46">
        <f t="shared" si="2"/>
        <v>0</v>
      </c>
      <c r="O47" s="46">
        <f>IF($E47="Spring", 1, 0)</f>
        <v>0</v>
      </c>
      <c r="P47" s="46">
        <f>IF($E47="Summer", 1, 0)</f>
        <v>0</v>
      </c>
      <c r="Q47" s="46">
        <f>IF($E47="Autumn",1,0)</f>
        <v>1</v>
      </c>
      <c r="R47" s="46">
        <f>IF($E47="Winter", 1, 0)</f>
        <v>0</v>
      </c>
      <c r="S47" s="15">
        <v>449</v>
      </c>
      <c r="T47" s="71">
        <v>358.04485264834722</v>
      </c>
      <c r="U47" s="51">
        <f>F47/((J47+I47)/2)</f>
        <v>2.2278481012658227</v>
      </c>
      <c r="V47" s="15">
        <v>2</v>
      </c>
      <c r="W47" s="15">
        <v>0.90395000418055305</v>
      </c>
      <c r="X47" s="52">
        <v>142.77522615215301</v>
      </c>
      <c r="Y47" s="70">
        <v>264</v>
      </c>
    </row>
    <row r="48" spans="1:35" x14ac:dyDescent="0.15">
      <c r="A48" s="15">
        <v>4</v>
      </c>
      <c r="B48" s="15" t="s">
        <v>13</v>
      </c>
      <c r="C48" s="46" t="str">
        <f>IF(B48="Smartphone", "Electronics", IF(B48="Laptop", "Computing", IF(B48="Tablet", "Mobile", IF(B48="Smartwatch", "Wearables", IF(B48="Headphones", "Audio", "Photography")))))</f>
        <v>Wearables</v>
      </c>
      <c r="D48" s="47">
        <v>43922</v>
      </c>
      <c r="E48" s="48" t="str">
        <f>IF(OR(MONTH(D48)=9, MONTH(D48)=10, MONTH(D48)=11), "Spring",
 IF(OR(MONTH(D48)=12, MONTH(D48)=1, MONTH(D48)=2), "Summer",
 IF(OR(MONTH(D48)=3, MONTH(D48)=4, MONTH(D48)=5), "Autumn",
 IF(OR(MONTH(D48)=6, MONTH(D48)=7, MONTH(D48)=8), "Winter", "Unknown"
))))</f>
        <v>Autumn</v>
      </c>
      <c r="F48" s="15">
        <v>415</v>
      </c>
      <c r="G48" s="46">
        <f>J48+S48</f>
        <v>493</v>
      </c>
      <c r="H48" s="71">
        <f>T48-I48</f>
        <v>329.12350657108726</v>
      </c>
      <c r="I48" s="15">
        <v>34</v>
      </c>
      <c r="J48" s="15">
        <v>44</v>
      </c>
      <c r="K48" s="71">
        <f>MONTH(D48)</f>
        <v>4</v>
      </c>
      <c r="L48" s="46">
        <f t="shared" si="0"/>
        <v>0</v>
      </c>
      <c r="M48" s="46">
        <f t="shared" si="1"/>
        <v>0</v>
      </c>
      <c r="N48" s="46">
        <f t="shared" si="2"/>
        <v>1</v>
      </c>
      <c r="O48" s="46">
        <f>IF($E48="Spring", 1, 0)</f>
        <v>0</v>
      </c>
      <c r="P48" s="46">
        <f>IF($E48="Summer", 1, 0)</f>
        <v>0</v>
      </c>
      <c r="Q48" s="46">
        <f>IF($E48="Autumn",1,0)</f>
        <v>1</v>
      </c>
      <c r="R48" s="46">
        <f>IF($E48="Winter", 1, 0)</f>
        <v>0</v>
      </c>
      <c r="S48" s="15">
        <v>449</v>
      </c>
      <c r="T48" s="71">
        <v>363.12350657108726</v>
      </c>
      <c r="U48" s="51">
        <f>F48/((J48+I48)/2)</f>
        <v>10.641025641025641</v>
      </c>
      <c r="V48" s="15">
        <v>13</v>
      </c>
      <c r="W48" s="15">
        <v>0.96541120389127699</v>
      </c>
      <c r="X48" s="52">
        <v>9.2572260359371104</v>
      </c>
      <c r="Y48" s="70">
        <v>744</v>
      </c>
    </row>
    <row r="49" spans="1:25" x14ac:dyDescent="0.15">
      <c r="A49" s="15">
        <v>5</v>
      </c>
      <c r="B49" s="15" t="s">
        <v>14</v>
      </c>
      <c r="C49" s="46" t="str">
        <f>IF(B49="Smartphone", "Electronics", IF(B49="Laptop", "Computing", IF(B49="Tablet", "Mobile", IF(B49="Smartwatch", "Wearables", IF(B49="Headphones", "Audio", "Photography")))))</f>
        <v>Audio</v>
      </c>
      <c r="D49" s="47">
        <v>43922</v>
      </c>
      <c r="E49" s="48" t="str">
        <f>IF(OR(MONTH(D49)=9, MONTH(D49)=10, MONTH(D49)=11), "Spring",
 IF(OR(MONTH(D49)=12, MONTH(D49)=1, MONTH(D49)=2), "Summer",
 IF(OR(MONTH(D49)=3, MONTH(D49)=4, MONTH(D49)=5), "Autumn",
 IF(OR(MONTH(D49)=6, MONTH(D49)=7, MONTH(D49)=8), "Winter", "Unknown"
))))</f>
        <v>Autumn</v>
      </c>
      <c r="F49" s="15">
        <v>382</v>
      </c>
      <c r="G49" s="46">
        <f>J49+S49</f>
        <v>533</v>
      </c>
      <c r="H49" s="71">
        <f>T49-I49</f>
        <v>194.49962664277177</v>
      </c>
      <c r="I49" s="15">
        <v>63</v>
      </c>
      <c r="J49" s="15">
        <v>88</v>
      </c>
      <c r="K49" s="71">
        <f>MONTH(D49)</f>
        <v>4</v>
      </c>
      <c r="L49" s="46">
        <f t="shared" si="0"/>
        <v>1</v>
      </c>
      <c r="M49" s="46">
        <f t="shared" si="1"/>
        <v>0</v>
      </c>
      <c r="N49" s="46">
        <f t="shared" si="2"/>
        <v>0</v>
      </c>
      <c r="O49" s="46">
        <f>IF($E49="Spring", 1, 0)</f>
        <v>0</v>
      </c>
      <c r="P49" s="46">
        <f>IF($E49="Summer", 1, 0)</f>
        <v>0</v>
      </c>
      <c r="Q49" s="46">
        <f>IF($E49="Autumn",1,0)</f>
        <v>1</v>
      </c>
      <c r="R49" s="46">
        <f>IF($E49="Winter", 1, 0)</f>
        <v>0</v>
      </c>
      <c r="S49" s="15">
        <v>445</v>
      </c>
      <c r="T49" s="71">
        <v>257.49962664277177</v>
      </c>
      <c r="U49" s="51">
        <f>F49/((J49+I49)/2)</f>
        <v>5.0596026490066226</v>
      </c>
      <c r="V49" s="15">
        <v>9</v>
      </c>
      <c r="W49" s="15">
        <v>0.87358605132990097</v>
      </c>
      <c r="X49" s="52">
        <v>51.269356376127497</v>
      </c>
      <c r="Y49" s="70">
        <v>1029</v>
      </c>
    </row>
    <row r="50" spans="1:25" x14ac:dyDescent="0.15">
      <c r="A50" s="15">
        <v>1</v>
      </c>
      <c r="B50" s="15" t="s">
        <v>10</v>
      </c>
      <c r="C50" s="46" t="str">
        <f>IF(B50="Smartphone", "Electronics", IF(B50="Laptop", "Computing", IF(B50="Tablet", "Mobile", IF(B50="Smartwatch", "Wearables", IF(B50="Headphones", "Audio", "Photography")))))</f>
        <v>Electronics</v>
      </c>
      <c r="D50" s="47">
        <v>43952</v>
      </c>
      <c r="E50" s="48" t="str">
        <f>IF(OR(MONTH(D50)=9, MONTH(D50)=10, MONTH(D50)=11), "Spring",
 IF(OR(MONTH(D50)=12, MONTH(D50)=1, MONTH(D50)=2), "Summer",
 IF(OR(MONTH(D50)=3, MONTH(D50)=4, MONTH(D50)=5), "Autumn",
 IF(OR(MONTH(D50)=6, MONTH(D50)=7, MONTH(D50)=8), "Winter", "Unknown"
))))</f>
        <v>Autumn</v>
      </c>
      <c r="F50" s="15">
        <v>0</v>
      </c>
      <c r="G50" s="46">
        <f>J50+S50</f>
        <v>54</v>
      </c>
      <c r="H50" s="71">
        <f>T50-I50</f>
        <v>306.04485264834722</v>
      </c>
      <c r="I50" s="15">
        <v>52</v>
      </c>
      <c r="J50" s="15">
        <v>2</v>
      </c>
      <c r="K50" s="71">
        <f>MONTH(D50)</f>
        <v>5</v>
      </c>
      <c r="L50" s="46">
        <f t="shared" si="0"/>
        <v>0</v>
      </c>
      <c r="M50" s="46">
        <f t="shared" si="1"/>
        <v>1</v>
      </c>
      <c r="N50" s="46">
        <f t="shared" si="2"/>
        <v>0</v>
      </c>
      <c r="O50" s="46">
        <f>IF($E50="Spring", 1, 0)</f>
        <v>0</v>
      </c>
      <c r="P50" s="46">
        <f>IF($E50="Summer", 1, 0)</f>
        <v>0</v>
      </c>
      <c r="Q50" s="46">
        <f>IF($E50="Autumn",1,0)</f>
        <v>1</v>
      </c>
      <c r="R50" s="46">
        <f>IF($E50="Winter", 1, 0)</f>
        <v>0</v>
      </c>
      <c r="S50" s="15">
        <v>52</v>
      </c>
      <c r="T50" s="71">
        <v>358.04485264834722</v>
      </c>
      <c r="U50" s="51">
        <f>F50/((J50+I50)/2)</f>
        <v>0</v>
      </c>
      <c r="V50" s="15">
        <v>4</v>
      </c>
      <c r="W50" s="15">
        <v>0.91058204887543204</v>
      </c>
      <c r="X50" s="52">
        <v>71.755905806463005</v>
      </c>
      <c r="Y50" s="70">
        <v>642</v>
      </c>
    </row>
    <row r="51" spans="1:25" x14ac:dyDescent="0.15">
      <c r="A51" s="15">
        <v>4</v>
      </c>
      <c r="B51" s="15" t="s">
        <v>13</v>
      </c>
      <c r="C51" s="46" t="str">
        <f>IF(B51="Smartphone", "Electronics", IF(B51="Laptop", "Computing", IF(B51="Tablet", "Mobile", IF(B51="Smartwatch", "Wearables", IF(B51="Headphones", "Audio", "Photography")))))</f>
        <v>Wearables</v>
      </c>
      <c r="D51" s="47">
        <v>43952</v>
      </c>
      <c r="E51" s="48" t="str">
        <f>IF(OR(MONTH(D51)=9, MONTH(D51)=10, MONTH(D51)=11), "Spring",
 IF(OR(MONTH(D51)=12, MONTH(D51)=1, MONTH(D51)=2), "Summer",
 IF(OR(MONTH(D51)=3, MONTH(D51)=4, MONTH(D51)=5), "Autumn",
 IF(OR(MONTH(D51)=6, MONTH(D51)=7, MONTH(D51)=8), "Winter", "Unknown"
))))</f>
        <v>Autumn</v>
      </c>
      <c r="F51" s="15">
        <v>200</v>
      </c>
      <c r="G51" s="46">
        <f>J51+S51</f>
        <v>301</v>
      </c>
      <c r="H51" s="71">
        <f>T51-I51</f>
        <v>277.12350657108726</v>
      </c>
      <c r="I51" s="15">
        <v>86</v>
      </c>
      <c r="J51" s="15">
        <v>15</v>
      </c>
      <c r="K51" s="71">
        <f>MONTH(D51)</f>
        <v>5</v>
      </c>
      <c r="L51" s="46">
        <f t="shared" si="0"/>
        <v>0</v>
      </c>
      <c r="M51" s="46">
        <f t="shared" si="1"/>
        <v>0</v>
      </c>
      <c r="N51" s="46">
        <f t="shared" si="2"/>
        <v>1</v>
      </c>
      <c r="O51" s="46">
        <f>IF($E51="Spring", 1, 0)</f>
        <v>0</v>
      </c>
      <c r="P51" s="46">
        <f>IF($E51="Summer", 1, 0)</f>
        <v>0</v>
      </c>
      <c r="Q51" s="46">
        <f>IF($E51="Autumn",1,0)</f>
        <v>1</v>
      </c>
      <c r="R51" s="46">
        <f>IF($E51="Winter", 1, 0)</f>
        <v>0</v>
      </c>
      <c r="S51" s="15">
        <v>286</v>
      </c>
      <c r="T51" s="71">
        <v>363.12350657108726</v>
      </c>
      <c r="U51" s="51">
        <f>F51/((J51+I51)/2)</f>
        <v>3.9603960396039604</v>
      </c>
      <c r="V51" s="15">
        <v>26</v>
      </c>
      <c r="W51" s="15">
        <v>0.88217641813158298</v>
      </c>
      <c r="X51" s="52">
        <v>233.903699161758</v>
      </c>
      <c r="Y51" s="70">
        <v>200</v>
      </c>
    </row>
    <row r="52" spans="1:25" x14ac:dyDescent="0.15">
      <c r="A52" s="15">
        <v>5</v>
      </c>
      <c r="B52" s="15" t="s">
        <v>14</v>
      </c>
      <c r="C52" s="46" t="str">
        <f>IF(B52="Smartphone", "Electronics", IF(B52="Laptop", "Computing", IF(B52="Tablet", "Mobile", IF(B52="Smartwatch", "Wearables", IF(B52="Headphones", "Audio", "Photography")))))</f>
        <v>Audio</v>
      </c>
      <c r="D52" s="47">
        <v>43952</v>
      </c>
      <c r="E52" s="48" t="str">
        <f>IF(OR(MONTH(D52)=9, MONTH(D52)=10, MONTH(D52)=11), "Spring",
 IF(OR(MONTH(D52)=12, MONTH(D52)=1, MONTH(D52)=2), "Summer",
 IF(OR(MONTH(D52)=3, MONTH(D52)=4, MONTH(D52)=5), "Autumn",
 IF(OR(MONTH(D52)=6, MONTH(D52)=7, MONTH(D52)=8), "Winter", "Unknown"
))))</f>
        <v>Autumn</v>
      </c>
      <c r="F52" s="15">
        <v>237</v>
      </c>
      <c r="G52" s="46">
        <f>J52+S52</f>
        <v>414</v>
      </c>
      <c r="H52" s="71">
        <f>T52-I52</f>
        <v>166.49962664277177</v>
      </c>
      <c r="I52" s="15">
        <v>91</v>
      </c>
      <c r="J52" s="15">
        <v>86</v>
      </c>
      <c r="K52" s="71">
        <f>MONTH(D52)</f>
        <v>5</v>
      </c>
      <c r="L52" s="46">
        <f t="shared" si="0"/>
        <v>1</v>
      </c>
      <c r="M52" s="46">
        <f t="shared" si="1"/>
        <v>0</v>
      </c>
      <c r="N52" s="46">
        <f t="shared" si="2"/>
        <v>0</v>
      </c>
      <c r="O52" s="46">
        <f>IF($E52="Spring", 1, 0)</f>
        <v>0</v>
      </c>
      <c r="P52" s="46">
        <f>IF($E52="Summer", 1, 0)</f>
        <v>0</v>
      </c>
      <c r="Q52" s="46">
        <f>IF($E52="Autumn",1,0)</f>
        <v>1</v>
      </c>
      <c r="R52" s="46">
        <f>IF($E52="Winter", 1, 0)</f>
        <v>0</v>
      </c>
      <c r="S52" s="15">
        <v>328</v>
      </c>
      <c r="T52" s="71">
        <v>257.49962664277177</v>
      </c>
      <c r="U52" s="51">
        <f>F52/((J52+I52)/2)</f>
        <v>2.6779661016949152</v>
      </c>
      <c r="V52" s="15">
        <v>26</v>
      </c>
      <c r="W52" s="15">
        <v>0.86931015615785601</v>
      </c>
      <c r="X52" s="52">
        <v>167.07415842139099</v>
      </c>
      <c r="Y52" s="70">
        <v>533</v>
      </c>
    </row>
    <row r="53" spans="1:25" x14ac:dyDescent="0.15">
      <c r="A53" s="15">
        <v>1</v>
      </c>
      <c r="B53" s="15" t="s">
        <v>10</v>
      </c>
      <c r="C53" s="46" t="str">
        <f>IF(B53="Smartphone", "Electronics", IF(B53="Laptop", "Computing", IF(B53="Tablet", "Mobile", IF(B53="Smartwatch", "Wearables", IF(B53="Headphones", "Audio", "Photography")))))</f>
        <v>Electronics</v>
      </c>
      <c r="D53" s="47">
        <v>43983</v>
      </c>
      <c r="E53" s="48" t="str">
        <f>IF(OR(MONTH(D53)=9, MONTH(D53)=10, MONTH(D53)=11), "Spring",
 IF(OR(MONTH(D53)=12, MONTH(D53)=1, MONTH(D53)=2), "Summer",
 IF(OR(MONTH(D53)=3, MONTH(D53)=4, MONTH(D53)=5), "Autumn",
 IF(OR(MONTH(D53)=6, MONTH(D53)=7, MONTH(D53)=8), "Winter", "Unknown"
))))</f>
        <v>Winter</v>
      </c>
      <c r="F53" s="15">
        <v>76</v>
      </c>
      <c r="G53" s="46">
        <f>J53+S53</f>
        <v>166</v>
      </c>
      <c r="H53" s="71">
        <f>T53-I53</f>
        <v>270.04485264834722</v>
      </c>
      <c r="I53" s="15">
        <v>88</v>
      </c>
      <c r="J53" s="15">
        <v>2</v>
      </c>
      <c r="K53" s="71">
        <f>MONTH(D53)</f>
        <v>6</v>
      </c>
      <c r="L53" s="46">
        <f t="shared" si="0"/>
        <v>0</v>
      </c>
      <c r="M53" s="46">
        <f t="shared" si="1"/>
        <v>1</v>
      </c>
      <c r="N53" s="46">
        <f t="shared" si="2"/>
        <v>0</v>
      </c>
      <c r="O53" s="46">
        <f>IF($E53="Spring", 1, 0)</f>
        <v>0</v>
      </c>
      <c r="P53" s="46">
        <f>IF($E53="Summer", 1, 0)</f>
        <v>0</v>
      </c>
      <c r="Q53" s="46">
        <f>IF($E53="Autumn",1,0)</f>
        <v>0</v>
      </c>
      <c r="R53" s="46">
        <f>IF($E53="Winter", 1, 0)</f>
        <v>1</v>
      </c>
      <c r="S53" s="15">
        <v>164</v>
      </c>
      <c r="T53" s="71">
        <v>358.04485264834722</v>
      </c>
      <c r="U53" s="51">
        <f>F53/((J53+I53)/2)</f>
        <v>1.6888888888888889</v>
      </c>
      <c r="V53" s="15">
        <v>12</v>
      </c>
      <c r="W53" s="15">
        <v>0.923336273379605</v>
      </c>
      <c r="X53" s="52">
        <v>59.493305043019099</v>
      </c>
      <c r="Y53" s="70">
        <v>694</v>
      </c>
    </row>
    <row r="54" spans="1:25" x14ac:dyDescent="0.15">
      <c r="A54" s="15">
        <v>4</v>
      </c>
      <c r="B54" s="15" t="s">
        <v>13</v>
      </c>
      <c r="C54" s="46" t="str">
        <f>IF(B54="Smartphone", "Electronics", IF(B54="Laptop", "Computing", IF(B54="Tablet", "Mobile", IF(B54="Smartwatch", "Wearables", IF(B54="Headphones", "Audio", "Photography")))))</f>
        <v>Wearables</v>
      </c>
      <c r="D54" s="47">
        <v>43983</v>
      </c>
      <c r="E54" s="48" t="str">
        <f>IF(OR(MONTH(D54)=9, MONTH(D54)=10, MONTH(D54)=11), "Spring",
 IF(OR(MONTH(D54)=12, MONTH(D54)=1, MONTH(D54)=2), "Summer",
 IF(OR(MONTH(D54)=3, MONTH(D54)=4, MONTH(D54)=5), "Autumn",
 IF(OR(MONTH(D54)=6, MONTH(D54)=7, MONTH(D54)=8), "Winter", "Unknown"
))))</f>
        <v>Winter</v>
      </c>
      <c r="F54" s="15">
        <v>28</v>
      </c>
      <c r="G54" s="46">
        <f>J54+S54</f>
        <v>78</v>
      </c>
      <c r="H54" s="71">
        <f>T54-I54</f>
        <v>337.12350657108726</v>
      </c>
      <c r="I54" s="15">
        <v>26</v>
      </c>
      <c r="J54" s="15">
        <v>24</v>
      </c>
      <c r="K54" s="71">
        <f>MONTH(D54)</f>
        <v>6</v>
      </c>
      <c r="L54" s="46">
        <f t="shared" si="0"/>
        <v>0</v>
      </c>
      <c r="M54" s="46">
        <f t="shared" si="1"/>
        <v>0</v>
      </c>
      <c r="N54" s="46">
        <f t="shared" si="2"/>
        <v>1</v>
      </c>
      <c r="O54" s="46">
        <f>IF($E54="Spring", 1, 0)</f>
        <v>0</v>
      </c>
      <c r="P54" s="46">
        <f>IF($E54="Summer", 1, 0)</f>
        <v>0</v>
      </c>
      <c r="Q54" s="46">
        <f>IF($E54="Autumn",1,0)</f>
        <v>0</v>
      </c>
      <c r="R54" s="46">
        <f>IF($E54="Winter", 1, 0)</f>
        <v>1</v>
      </c>
      <c r="S54" s="15">
        <v>54</v>
      </c>
      <c r="T54" s="71">
        <v>363.12350657108726</v>
      </c>
      <c r="U54" s="51">
        <f>F54/((J54+I54)/2)</f>
        <v>1.1200000000000001</v>
      </c>
      <c r="V54" s="15">
        <v>14</v>
      </c>
      <c r="W54" s="15">
        <v>0.93355185063399004</v>
      </c>
      <c r="X54" s="52">
        <v>107.670401316786</v>
      </c>
      <c r="Y54" s="70">
        <v>291</v>
      </c>
    </row>
    <row r="55" spans="1:25" x14ac:dyDescent="0.15">
      <c r="A55" s="15">
        <v>5</v>
      </c>
      <c r="B55" s="15" t="s">
        <v>14</v>
      </c>
      <c r="C55" s="46" t="str">
        <f>IF(B55="Smartphone", "Electronics", IF(B55="Laptop", "Computing", IF(B55="Tablet", "Mobile", IF(B55="Smartwatch", "Wearables", IF(B55="Headphones", "Audio", "Photography")))))</f>
        <v>Audio</v>
      </c>
      <c r="D55" s="47">
        <v>43983</v>
      </c>
      <c r="E55" s="48" t="str">
        <f>IF(OR(MONTH(D55)=9, MONTH(D55)=10, MONTH(D55)=11), "Spring",
 IF(OR(MONTH(D55)=12, MONTH(D55)=1, MONTH(D55)=2), "Summer",
 IF(OR(MONTH(D55)=3, MONTH(D55)=4, MONTH(D55)=5), "Autumn",
 IF(OR(MONTH(D55)=6, MONTH(D55)=7, MONTH(D55)=8), "Winter", "Unknown"
))))</f>
        <v>Winter</v>
      </c>
      <c r="F55" s="15">
        <v>347</v>
      </c>
      <c r="G55" s="46">
        <f>J55+S55</f>
        <v>432</v>
      </c>
      <c r="H55" s="71">
        <f>T55-I55</f>
        <v>195.49962664277177</v>
      </c>
      <c r="I55" s="15">
        <v>62</v>
      </c>
      <c r="J55" s="15">
        <v>23</v>
      </c>
      <c r="K55" s="71">
        <f>MONTH(D55)</f>
        <v>6</v>
      </c>
      <c r="L55" s="46">
        <f t="shared" si="0"/>
        <v>1</v>
      </c>
      <c r="M55" s="46">
        <f t="shared" si="1"/>
        <v>0</v>
      </c>
      <c r="N55" s="46">
        <f t="shared" si="2"/>
        <v>0</v>
      </c>
      <c r="O55" s="46">
        <f>IF($E55="Spring", 1, 0)</f>
        <v>0</v>
      </c>
      <c r="P55" s="46">
        <f>IF($E55="Summer", 1, 0)</f>
        <v>0</v>
      </c>
      <c r="Q55" s="46">
        <f>IF($E55="Autumn",1,0)</f>
        <v>0</v>
      </c>
      <c r="R55" s="46">
        <f>IF($E55="Winter", 1, 0)</f>
        <v>1</v>
      </c>
      <c r="S55" s="15">
        <v>409</v>
      </c>
      <c r="T55" s="71">
        <v>257.49962664277177</v>
      </c>
      <c r="U55" s="51">
        <f>F55/((J55+I55)/2)</f>
        <v>8.1647058823529406</v>
      </c>
      <c r="V55" s="15">
        <v>25</v>
      </c>
      <c r="W55" s="15">
        <v>0.88887290820428</v>
      </c>
      <c r="X55" s="52">
        <v>66.993160202438503</v>
      </c>
      <c r="Y55" s="70">
        <v>1216</v>
      </c>
    </row>
    <row r="56" spans="1:25" x14ac:dyDescent="0.15">
      <c r="A56" s="15">
        <v>1</v>
      </c>
      <c r="B56" s="15" t="s">
        <v>10</v>
      </c>
      <c r="C56" s="46" t="str">
        <f>IF(B56="Smartphone", "Electronics", IF(B56="Laptop", "Computing", IF(B56="Tablet", "Mobile", IF(B56="Smartwatch", "Wearables", IF(B56="Headphones", "Audio", "Photography")))))</f>
        <v>Electronics</v>
      </c>
      <c r="D56" s="47">
        <v>44013</v>
      </c>
      <c r="E56" s="48" t="str">
        <f>IF(OR(MONTH(D56)=9, MONTH(D56)=10, MONTH(D56)=11), "Spring",
 IF(OR(MONTH(D56)=12, MONTH(D56)=1, MONTH(D56)=2), "Summer",
 IF(OR(MONTH(D56)=3, MONTH(D56)=4, MONTH(D56)=5), "Autumn",
 IF(OR(MONTH(D56)=6, MONTH(D56)=7, MONTH(D56)=8), "Winter", "Unknown"
))))</f>
        <v>Winter</v>
      </c>
      <c r="F56" s="15">
        <v>435</v>
      </c>
      <c r="G56" s="46">
        <f>J56+S56</f>
        <v>271</v>
      </c>
      <c r="H56" s="71">
        <f>T56-I56</f>
        <v>336.04485264834722</v>
      </c>
      <c r="I56" s="15">
        <v>22</v>
      </c>
      <c r="J56" s="15">
        <v>3</v>
      </c>
      <c r="K56" s="71">
        <f>MONTH(D56)</f>
        <v>7</v>
      </c>
      <c r="L56" s="46">
        <f t="shared" si="0"/>
        <v>0</v>
      </c>
      <c r="M56" s="46">
        <f t="shared" si="1"/>
        <v>1</v>
      </c>
      <c r="N56" s="46">
        <f t="shared" si="2"/>
        <v>0</v>
      </c>
      <c r="O56" s="46">
        <f>IF($E56="Spring", 1, 0)</f>
        <v>0</v>
      </c>
      <c r="P56" s="46">
        <f>IF($E56="Summer", 1, 0)</f>
        <v>0</v>
      </c>
      <c r="Q56" s="46">
        <f>IF($E56="Autumn",1,0)</f>
        <v>0</v>
      </c>
      <c r="R56" s="46">
        <f>IF($E56="Winter", 1, 0)</f>
        <v>1</v>
      </c>
      <c r="S56" s="15">
        <v>268</v>
      </c>
      <c r="T56" s="71">
        <v>358.04485264834722</v>
      </c>
      <c r="U56" s="51">
        <f>F56/((J56+I56)/2)</f>
        <v>34.799999999999997</v>
      </c>
      <c r="V56" s="15">
        <v>21</v>
      </c>
      <c r="W56" s="15">
        <v>0.85200860015431701</v>
      </c>
      <c r="X56" s="52">
        <v>67.090763794273002</v>
      </c>
      <c r="Y56" s="70">
        <v>814</v>
      </c>
    </row>
    <row r="57" spans="1:25" x14ac:dyDescent="0.15">
      <c r="A57" s="15">
        <v>4</v>
      </c>
      <c r="B57" s="15" t="s">
        <v>13</v>
      </c>
      <c r="C57" s="46" t="str">
        <f>IF(B57="Smartphone", "Electronics", IF(B57="Laptop", "Computing", IF(B57="Tablet", "Mobile", IF(B57="Smartwatch", "Wearables", IF(B57="Headphones", "Audio", "Photography")))))</f>
        <v>Wearables</v>
      </c>
      <c r="D57" s="47">
        <v>44013</v>
      </c>
      <c r="E57" s="48" t="str">
        <f>IF(OR(MONTH(D57)=9, MONTH(D57)=10, MONTH(D57)=11), "Spring",
 IF(OR(MONTH(D57)=12, MONTH(D57)=1, MONTH(D57)=2), "Summer",
 IF(OR(MONTH(D57)=3, MONTH(D57)=4, MONTH(D57)=5), "Autumn",
 IF(OR(MONTH(D57)=6, MONTH(D57)=7, MONTH(D57)=8), "Winter", "Unknown"
))))</f>
        <v>Winter</v>
      </c>
      <c r="F57" s="15">
        <v>253</v>
      </c>
      <c r="G57" s="46">
        <f>J57+S57</f>
        <v>415</v>
      </c>
      <c r="H57" s="71">
        <f>T57-I57</f>
        <v>281.12350657108726</v>
      </c>
      <c r="I57" s="15">
        <v>82</v>
      </c>
      <c r="J57" s="15">
        <v>80</v>
      </c>
      <c r="K57" s="71">
        <f>MONTH(D57)</f>
        <v>7</v>
      </c>
      <c r="L57" s="46">
        <f t="shared" si="0"/>
        <v>0</v>
      </c>
      <c r="M57" s="46">
        <f t="shared" si="1"/>
        <v>0</v>
      </c>
      <c r="N57" s="46">
        <f t="shared" si="2"/>
        <v>1</v>
      </c>
      <c r="O57" s="46">
        <f>IF($E57="Spring", 1, 0)</f>
        <v>0</v>
      </c>
      <c r="P57" s="46">
        <f>IF($E57="Summer", 1, 0)</f>
        <v>0</v>
      </c>
      <c r="Q57" s="46">
        <f>IF($E57="Autumn",1,0)</f>
        <v>0</v>
      </c>
      <c r="R57" s="46">
        <f>IF($E57="Winter", 1, 0)</f>
        <v>1</v>
      </c>
      <c r="S57" s="15">
        <v>335</v>
      </c>
      <c r="T57" s="71">
        <v>363.12350657108726</v>
      </c>
      <c r="U57" s="51">
        <f>F57/((J57+I57)/2)</f>
        <v>3.1234567901234569</v>
      </c>
      <c r="V57" s="15">
        <v>11</v>
      </c>
      <c r="W57" s="15">
        <v>0.80720811145248295</v>
      </c>
      <c r="X57" s="52">
        <v>51.8566078897422</v>
      </c>
      <c r="Y57" s="70">
        <v>741</v>
      </c>
    </row>
    <row r="58" spans="1:25" x14ac:dyDescent="0.15">
      <c r="A58" s="15">
        <v>5</v>
      </c>
      <c r="B58" s="15" t="s">
        <v>14</v>
      </c>
      <c r="C58" s="46" t="str">
        <f>IF(B58="Smartphone", "Electronics", IF(B58="Laptop", "Computing", IF(B58="Tablet", "Mobile", IF(B58="Smartwatch", "Wearables", IF(B58="Headphones", "Audio", "Photography")))))</f>
        <v>Audio</v>
      </c>
      <c r="D58" s="47">
        <v>44013</v>
      </c>
      <c r="E58" s="48" t="str">
        <f>IF(OR(MONTH(D58)=9, MONTH(D58)=10, MONTH(D58)=11), "Spring",
 IF(OR(MONTH(D58)=12, MONTH(D58)=1, MONTH(D58)=2), "Summer",
 IF(OR(MONTH(D58)=3, MONTH(D58)=4, MONTH(D58)=5), "Autumn",
 IF(OR(MONTH(D58)=6, MONTH(D58)=7, MONTH(D58)=8), "Winter", "Unknown"
))))</f>
        <v>Winter</v>
      </c>
      <c r="F58" s="15">
        <v>165</v>
      </c>
      <c r="G58" s="46">
        <f>J58+S58</f>
        <v>232</v>
      </c>
      <c r="H58" s="71">
        <f>T58-I58</f>
        <v>224.49962664277177</v>
      </c>
      <c r="I58" s="15">
        <v>33</v>
      </c>
      <c r="J58" s="15">
        <v>34</v>
      </c>
      <c r="K58" s="71">
        <f>MONTH(D58)</f>
        <v>7</v>
      </c>
      <c r="L58" s="46">
        <f t="shared" si="0"/>
        <v>1</v>
      </c>
      <c r="M58" s="46">
        <f t="shared" si="1"/>
        <v>0</v>
      </c>
      <c r="N58" s="46">
        <f t="shared" si="2"/>
        <v>0</v>
      </c>
      <c r="O58" s="46">
        <f>IF($E58="Spring", 1, 0)</f>
        <v>0</v>
      </c>
      <c r="P58" s="46">
        <f>IF($E58="Summer", 1, 0)</f>
        <v>0</v>
      </c>
      <c r="Q58" s="46">
        <f>IF($E58="Autumn",1,0)</f>
        <v>0</v>
      </c>
      <c r="R58" s="46">
        <f>IF($E58="Winter", 1, 0)</f>
        <v>1</v>
      </c>
      <c r="S58" s="15">
        <v>198</v>
      </c>
      <c r="T58" s="71">
        <v>257.49962664277177</v>
      </c>
      <c r="U58" s="51">
        <f>F58/((J58+I58)/2)</f>
        <v>4.9253731343283578</v>
      </c>
      <c r="V58" s="15">
        <v>16</v>
      </c>
      <c r="W58" s="15">
        <v>0.95483767133999697</v>
      </c>
      <c r="X58" s="52">
        <v>50.6032694128439</v>
      </c>
      <c r="Y58" s="70">
        <v>1950</v>
      </c>
    </row>
    <row r="59" spans="1:25" x14ac:dyDescent="0.15">
      <c r="A59" s="15">
        <v>1</v>
      </c>
      <c r="B59" s="15" t="s">
        <v>10</v>
      </c>
      <c r="C59" s="46" t="str">
        <f>IF(B59="Smartphone", "Electronics", IF(B59="Laptop", "Computing", IF(B59="Tablet", "Mobile", IF(B59="Smartwatch", "Wearables", IF(B59="Headphones", "Audio", "Photography")))))</f>
        <v>Electronics</v>
      </c>
      <c r="D59" s="47">
        <v>44044</v>
      </c>
      <c r="E59" s="48" t="str">
        <f>IF(OR(MONTH(D59)=9, MONTH(D59)=10, MONTH(D59)=11), "Spring",
 IF(OR(MONTH(D59)=12, MONTH(D59)=1, MONTH(D59)=2), "Summer",
 IF(OR(MONTH(D59)=3, MONTH(D59)=4, MONTH(D59)=5), "Autumn",
 IF(OR(MONTH(D59)=6, MONTH(D59)=7, MONTH(D59)=8), "Winter", "Unknown"
))))</f>
        <v>Winter</v>
      </c>
      <c r="F59" s="15">
        <v>525</v>
      </c>
      <c r="G59" s="46">
        <f>J59+S59</f>
        <v>471</v>
      </c>
      <c r="H59" s="71">
        <f>T59-I59</f>
        <v>265.04485264834722</v>
      </c>
      <c r="I59" s="15">
        <v>93</v>
      </c>
      <c r="J59" s="15">
        <v>16</v>
      </c>
      <c r="K59" s="71">
        <f>MONTH(D59)</f>
        <v>8</v>
      </c>
      <c r="L59" s="46">
        <f t="shared" si="0"/>
        <v>0</v>
      </c>
      <c r="M59" s="46">
        <f t="shared" si="1"/>
        <v>1</v>
      </c>
      <c r="N59" s="46">
        <f t="shared" si="2"/>
        <v>0</v>
      </c>
      <c r="O59" s="46">
        <f>IF($E59="Spring", 1, 0)</f>
        <v>0</v>
      </c>
      <c r="P59" s="46">
        <f>IF($E59="Summer", 1, 0)</f>
        <v>0</v>
      </c>
      <c r="Q59" s="46">
        <f>IF($E59="Autumn",1,0)</f>
        <v>0</v>
      </c>
      <c r="R59" s="46">
        <f>IF($E59="Winter", 1, 0)</f>
        <v>1</v>
      </c>
      <c r="S59" s="15">
        <v>455</v>
      </c>
      <c r="T59" s="71">
        <v>358.04485264834722</v>
      </c>
      <c r="U59" s="51">
        <f>F59/((J59+I59)/2)</f>
        <v>9.6330275229357802</v>
      </c>
      <c r="V59" s="15">
        <v>23</v>
      </c>
      <c r="W59" s="15">
        <v>0.86420415746207302</v>
      </c>
      <c r="X59" s="52">
        <v>36.015415387457402</v>
      </c>
      <c r="Y59" s="70">
        <v>729</v>
      </c>
    </row>
    <row r="60" spans="1:25" x14ac:dyDescent="0.15">
      <c r="A60" s="15">
        <v>4</v>
      </c>
      <c r="B60" s="15" t="s">
        <v>13</v>
      </c>
      <c r="C60" s="46" t="str">
        <f>IF(B60="Smartphone", "Electronics", IF(B60="Laptop", "Computing", IF(B60="Tablet", "Mobile", IF(B60="Smartwatch", "Wearables", IF(B60="Headphones", "Audio", "Photography")))))</f>
        <v>Wearables</v>
      </c>
      <c r="D60" s="47">
        <v>44044</v>
      </c>
      <c r="E60" s="48" t="str">
        <f>IF(OR(MONTH(D60)=9, MONTH(D60)=10, MONTH(D60)=11), "Spring",
 IF(OR(MONTH(D60)=12, MONTH(D60)=1, MONTH(D60)=2), "Summer",
 IF(OR(MONTH(D60)=3, MONTH(D60)=4, MONTH(D60)=5), "Autumn",
 IF(OR(MONTH(D60)=6, MONTH(D60)=7, MONTH(D60)=8), "Winter", "Unknown"
))))</f>
        <v>Winter</v>
      </c>
      <c r="F60" s="15">
        <v>196</v>
      </c>
      <c r="G60" s="46">
        <f>J60+S60</f>
        <v>272</v>
      </c>
      <c r="H60" s="71">
        <f>T60-I60</f>
        <v>349.12350657108726</v>
      </c>
      <c r="I60" s="15">
        <v>14</v>
      </c>
      <c r="J60" s="15">
        <v>62</v>
      </c>
      <c r="K60" s="71">
        <f>MONTH(D60)</f>
        <v>8</v>
      </c>
      <c r="L60" s="46">
        <f t="shared" si="0"/>
        <v>0</v>
      </c>
      <c r="M60" s="46">
        <f t="shared" si="1"/>
        <v>0</v>
      </c>
      <c r="N60" s="46">
        <f t="shared" si="2"/>
        <v>1</v>
      </c>
      <c r="O60" s="46">
        <f>IF($E60="Spring", 1, 0)</f>
        <v>0</v>
      </c>
      <c r="P60" s="46">
        <f>IF($E60="Summer", 1, 0)</f>
        <v>0</v>
      </c>
      <c r="Q60" s="46">
        <f>IF($E60="Autumn",1,0)</f>
        <v>0</v>
      </c>
      <c r="R60" s="46">
        <f>IF($E60="Winter", 1, 0)</f>
        <v>1</v>
      </c>
      <c r="S60" s="15">
        <v>210</v>
      </c>
      <c r="T60" s="71">
        <v>363.12350657108726</v>
      </c>
      <c r="U60" s="51">
        <f>F60/((J60+I60)/2)</f>
        <v>5.1578947368421053</v>
      </c>
      <c r="V60" s="15">
        <v>19</v>
      </c>
      <c r="W60" s="15">
        <v>0.93141534627355804</v>
      </c>
      <c r="X60" s="52">
        <v>41.263031310170497</v>
      </c>
      <c r="Y60" s="70">
        <v>697</v>
      </c>
    </row>
    <row r="61" spans="1:25" x14ac:dyDescent="0.15">
      <c r="A61" s="15">
        <v>5</v>
      </c>
      <c r="B61" s="15" t="s">
        <v>14</v>
      </c>
      <c r="C61" s="46" t="str">
        <f>IF(B61="Smartphone", "Electronics", IF(B61="Laptop", "Computing", IF(B61="Tablet", "Mobile", IF(B61="Smartwatch", "Wearables", IF(B61="Headphones", "Audio", "Photography")))))</f>
        <v>Audio</v>
      </c>
      <c r="D61" s="47">
        <v>44044</v>
      </c>
      <c r="E61" s="48" t="str">
        <f>IF(OR(MONTH(D61)=9, MONTH(D61)=10, MONTH(D61)=11), "Spring",
 IF(OR(MONTH(D61)=12, MONTH(D61)=1, MONTH(D61)=2), "Summer",
 IF(OR(MONTH(D61)=3, MONTH(D61)=4, MONTH(D61)=5), "Autumn",
 IF(OR(MONTH(D61)=6, MONTH(D61)=7, MONTH(D61)=8), "Winter", "Unknown"
))))</f>
        <v>Winter</v>
      </c>
      <c r="F61" s="15">
        <v>313</v>
      </c>
      <c r="G61" s="46">
        <f>J61+S61</f>
        <v>402</v>
      </c>
      <c r="H61" s="71">
        <f>T61-I61</f>
        <v>249.49962664277177</v>
      </c>
      <c r="I61" s="15">
        <v>8</v>
      </c>
      <c r="J61" s="15">
        <v>81</v>
      </c>
      <c r="K61" s="71">
        <f>MONTH(D61)</f>
        <v>8</v>
      </c>
      <c r="L61" s="46">
        <f t="shared" si="0"/>
        <v>1</v>
      </c>
      <c r="M61" s="46">
        <f t="shared" si="1"/>
        <v>0</v>
      </c>
      <c r="N61" s="46">
        <f t="shared" si="2"/>
        <v>0</v>
      </c>
      <c r="O61" s="46">
        <f>IF($E61="Spring", 1, 0)</f>
        <v>0</v>
      </c>
      <c r="P61" s="46">
        <f>IF($E61="Summer", 1, 0)</f>
        <v>0</v>
      </c>
      <c r="Q61" s="46">
        <f>IF($E61="Autumn",1,0)</f>
        <v>0</v>
      </c>
      <c r="R61" s="46">
        <f>IF($E61="Winter", 1, 0)</f>
        <v>1</v>
      </c>
      <c r="S61" s="15">
        <v>321</v>
      </c>
      <c r="T61" s="71">
        <v>257.49962664277177</v>
      </c>
      <c r="U61" s="51">
        <f>F61/((J61+I61)/2)</f>
        <v>7.0337078651685392</v>
      </c>
      <c r="V61" s="15">
        <v>5</v>
      </c>
      <c r="W61" s="15">
        <v>0.84169955554623799</v>
      </c>
      <c r="X61" s="52">
        <v>99.048631314318598</v>
      </c>
      <c r="Y61" s="70">
        <v>1211</v>
      </c>
    </row>
    <row r="62" spans="1:25" x14ac:dyDescent="0.15">
      <c r="A62" s="15">
        <v>1</v>
      </c>
      <c r="B62" s="15" t="s">
        <v>10</v>
      </c>
      <c r="C62" s="46" t="str">
        <f>IF(B62="Smartphone", "Electronics", IF(B62="Laptop", "Computing", IF(B62="Tablet", "Mobile", IF(B62="Smartwatch", "Wearables", IF(B62="Headphones", "Audio", "Photography")))))</f>
        <v>Electronics</v>
      </c>
      <c r="D62" s="47">
        <v>44075</v>
      </c>
      <c r="E62" s="48" t="str">
        <f>IF(OR(MONTH(D62)=9, MONTH(D62)=10, MONTH(D62)=11), "Spring",
 IF(OR(MONTH(D62)=12, MONTH(D62)=1, MONTH(D62)=2), "Summer",
 IF(OR(MONTH(D62)=3, MONTH(D62)=4, MONTH(D62)=5), "Autumn",
 IF(OR(MONTH(D62)=6, MONTH(D62)=7, MONTH(D62)=8), "Winter", "Unknown"
))))</f>
        <v>Spring</v>
      </c>
      <c r="F62" s="15">
        <v>404</v>
      </c>
      <c r="G62" s="46">
        <f>J62+S62</f>
        <v>431</v>
      </c>
      <c r="H62" s="71">
        <f>T62-I62</f>
        <v>269.04485264834722</v>
      </c>
      <c r="I62" s="15">
        <v>89</v>
      </c>
      <c r="J62" s="15">
        <v>156</v>
      </c>
      <c r="K62" s="71">
        <f>MONTH(D62)</f>
        <v>9</v>
      </c>
      <c r="L62" s="46">
        <f t="shared" si="0"/>
        <v>0</v>
      </c>
      <c r="M62" s="46">
        <f t="shared" si="1"/>
        <v>1</v>
      </c>
      <c r="N62" s="46">
        <f t="shared" si="2"/>
        <v>0</v>
      </c>
      <c r="O62" s="46">
        <f>IF($E62="Spring", 1, 0)</f>
        <v>1</v>
      </c>
      <c r="P62" s="46">
        <f>IF($E62="Summer", 1, 0)</f>
        <v>0</v>
      </c>
      <c r="Q62" s="46">
        <f>IF($E62="Autumn",1,0)</f>
        <v>0</v>
      </c>
      <c r="R62" s="46">
        <f>IF($E62="Winter", 1, 0)</f>
        <v>0</v>
      </c>
      <c r="S62" s="15">
        <v>275</v>
      </c>
      <c r="T62" s="71">
        <v>358.04485264834722</v>
      </c>
      <c r="U62" s="51">
        <f>F62/((J62+I62)/2)</f>
        <v>3.2979591836734694</v>
      </c>
      <c r="V62" s="15">
        <v>4</v>
      </c>
      <c r="W62" s="15">
        <v>0.94906570639993904</v>
      </c>
      <c r="X62" s="52">
        <v>46.117616131499197</v>
      </c>
      <c r="Y62" s="70">
        <v>686</v>
      </c>
    </row>
    <row r="63" spans="1:25" x14ac:dyDescent="0.15">
      <c r="A63" s="15">
        <v>4</v>
      </c>
      <c r="B63" s="15" t="s">
        <v>13</v>
      </c>
      <c r="C63" s="46" t="str">
        <f>IF(B63="Smartphone", "Electronics", IF(B63="Laptop", "Computing", IF(B63="Tablet", "Mobile", IF(B63="Smartwatch", "Wearables", IF(B63="Headphones", "Audio", "Photography")))))</f>
        <v>Wearables</v>
      </c>
      <c r="D63" s="47">
        <v>44075</v>
      </c>
      <c r="E63" s="48" t="str">
        <f>IF(OR(MONTH(D63)=9, MONTH(D63)=10, MONTH(D63)=11), "Spring",
 IF(OR(MONTH(D63)=12, MONTH(D63)=1, MONTH(D63)=2), "Summer",
 IF(OR(MONTH(D63)=3, MONTH(D63)=4, MONTH(D63)=5), "Autumn",
 IF(OR(MONTH(D63)=6, MONTH(D63)=7, MONTH(D63)=8), "Winter", "Unknown"
))))</f>
        <v>Spring</v>
      </c>
      <c r="F63" s="15">
        <v>199</v>
      </c>
      <c r="G63" s="46">
        <f>J63+S63</f>
        <v>288</v>
      </c>
      <c r="H63" s="71">
        <f>T63-I63</f>
        <v>362.12350657108726</v>
      </c>
      <c r="I63" s="15">
        <v>1</v>
      </c>
      <c r="J63" s="15">
        <v>88</v>
      </c>
      <c r="K63" s="71">
        <f>MONTH(D63)</f>
        <v>9</v>
      </c>
      <c r="L63" s="46">
        <f t="shared" si="0"/>
        <v>0</v>
      </c>
      <c r="M63" s="46">
        <f t="shared" si="1"/>
        <v>0</v>
      </c>
      <c r="N63" s="46">
        <f t="shared" si="2"/>
        <v>1</v>
      </c>
      <c r="O63" s="46">
        <f>IF($E63="Spring", 1, 0)</f>
        <v>1</v>
      </c>
      <c r="P63" s="46">
        <f>IF($E63="Summer", 1, 0)</f>
        <v>0</v>
      </c>
      <c r="Q63" s="46">
        <f>IF($E63="Autumn",1,0)</f>
        <v>0</v>
      </c>
      <c r="R63" s="46">
        <f>IF($E63="Winter", 1, 0)</f>
        <v>0</v>
      </c>
      <c r="S63" s="15">
        <v>200</v>
      </c>
      <c r="T63" s="71">
        <v>363.12350657108726</v>
      </c>
      <c r="U63" s="51">
        <f>F63/((J63+I63)/2)</f>
        <v>4.4719101123595504</v>
      </c>
      <c r="V63" s="15">
        <v>4</v>
      </c>
      <c r="W63" s="15">
        <v>0.88304773483951304</v>
      </c>
      <c r="X63" s="52">
        <v>45.156800021512403</v>
      </c>
      <c r="Y63" s="70">
        <v>526</v>
      </c>
    </row>
    <row r="64" spans="1:25" x14ac:dyDescent="0.15">
      <c r="A64" s="15">
        <v>5</v>
      </c>
      <c r="B64" s="15" t="s">
        <v>14</v>
      </c>
      <c r="C64" s="46" t="str">
        <f>IF(B64="Smartphone", "Electronics", IF(B64="Laptop", "Computing", IF(B64="Tablet", "Mobile", IF(B64="Smartwatch", "Wearables", IF(B64="Headphones", "Audio", "Photography")))))</f>
        <v>Audio</v>
      </c>
      <c r="D64" s="47">
        <v>44075</v>
      </c>
      <c r="E64" s="48" t="str">
        <f>IF(OR(MONTH(D64)=9, MONTH(D64)=10, MONTH(D64)=11), "Spring",
 IF(OR(MONTH(D64)=12, MONTH(D64)=1, MONTH(D64)=2), "Summer",
 IF(OR(MONTH(D64)=3, MONTH(D64)=4, MONTH(D64)=5), "Autumn",
 IF(OR(MONTH(D64)=6, MONTH(D64)=7, MONTH(D64)=8), "Winter", "Unknown"
))))</f>
        <v>Spring</v>
      </c>
      <c r="F64" s="15">
        <v>73</v>
      </c>
      <c r="G64" s="46">
        <f>J64+S64</f>
        <v>168</v>
      </c>
      <c r="H64" s="71">
        <f>T64-I64</f>
        <v>167.49962664277177</v>
      </c>
      <c r="I64" s="15">
        <v>90</v>
      </c>
      <c r="J64" s="15">
        <v>5</v>
      </c>
      <c r="K64" s="71">
        <f>MONTH(D64)</f>
        <v>9</v>
      </c>
      <c r="L64" s="46">
        <f t="shared" si="0"/>
        <v>1</v>
      </c>
      <c r="M64" s="46">
        <f t="shared" si="1"/>
        <v>0</v>
      </c>
      <c r="N64" s="46">
        <f t="shared" si="2"/>
        <v>0</v>
      </c>
      <c r="O64" s="46">
        <f>IF($E64="Spring", 1, 0)</f>
        <v>1</v>
      </c>
      <c r="P64" s="46">
        <f>IF($E64="Summer", 1, 0)</f>
        <v>0</v>
      </c>
      <c r="Q64" s="46">
        <f>IF($E64="Autumn",1,0)</f>
        <v>0</v>
      </c>
      <c r="R64" s="46">
        <f>IF($E64="Winter", 1, 0)</f>
        <v>0</v>
      </c>
      <c r="S64" s="15">
        <v>163</v>
      </c>
      <c r="T64" s="71">
        <v>257.49962664277177</v>
      </c>
      <c r="U64" s="51">
        <f>F64/((J64+I64)/2)</f>
        <v>1.5368421052631578</v>
      </c>
      <c r="V64" s="15">
        <v>20</v>
      </c>
      <c r="W64" s="15">
        <v>0.82036994578281897</v>
      </c>
      <c r="X64" s="52">
        <v>53.157847709232797</v>
      </c>
      <c r="Y64" s="70">
        <v>1471</v>
      </c>
    </row>
    <row r="65" spans="1:25" x14ac:dyDescent="0.15">
      <c r="A65" s="15">
        <v>1</v>
      </c>
      <c r="B65" s="15" t="s">
        <v>10</v>
      </c>
      <c r="C65" s="46" t="str">
        <f>IF(B65="Smartphone", "Electronics", IF(B65="Laptop", "Computing", IF(B65="Tablet", "Mobile", IF(B65="Smartwatch", "Wearables", IF(B65="Headphones", "Audio", "Photography")))))</f>
        <v>Electronics</v>
      </c>
      <c r="D65" s="47">
        <v>44105</v>
      </c>
      <c r="E65" s="48" t="str">
        <f>IF(OR(MONTH(D65)=9, MONTH(D65)=10, MONTH(D65)=11), "Spring",
 IF(OR(MONTH(D65)=12, MONTH(D65)=1, MONTH(D65)=2), "Summer",
 IF(OR(MONTH(D65)=3, MONTH(D65)=4, MONTH(D65)=5), "Autumn",
 IF(OR(MONTH(D65)=6, MONTH(D65)=7, MONTH(D65)=8), "Winter", "Unknown"
))))</f>
        <v>Spring</v>
      </c>
      <c r="F65" s="15">
        <v>57</v>
      </c>
      <c r="G65" s="46">
        <f>J65+S65</f>
        <v>191</v>
      </c>
      <c r="H65" s="71">
        <f>T65-I65</f>
        <v>300.04485264834722</v>
      </c>
      <c r="I65" s="15">
        <v>58</v>
      </c>
      <c r="J65" s="15">
        <v>76</v>
      </c>
      <c r="K65" s="71">
        <f>MONTH(D65)</f>
        <v>10</v>
      </c>
      <c r="L65" s="46">
        <f t="shared" si="0"/>
        <v>0</v>
      </c>
      <c r="M65" s="46">
        <f t="shared" si="1"/>
        <v>1</v>
      </c>
      <c r="N65" s="46">
        <f t="shared" si="2"/>
        <v>0</v>
      </c>
      <c r="O65" s="46">
        <f>IF($E65="Spring", 1, 0)</f>
        <v>1</v>
      </c>
      <c r="P65" s="46">
        <f>IF($E65="Summer", 1, 0)</f>
        <v>0</v>
      </c>
      <c r="Q65" s="46">
        <f>IF($E65="Autumn",1,0)</f>
        <v>0</v>
      </c>
      <c r="R65" s="46">
        <f>IF($E65="Winter", 1, 0)</f>
        <v>0</v>
      </c>
      <c r="S65" s="15">
        <v>115</v>
      </c>
      <c r="T65" s="71">
        <v>358.04485264834722</v>
      </c>
      <c r="U65" s="51">
        <f>F65/((J65+I65)/2)</f>
        <v>0.85074626865671643</v>
      </c>
      <c r="V65" s="15">
        <v>24</v>
      </c>
      <c r="W65" s="15">
        <v>0.87653632976226104</v>
      </c>
      <c r="X65" s="52">
        <v>83.6425321996565</v>
      </c>
      <c r="Y65" s="70">
        <v>413</v>
      </c>
    </row>
    <row r="66" spans="1:25" x14ac:dyDescent="0.15">
      <c r="A66" s="15">
        <v>4</v>
      </c>
      <c r="B66" s="15" t="s">
        <v>13</v>
      </c>
      <c r="C66" s="46" t="str">
        <f>IF(B66="Smartphone", "Electronics", IF(B66="Laptop", "Computing", IF(B66="Tablet", "Mobile", IF(B66="Smartwatch", "Wearables", IF(B66="Headphones", "Audio", "Photography")))))</f>
        <v>Wearables</v>
      </c>
      <c r="D66" s="47">
        <v>44105</v>
      </c>
      <c r="E66" s="48" t="str">
        <f>IF(OR(MONTH(D66)=9, MONTH(D66)=10, MONTH(D66)=11), "Spring",
 IF(OR(MONTH(D66)=12, MONTH(D66)=1, MONTH(D66)=2), "Summer",
 IF(OR(MONTH(D66)=3, MONTH(D66)=4, MONTH(D66)=5), "Autumn",
 IF(OR(MONTH(D66)=6, MONTH(D66)=7, MONTH(D66)=8), "Winter", "Unknown"
))))</f>
        <v>Spring</v>
      </c>
      <c r="F66" s="15">
        <v>298</v>
      </c>
      <c r="G66" s="46">
        <f>J66+S66</f>
        <v>378</v>
      </c>
      <c r="H66" s="71">
        <f>T66-I66</f>
        <v>354.12350657108726</v>
      </c>
      <c r="I66" s="15">
        <v>9</v>
      </c>
      <c r="J66" s="15">
        <v>71</v>
      </c>
      <c r="K66" s="71">
        <f>MONTH(D66)</f>
        <v>10</v>
      </c>
      <c r="L66" s="46">
        <f t="shared" si="0"/>
        <v>0</v>
      </c>
      <c r="M66" s="46">
        <f t="shared" si="1"/>
        <v>0</v>
      </c>
      <c r="N66" s="46">
        <f t="shared" si="2"/>
        <v>1</v>
      </c>
      <c r="O66" s="46">
        <f>IF($E66="Spring", 1, 0)</f>
        <v>1</v>
      </c>
      <c r="P66" s="46">
        <f>IF($E66="Summer", 1, 0)</f>
        <v>0</v>
      </c>
      <c r="Q66" s="46">
        <f>IF($E66="Autumn",1,0)</f>
        <v>0</v>
      </c>
      <c r="R66" s="46">
        <f>IF($E66="Winter", 1, 0)</f>
        <v>0</v>
      </c>
      <c r="S66" s="15">
        <v>307</v>
      </c>
      <c r="T66" s="71">
        <v>363.12350657108726</v>
      </c>
      <c r="U66" s="51">
        <f>F66/((J66+I66)/2)</f>
        <v>7.45</v>
      </c>
      <c r="V66" s="15">
        <v>26</v>
      </c>
      <c r="W66" s="15">
        <v>0.88290561319143501</v>
      </c>
      <c r="X66" s="52">
        <v>121.309993057863</v>
      </c>
      <c r="Y66" s="70">
        <v>529</v>
      </c>
    </row>
    <row r="67" spans="1:25" x14ac:dyDescent="0.15">
      <c r="A67" s="15">
        <v>5</v>
      </c>
      <c r="B67" s="15" t="s">
        <v>14</v>
      </c>
      <c r="C67" s="46" t="str">
        <f>IF(B67="Smartphone", "Electronics", IF(B67="Laptop", "Computing", IF(B67="Tablet", "Mobile", IF(B67="Smartwatch", "Wearables", IF(B67="Headphones", "Audio", "Photography")))))</f>
        <v>Audio</v>
      </c>
      <c r="D67" s="47">
        <v>44105</v>
      </c>
      <c r="E67" s="48" t="str">
        <f>IF(OR(MONTH(D67)=9, MONTH(D67)=10, MONTH(D67)=11), "Spring",
 IF(OR(MONTH(D67)=12, MONTH(D67)=1, MONTH(D67)=2), "Summer",
 IF(OR(MONTH(D67)=3, MONTH(D67)=4, MONTH(D67)=5), "Autumn",
 IF(OR(MONTH(D67)=6, MONTH(D67)=7, MONTH(D67)=8), "Winter", "Unknown"
))))</f>
        <v>Spring</v>
      </c>
      <c r="F67" s="15">
        <v>295</v>
      </c>
      <c r="G67" s="46">
        <f>J67+S67</f>
        <v>346</v>
      </c>
      <c r="H67" s="71">
        <f>T67-I67</f>
        <v>254.49962664277177</v>
      </c>
      <c r="I67" s="15">
        <v>3</v>
      </c>
      <c r="J67" s="15">
        <v>78</v>
      </c>
      <c r="K67" s="71">
        <f>MONTH(D67)</f>
        <v>10</v>
      </c>
      <c r="L67" s="46">
        <f t="shared" ref="L67:L109" si="3">IF(B67="Headphones",1,0)</f>
        <v>1</v>
      </c>
      <c r="M67" s="46">
        <f t="shared" ref="M67:M109" si="4">IF(B67="Smartphone",1,0)</f>
        <v>0</v>
      </c>
      <c r="N67" s="46">
        <f t="shared" ref="N67:N109" si="5">IF(B67="Smartwatch",1,0)</f>
        <v>0</v>
      </c>
      <c r="O67" s="46">
        <f>IF($E67="Spring", 1, 0)</f>
        <v>1</v>
      </c>
      <c r="P67" s="46">
        <f>IF($E67="Summer", 1, 0)</f>
        <v>0</v>
      </c>
      <c r="Q67" s="46">
        <f>IF($E67="Autumn",1,0)</f>
        <v>0</v>
      </c>
      <c r="R67" s="46">
        <f>IF($E67="Winter", 1, 0)</f>
        <v>0</v>
      </c>
      <c r="S67" s="15">
        <v>268</v>
      </c>
      <c r="T67" s="71">
        <v>257.49962664277177</v>
      </c>
      <c r="U67" s="51">
        <f>F67/((J67+I67)/2)</f>
        <v>7.283950617283951</v>
      </c>
      <c r="V67" s="15">
        <v>5</v>
      </c>
      <c r="W67" s="15">
        <v>0.90860606861677196</v>
      </c>
      <c r="X67" s="52">
        <v>57.736836990382699</v>
      </c>
      <c r="Y67" s="70">
        <v>1515</v>
      </c>
    </row>
    <row r="68" spans="1:25" x14ac:dyDescent="0.15">
      <c r="A68" s="15">
        <v>1</v>
      </c>
      <c r="B68" s="15" t="s">
        <v>10</v>
      </c>
      <c r="C68" s="46" t="str">
        <f>IF(B68="Smartphone", "Electronics", IF(B68="Laptop", "Computing", IF(B68="Tablet", "Mobile", IF(B68="Smartwatch", "Wearables", IF(B68="Headphones", "Audio", "Photography")))))</f>
        <v>Electronics</v>
      </c>
      <c r="D68" s="47">
        <v>44136</v>
      </c>
      <c r="E68" s="48" t="str">
        <f>IF(OR(MONTH(D68)=9, MONTH(D68)=10, MONTH(D68)=11), "Spring",
 IF(OR(MONTH(D68)=12, MONTH(D68)=1, MONTH(D68)=2), "Summer",
 IF(OR(MONTH(D68)=3, MONTH(D68)=4, MONTH(D68)=5), "Autumn",
 IF(OR(MONTH(D68)=6, MONTH(D68)=7, MONTH(D68)=8), "Winter", "Unknown"
))))</f>
        <v>Spring</v>
      </c>
      <c r="F68" s="15">
        <v>359</v>
      </c>
      <c r="G68" s="46">
        <f>J68+S68</f>
        <v>440</v>
      </c>
      <c r="H68" s="71">
        <f>T68-I68</f>
        <v>337.04485264834722</v>
      </c>
      <c r="I68" s="15">
        <v>21</v>
      </c>
      <c r="J68" s="15">
        <v>60</v>
      </c>
      <c r="K68" s="71">
        <f>MONTH(D68)</f>
        <v>11</v>
      </c>
      <c r="L68" s="46">
        <f t="shared" si="3"/>
        <v>0</v>
      </c>
      <c r="M68" s="46">
        <f t="shared" si="4"/>
        <v>1</v>
      </c>
      <c r="N68" s="46">
        <f t="shared" si="5"/>
        <v>0</v>
      </c>
      <c r="O68" s="46">
        <f>IF($E68="Spring", 1, 0)</f>
        <v>1</v>
      </c>
      <c r="P68" s="46">
        <f>IF($E68="Summer", 1, 0)</f>
        <v>0</v>
      </c>
      <c r="Q68" s="46">
        <f>IF($E68="Autumn",1,0)</f>
        <v>0</v>
      </c>
      <c r="R68" s="46">
        <f>IF($E68="Winter", 1, 0)</f>
        <v>0</v>
      </c>
      <c r="S68" s="15">
        <v>380</v>
      </c>
      <c r="T68" s="71">
        <v>358.04485264834722</v>
      </c>
      <c r="U68" s="51">
        <f>F68/((J68+I68)/2)</f>
        <v>8.8641975308641978</v>
      </c>
      <c r="V68" s="15">
        <v>21</v>
      </c>
      <c r="W68" s="15">
        <v>0.87967688893853102</v>
      </c>
      <c r="X68" s="52">
        <v>10.1358394126928</v>
      </c>
      <c r="Y68" s="70">
        <v>790</v>
      </c>
    </row>
    <row r="69" spans="1:25" x14ac:dyDescent="0.15">
      <c r="A69" s="15">
        <v>4</v>
      </c>
      <c r="B69" s="15" t="s">
        <v>13</v>
      </c>
      <c r="C69" s="46" t="str">
        <f>IF(B69="Smartphone", "Electronics", IF(B69="Laptop", "Computing", IF(B69="Tablet", "Mobile", IF(B69="Smartwatch", "Wearables", IF(B69="Headphones", "Audio", "Photography")))))</f>
        <v>Wearables</v>
      </c>
      <c r="D69" s="47">
        <v>44136</v>
      </c>
      <c r="E69" s="48" t="str">
        <f>IF(OR(MONTH(D69)=9, MONTH(D69)=10, MONTH(D69)=11), "Spring",
 IF(OR(MONTH(D69)=12, MONTH(D69)=1, MONTH(D69)=2), "Summer",
 IF(OR(MONTH(D69)=3, MONTH(D69)=4, MONTH(D69)=5), "Autumn",
 IF(OR(MONTH(D69)=6, MONTH(D69)=7, MONTH(D69)=8), "Winter", "Unknown"
))))</f>
        <v>Spring</v>
      </c>
      <c r="F69" s="15">
        <v>193</v>
      </c>
      <c r="G69" s="46">
        <f>J69+S69</f>
        <v>304</v>
      </c>
      <c r="H69" s="71">
        <f>T69-I69</f>
        <v>317.12350657108726</v>
      </c>
      <c r="I69" s="15">
        <v>46</v>
      </c>
      <c r="J69" s="15">
        <v>65</v>
      </c>
      <c r="K69" s="71">
        <f>MONTH(D69)</f>
        <v>11</v>
      </c>
      <c r="L69" s="46">
        <f t="shared" si="3"/>
        <v>0</v>
      </c>
      <c r="M69" s="46">
        <f t="shared" si="4"/>
        <v>0</v>
      </c>
      <c r="N69" s="46">
        <f t="shared" si="5"/>
        <v>1</v>
      </c>
      <c r="O69" s="46">
        <f>IF($E69="Spring", 1, 0)</f>
        <v>1</v>
      </c>
      <c r="P69" s="46">
        <f>IF($E69="Summer", 1, 0)</f>
        <v>0</v>
      </c>
      <c r="Q69" s="46">
        <f>IF($E69="Autumn",1,0)</f>
        <v>0</v>
      </c>
      <c r="R69" s="46">
        <f>IF($E69="Winter", 1, 0)</f>
        <v>0</v>
      </c>
      <c r="S69" s="15">
        <v>239</v>
      </c>
      <c r="T69" s="71">
        <v>363.12350657108726</v>
      </c>
      <c r="U69" s="51">
        <f>F69/((J69+I69)/2)</f>
        <v>3.4774774774774775</v>
      </c>
      <c r="V69" s="15">
        <v>7</v>
      </c>
      <c r="W69" s="15">
        <v>0.929179423498663</v>
      </c>
      <c r="X69" s="52">
        <v>167.02903323545701</v>
      </c>
      <c r="Y69" s="70">
        <v>193</v>
      </c>
    </row>
    <row r="70" spans="1:25" x14ac:dyDescent="0.15">
      <c r="A70" s="15">
        <v>5</v>
      </c>
      <c r="B70" s="15" t="s">
        <v>14</v>
      </c>
      <c r="C70" s="46" t="str">
        <f>IF(B70="Smartphone", "Electronics", IF(B70="Laptop", "Computing", IF(B70="Tablet", "Mobile", IF(B70="Smartwatch", "Wearables", IF(B70="Headphones", "Audio", "Photography")))))</f>
        <v>Audio</v>
      </c>
      <c r="D70" s="47">
        <v>44136</v>
      </c>
      <c r="E70" s="48" t="str">
        <f>IF(OR(MONTH(D70)=9, MONTH(D70)=10, MONTH(D70)=11), "Spring",
 IF(OR(MONTH(D70)=12, MONTH(D70)=1, MONTH(D70)=2), "Summer",
 IF(OR(MONTH(D70)=3, MONTH(D70)=4, MONTH(D70)=5), "Autumn",
 IF(OR(MONTH(D70)=6, MONTH(D70)=7, MONTH(D70)=8), "Winter", "Unknown"
))))</f>
        <v>Spring</v>
      </c>
      <c r="F70" s="15">
        <v>357</v>
      </c>
      <c r="G70" s="46">
        <f>J70+S70</f>
        <v>521</v>
      </c>
      <c r="H70" s="71">
        <f>T70-I70</f>
        <v>158.49962664277177</v>
      </c>
      <c r="I70" s="15">
        <v>99</v>
      </c>
      <c r="J70" s="15">
        <v>65</v>
      </c>
      <c r="K70" s="71">
        <f>MONTH(D70)</f>
        <v>11</v>
      </c>
      <c r="L70" s="46">
        <f t="shared" si="3"/>
        <v>1</v>
      </c>
      <c r="M70" s="46">
        <f t="shared" si="4"/>
        <v>0</v>
      </c>
      <c r="N70" s="46">
        <f t="shared" si="5"/>
        <v>0</v>
      </c>
      <c r="O70" s="46">
        <f>IF($E70="Spring", 1, 0)</f>
        <v>1</v>
      </c>
      <c r="P70" s="46">
        <f>IF($E70="Summer", 1, 0)</f>
        <v>0</v>
      </c>
      <c r="Q70" s="46">
        <f>IF($E70="Autumn",1,0)</f>
        <v>0</v>
      </c>
      <c r="R70" s="46">
        <f>IF($E70="Winter", 1, 0)</f>
        <v>0</v>
      </c>
      <c r="S70" s="15">
        <v>456</v>
      </c>
      <c r="T70" s="71">
        <v>257.49962664277177</v>
      </c>
      <c r="U70" s="51">
        <f>F70/((J70+I70)/2)</f>
        <v>4.3536585365853657</v>
      </c>
      <c r="V70" s="15">
        <v>21</v>
      </c>
      <c r="W70" s="15">
        <v>0.93389718924763299</v>
      </c>
      <c r="X70" s="52">
        <v>54.5520939956142</v>
      </c>
      <c r="Y70" s="70">
        <v>1683</v>
      </c>
    </row>
    <row r="71" spans="1:25" x14ac:dyDescent="0.15">
      <c r="A71" s="15">
        <v>1</v>
      </c>
      <c r="B71" s="15" t="s">
        <v>10</v>
      </c>
      <c r="C71" s="46" t="str">
        <f>IF(B71="Smartphone", "Electronics", IF(B71="Laptop", "Computing", IF(B71="Tablet", "Mobile", IF(B71="Smartwatch", "Wearables", IF(B71="Headphones", "Audio", "Photography")))))</f>
        <v>Electronics</v>
      </c>
      <c r="D71" s="47">
        <v>44166</v>
      </c>
      <c r="E71" s="48" t="str">
        <f>IF(OR(MONTH(D71)=9, MONTH(D71)=10, MONTH(D71)=11), "Spring",
 IF(OR(MONTH(D71)=12, MONTH(D71)=1, MONTH(D71)=2), "Summer",
 IF(OR(MONTH(D71)=3, MONTH(D71)=4, MONTH(D71)=5), "Autumn",
 IF(OR(MONTH(D71)=6, MONTH(D71)=7, MONTH(D71)=8), "Winter", "Unknown"
))))</f>
        <v>Summer</v>
      </c>
      <c r="F71" s="15">
        <v>184</v>
      </c>
      <c r="G71" s="46">
        <f>J71+S71</f>
        <v>317</v>
      </c>
      <c r="H71" s="71">
        <f>T71-I71</f>
        <v>297.04485264834722</v>
      </c>
      <c r="I71" s="15">
        <v>61</v>
      </c>
      <c r="J71" s="15">
        <v>72</v>
      </c>
      <c r="K71" s="71">
        <f>MONTH(D71)</f>
        <v>12</v>
      </c>
      <c r="L71" s="46">
        <f t="shared" si="3"/>
        <v>0</v>
      </c>
      <c r="M71" s="46">
        <f t="shared" si="4"/>
        <v>1</v>
      </c>
      <c r="N71" s="46">
        <f t="shared" si="5"/>
        <v>0</v>
      </c>
      <c r="O71" s="46">
        <f>IF($E71="Spring", 1, 0)</f>
        <v>0</v>
      </c>
      <c r="P71" s="46">
        <f>IF($E71="Summer", 1, 0)</f>
        <v>1</v>
      </c>
      <c r="Q71" s="46">
        <f>IF($E71="Autumn",1,0)</f>
        <v>0</v>
      </c>
      <c r="R71" s="46">
        <f>IF($E71="Winter", 1, 0)</f>
        <v>0</v>
      </c>
      <c r="S71" s="15">
        <v>245</v>
      </c>
      <c r="T71" s="71">
        <v>358.04485264834722</v>
      </c>
      <c r="U71" s="51">
        <f>F71/((J71+I71)/2)</f>
        <v>2.7669172932330826</v>
      </c>
      <c r="V71" s="15">
        <v>6</v>
      </c>
      <c r="W71" s="15">
        <v>0.96503686529440003</v>
      </c>
      <c r="X71" s="52">
        <v>78.022831992084207</v>
      </c>
      <c r="Y71" s="70">
        <v>396</v>
      </c>
    </row>
    <row r="72" spans="1:25" x14ac:dyDescent="0.15">
      <c r="A72" s="15">
        <v>4</v>
      </c>
      <c r="B72" s="15" t="s">
        <v>13</v>
      </c>
      <c r="C72" s="46" t="str">
        <f>IF(B72="Smartphone", "Electronics", IF(B72="Laptop", "Computing", IF(B72="Tablet", "Mobile", IF(B72="Smartwatch", "Wearables", IF(B72="Headphones", "Audio", "Photography")))))</f>
        <v>Wearables</v>
      </c>
      <c r="D72" s="47">
        <v>44166</v>
      </c>
      <c r="E72" s="48" t="str">
        <f>IF(OR(MONTH(D72)=9, MONTH(D72)=10, MONTH(D72)=11), "Spring",
 IF(OR(MONTH(D72)=12, MONTH(D72)=1, MONTH(D72)=2), "Summer",
 IF(OR(MONTH(D72)=3, MONTH(D72)=4, MONTH(D72)=5), "Autumn",
 IF(OR(MONTH(D72)=6, MONTH(D72)=7, MONTH(D72)=8), "Winter", "Unknown"
))))</f>
        <v>Summer</v>
      </c>
      <c r="F72" s="15">
        <v>453</v>
      </c>
      <c r="G72" s="46">
        <f>J72+S72</f>
        <v>516</v>
      </c>
      <c r="H72" s="71">
        <f>T72-I72</f>
        <v>348.12350657108726</v>
      </c>
      <c r="I72" s="15">
        <v>15</v>
      </c>
      <c r="J72" s="15">
        <v>48</v>
      </c>
      <c r="K72" s="71">
        <f>MONTH(D72)</f>
        <v>12</v>
      </c>
      <c r="L72" s="46">
        <f t="shared" si="3"/>
        <v>0</v>
      </c>
      <c r="M72" s="46">
        <f t="shared" si="4"/>
        <v>0</v>
      </c>
      <c r="N72" s="46">
        <f t="shared" si="5"/>
        <v>1</v>
      </c>
      <c r="O72" s="46">
        <f>IF($E72="Spring", 1, 0)</f>
        <v>0</v>
      </c>
      <c r="P72" s="46">
        <f>IF($E72="Summer", 1, 0)</f>
        <v>1</v>
      </c>
      <c r="Q72" s="46">
        <f>IF($E72="Autumn",1,0)</f>
        <v>0</v>
      </c>
      <c r="R72" s="46">
        <f>IF($E72="Winter", 1, 0)</f>
        <v>0</v>
      </c>
      <c r="S72" s="15">
        <v>468</v>
      </c>
      <c r="T72" s="71">
        <v>363.12350657108726</v>
      </c>
      <c r="U72" s="51">
        <f>F72/((J72+I72)/2)</f>
        <v>14.380952380952381</v>
      </c>
      <c r="V72" s="15">
        <v>28</v>
      </c>
      <c r="W72" s="15">
        <v>0.94090935680529497</v>
      </c>
      <c r="X72" s="52">
        <v>109.474317110116</v>
      </c>
      <c r="Y72" s="70">
        <v>482</v>
      </c>
    </row>
    <row r="73" spans="1:25" x14ac:dyDescent="0.15">
      <c r="A73" s="15">
        <v>5</v>
      </c>
      <c r="B73" s="15" t="s">
        <v>14</v>
      </c>
      <c r="C73" s="46" t="str">
        <f>IF(B73="Smartphone", "Electronics", IF(B73="Laptop", "Computing", IF(B73="Tablet", "Mobile", IF(B73="Smartwatch", "Wearables", IF(B73="Headphones", "Audio", "Photography")))))</f>
        <v>Audio</v>
      </c>
      <c r="D73" s="47">
        <v>44166</v>
      </c>
      <c r="E73" s="48" t="str">
        <f>IF(OR(MONTH(D73)=9, MONTH(D73)=10, MONTH(D73)=11), "Spring",
 IF(OR(MONTH(D73)=12, MONTH(D73)=1, MONTH(D73)=2), "Summer",
 IF(OR(MONTH(D73)=3, MONTH(D73)=4, MONTH(D73)=5), "Autumn",
 IF(OR(MONTH(D73)=6, MONTH(D73)=7, MONTH(D73)=8), "Winter", "Unknown"
))))</f>
        <v>Summer</v>
      </c>
      <c r="F73" s="15">
        <v>422</v>
      </c>
      <c r="G73" s="46">
        <f>J73+S73</f>
        <v>490</v>
      </c>
      <c r="H73" s="71">
        <f>T73-I73</f>
        <v>224.49962664277177</v>
      </c>
      <c r="I73" s="15">
        <v>33</v>
      </c>
      <c r="J73" s="15">
        <v>35</v>
      </c>
      <c r="K73" s="71">
        <f>MONTH(D73)</f>
        <v>12</v>
      </c>
      <c r="L73" s="46">
        <f t="shared" si="3"/>
        <v>1</v>
      </c>
      <c r="M73" s="46">
        <f t="shared" si="4"/>
        <v>0</v>
      </c>
      <c r="N73" s="46">
        <f t="shared" si="5"/>
        <v>0</v>
      </c>
      <c r="O73" s="46">
        <f>IF($E73="Spring", 1, 0)</f>
        <v>0</v>
      </c>
      <c r="P73" s="46">
        <f>IF($E73="Summer", 1, 0)</f>
        <v>1</v>
      </c>
      <c r="Q73" s="46">
        <f>IF($E73="Autumn",1,0)</f>
        <v>0</v>
      </c>
      <c r="R73" s="46">
        <f>IF($E73="Winter", 1, 0)</f>
        <v>0</v>
      </c>
      <c r="S73" s="15">
        <v>455</v>
      </c>
      <c r="T73" s="71">
        <v>257.49962664277177</v>
      </c>
      <c r="U73" s="51">
        <f>F73/((J73+I73)/2)</f>
        <v>12.411764705882353</v>
      </c>
      <c r="V73" s="15">
        <v>25</v>
      </c>
      <c r="W73" s="15">
        <v>0.8</v>
      </c>
      <c r="X73" s="52">
        <v>55.858679142285503</v>
      </c>
      <c r="Y73" s="70">
        <v>1707</v>
      </c>
    </row>
    <row r="74" spans="1:25" x14ac:dyDescent="0.15">
      <c r="A74" s="15">
        <v>1</v>
      </c>
      <c r="B74" s="15" t="s">
        <v>10</v>
      </c>
      <c r="C74" s="46" t="str">
        <f>IF(B74="Smartphone", "Electronics", IF(B74="Laptop", "Computing", IF(B74="Tablet", "Mobile", IF(B74="Smartwatch", "Wearables", IF(B74="Headphones", "Audio", "Photography")))))</f>
        <v>Electronics</v>
      </c>
      <c r="D74" s="47">
        <v>44197</v>
      </c>
      <c r="E74" s="48" t="str">
        <f>IF(OR(MONTH(D74)=9, MONTH(D74)=10, MONTH(D74)=11), "Spring",
 IF(OR(MONTH(D74)=12, MONTH(D74)=1, MONTH(D74)=2), "Summer",
 IF(OR(MONTH(D74)=3, MONTH(D74)=4, MONTH(D74)=5), "Autumn",
 IF(OR(MONTH(D74)=6, MONTH(D74)=7, MONTH(D74)=8), "Winter", "Unknown"
))))</f>
        <v>Summer</v>
      </c>
      <c r="F74" s="15">
        <v>168</v>
      </c>
      <c r="G74" s="46">
        <f>J74+S74</f>
        <v>280</v>
      </c>
      <c r="H74" s="71">
        <f>T74-I74</f>
        <v>334.04485264834722</v>
      </c>
      <c r="I74" s="15">
        <v>24</v>
      </c>
      <c r="J74" s="15">
        <v>88</v>
      </c>
      <c r="K74" s="71">
        <f>MONTH(D74)</f>
        <v>1</v>
      </c>
      <c r="L74" s="46">
        <f t="shared" si="3"/>
        <v>0</v>
      </c>
      <c r="M74" s="46">
        <f t="shared" si="4"/>
        <v>1</v>
      </c>
      <c r="N74" s="46">
        <f t="shared" si="5"/>
        <v>0</v>
      </c>
      <c r="O74" s="46">
        <f>IF($E74="Spring", 1, 0)</f>
        <v>0</v>
      </c>
      <c r="P74" s="46">
        <f>IF($E74="Summer", 1, 0)</f>
        <v>1</v>
      </c>
      <c r="Q74" s="46">
        <f>IF($E74="Autumn",1,0)</f>
        <v>0</v>
      </c>
      <c r="R74" s="46">
        <f>IF($E74="Winter", 1, 0)</f>
        <v>0</v>
      </c>
      <c r="S74" s="15">
        <v>192</v>
      </c>
      <c r="T74" s="71">
        <v>358.04485264834722</v>
      </c>
      <c r="U74" s="51">
        <f>F74/((J74+I74)/2)</f>
        <v>3</v>
      </c>
      <c r="V74" s="15">
        <v>20</v>
      </c>
      <c r="W74" s="15">
        <v>0.86165066949321301</v>
      </c>
      <c r="X74" s="52">
        <v>67.532850004412893</v>
      </c>
      <c r="Y74" s="70">
        <v>557</v>
      </c>
    </row>
    <row r="75" spans="1:25" x14ac:dyDescent="0.15">
      <c r="A75" s="15">
        <v>4</v>
      </c>
      <c r="B75" s="15" t="s">
        <v>13</v>
      </c>
      <c r="C75" s="46" t="str">
        <f>IF(B75="Smartphone", "Electronics", IF(B75="Laptop", "Computing", IF(B75="Tablet", "Mobile", IF(B75="Smartwatch", "Wearables", IF(B75="Headphones", "Audio", "Photography")))))</f>
        <v>Wearables</v>
      </c>
      <c r="D75" s="47">
        <v>44197</v>
      </c>
      <c r="E75" s="48" t="str">
        <f>IF(OR(MONTH(D75)=9, MONTH(D75)=10, MONTH(D75)=11), "Spring",
 IF(OR(MONTH(D75)=12, MONTH(D75)=1, MONTH(D75)=2), "Summer",
 IF(OR(MONTH(D75)=3, MONTH(D75)=4, MONTH(D75)=5), "Autumn",
 IF(OR(MONTH(D75)=6, MONTH(D75)=7, MONTH(D75)=8), "Winter", "Unknown"
))))</f>
        <v>Summer</v>
      </c>
      <c r="F75" s="15">
        <v>92</v>
      </c>
      <c r="G75" s="46">
        <f>J75+S75</f>
        <v>190</v>
      </c>
      <c r="H75" s="71">
        <f>T75-I75</f>
        <v>278.12350657108726</v>
      </c>
      <c r="I75" s="15">
        <v>85</v>
      </c>
      <c r="J75" s="15">
        <v>40</v>
      </c>
      <c r="K75" s="71">
        <f>MONTH(D75)</f>
        <v>1</v>
      </c>
      <c r="L75" s="46">
        <f t="shared" si="3"/>
        <v>0</v>
      </c>
      <c r="M75" s="46">
        <f t="shared" si="4"/>
        <v>0</v>
      </c>
      <c r="N75" s="46">
        <f t="shared" si="5"/>
        <v>1</v>
      </c>
      <c r="O75" s="46">
        <f>IF($E75="Spring", 1, 0)</f>
        <v>0</v>
      </c>
      <c r="P75" s="46">
        <f>IF($E75="Summer", 1, 0)</f>
        <v>1</v>
      </c>
      <c r="Q75" s="46">
        <f>IF($E75="Autumn",1,0)</f>
        <v>0</v>
      </c>
      <c r="R75" s="46">
        <f>IF($E75="Winter", 1, 0)</f>
        <v>0</v>
      </c>
      <c r="S75" s="15">
        <v>150</v>
      </c>
      <c r="T75" s="71">
        <v>363.12350657108726</v>
      </c>
      <c r="U75" s="51">
        <f>F75/((J75+I75)/2)</f>
        <v>1.472</v>
      </c>
      <c r="V75" s="15">
        <v>7</v>
      </c>
      <c r="W75" s="15">
        <v>0.81309097638317196</v>
      </c>
      <c r="X75" s="52">
        <v>64.809087332883706</v>
      </c>
      <c r="Y75" s="70">
        <v>681</v>
      </c>
    </row>
    <row r="76" spans="1:25" x14ac:dyDescent="0.15">
      <c r="A76" s="15">
        <v>5</v>
      </c>
      <c r="B76" s="15" t="s">
        <v>14</v>
      </c>
      <c r="C76" s="46" t="str">
        <f>IF(B76="Smartphone", "Electronics", IF(B76="Laptop", "Computing", IF(B76="Tablet", "Mobile", IF(B76="Smartwatch", "Wearables", IF(B76="Headphones", "Audio", "Photography")))))</f>
        <v>Audio</v>
      </c>
      <c r="D76" s="47">
        <v>44197</v>
      </c>
      <c r="E76" s="48" t="str">
        <f>IF(OR(MONTH(D76)=9, MONTH(D76)=10, MONTH(D76)=11), "Spring",
 IF(OR(MONTH(D76)=12, MONTH(D76)=1, MONTH(D76)=2), "Summer",
 IF(OR(MONTH(D76)=3, MONTH(D76)=4, MONTH(D76)=5), "Autumn",
 IF(OR(MONTH(D76)=6, MONTH(D76)=7, MONTH(D76)=8), "Winter", "Unknown"
))))</f>
        <v>Summer</v>
      </c>
      <c r="F76" s="15">
        <v>281</v>
      </c>
      <c r="G76" s="46">
        <f>J76+S76</f>
        <v>365</v>
      </c>
      <c r="H76" s="71">
        <f>T76-I76</f>
        <v>245.49962664277177</v>
      </c>
      <c r="I76" s="15">
        <v>12</v>
      </c>
      <c r="J76" s="15">
        <v>72</v>
      </c>
      <c r="K76" s="71">
        <f>MONTH(D76)</f>
        <v>1</v>
      </c>
      <c r="L76" s="46">
        <f t="shared" si="3"/>
        <v>1</v>
      </c>
      <c r="M76" s="46">
        <f t="shared" si="4"/>
        <v>0</v>
      </c>
      <c r="N76" s="46">
        <f t="shared" si="5"/>
        <v>0</v>
      </c>
      <c r="O76" s="46">
        <f>IF($E76="Spring", 1, 0)</f>
        <v>0</v>
      </c>
      <c r="P76" s="46">
        <f>IF($E76="Summer", 1, 0)</f>
        <v>1</v>
      </c>
      <c r="Q76" s="46">
        <f>IF($E76="Autumn",1,0)</f>
        <v>0</v>
      </c>
      <c r="R76" s="46">
        <f>IF($E76="Winter", 1, 0)</f>
        <v>0</v>
      </c>
      <c r="S76" s="15">
        <v>293</v>
      </c>
      <c r="T76" s="71">
        <v>257.49962664277177</v>
      </c>
      <c r="U76" s="51">
        <f>F76/((J76+I76)/2)</f>
        <v>6.6904761904761907</v>
      </c>
      <c r="V76" s="15">
        <v>4</v>
      </c>
      <c r="W76" s="15">
        <v>0.86522653843391895</v>
      </c>
      <c r="X76" s="52">
        <v>66.801345449583593</v>
      </c>
      <c r="Y76" s="70">
        <v>1204</v>
      </c>
    </row>
    <row r="77" spans="1:25" x14ac:dyDescent="0.15">
      <c r="A77" s="15">
        <v>1</v>
      </c>
      <c r="B77" s="15" t="s">
        <v>10</v>
      </c>
      <c r="C77" s="46" t="str">
        <f>IF(B77="Smartphone", "Electronics", IF(B77="Laptop", "Computing", IF(B77="Tablet", "Mobile", IF(B77="Smartwatch", "Wearables", IF(B77="Headphones", "Audio", "Photography")))))</f>
        <v>Electronics</v>
      </c>
      <c r="D77" s="47">
        <v>44228</v>
      </c>
      <c r="E77" s="48" t="str">
        <f>IF(OR(MONTH(D77)=9, MONTH(D77)=10, MONTH(D77)=11), "Spring",
 IF(OR(MONTH(D77)=12, MONTH(D77)=1, MONTH(D77)=2), "Summer",
 IF(OR(MONTH(D77)=3, MONTH(D77)=4, MONTH(D77)=5), "Autumn",
 IF(OR(MONTH(D77)=6, MONTH(D77)=7, MONTH(D77)=8), "Winter", "Unknown"
))))</f>
        <v>Summer</v>
      </c>
      <c r="F77" s="15">
        <v>213</v>
      </c>
      <c r="G77" s="46">
        <f>J77+S77</f>
        <v>375</v>
      </c>
      <c r="H77" s="71">
        <f>T77-I77</f>
        <v>283.04485264834722</v>
      </c>
      <c r="I77" s="15">
        <v>75</v>
      </c>
      <c r="J77" s="15">
        <v>87</v>
      </c>
      <c r="K77" s="71">
        <f>MONTH(D77)</f>
        <v>2</v>
      </c>
      <c r="L77" s="46">
        <f t="shared" si="3"/>
        <v>0</v>
      </c>
      <c r="M77" s="46">
        <f t="shared" si="4"/>
        <v>1</v>
      </c>
      <c r="N77" s="46">
        <f t="shared" si="5"/>
        <v>0</v>
      </c>
      <c r="O77" s="46">
        <f>IF($E77="Spring", 1, 0)</f>
        <v>0</v>
      </c>
      <c r="P77" s="46">
        <f>IF($E77="Summer", 1, 0)</f>
        <v>1</v>
      </c>
      <c r="Q77" s="46">
        <f>IF($E77="Autumn",1,0)</f>
        <v>0</v>
      </c>
      <c r="R77" s="46">
        <f>IF($E77="Winter", 1, 0)</f>
        <v>0</v>
      </c>
      <c r="S77" s="15">
        <v>288</v>
      </c>
      <c r="T77" s="71">
        <v>358.04485264834722</v>
      </c>
      <c r="U77" s="51">
        <f>F77/((J77+I77)/2)</f>
        <v>2.6296296296296298</v>
      </c>
      <c r="V77" s="15">
        <v>14</v>
      </c>
      <c r="W77" s="15">
        <v>0.92781087894987502</v>
      </c>
      <c r="X77" s="52">
        <v>75.4583143191349</v>
      </c>
      <c r="Y77" s="70">
        <v>581</v>
      </c>
    </row>
    <row r="78" spans="1:25" x14ac:dyDescent="0.15">
      <c r="A78" s="15">
        <v>4</v>
      </c>
      <c r="B78" s="15" t="s">
        <v>13</v>
      </c>
      <c r="C78" s="46" t="str">
        <f>IF(B78="Smartphone", "Electronics", IF(B78="Laptop", "Computing", IF(B78="Tablet", "Mobile", IF(B78="Smartwatch", "Wearables", IF(B78="Headphones", "Audio", "Photography")))))</f>
        <v>Wearables</v>
      </c>
      <c r="D78" s="47">
        <v>44228</v>
      </c>
      <c r="E78" s="48" t="str">
        <f>IF(OR(MONTH(D78)=9, MONTH(D78)=10, MONTH(D78)=11), "Spring",
 IF(OR(MONTH(D78)=12, MONTH(D78)=1, MONTH(D78)=2), "Summer",
 IF(OR(MONTH(D78)=3, MONTH(D78)=4, MONTH(D78)=5), "Autumn",
 IF(OR(MONTH(D78)=6, MONTH(D78)=7, MONTH(D78)=8), "Winter", "Unknown"
))))</f>
        <v>Summer</v>
      </c>
      <c r="F78" s="15">
        <v>261</v>
      </c>
      <c r="G78" s="46">
        <f>J78+S78</f>
        <v>290</v>
      </c>
      <c r="H78" s="71">
        <f>T78-I78</f>
        <v>276.12350657108726</v>
      </c>
      <c r="I78" s="15">
        <v>87</v>
      </c>
      <c r="J78" s="15">
        <v>75</v>
      </c>
      <c r="K78" s="71">
        <f>MONTH(D78)</f>
        <v>2</v>
      </c>
      <c r="L78" s="46">
        <f t="shared" si="3"/>
        <v>0</v>
      </c>
      <c r="M78" s="46">
        <f t="shared" si="4"/>
        <v>0</v>
      </c>
      <c r="N78" s="46">
        <f t="shared" si="5"/>
        <v>1</v>
      </c>
      <c r="O78" s="46">
        <f>IF($E78="Spring", 1, 0)</f>
        <v>0</v>
      </c>
      <c r="P78" s="46">
        <f>IF($E78="Summer", 1, 0)</f>
        <v>1</v>
      </c>
      <c r="Q78" s="46">
        <f>IF($E78="Autumn",1,0)</f>
        <v>0</v>
      </c>
      <c r="R78" s="46">
        <f>IF($E78="Winter", 1, 0)</f>
        <v>0</v>
      </c>
      <c r="S78" s="15">
        <v>215</v>
      </c>
      <c r="T78" s="71">
        <v>363.12350657108726</v>
      </c>
      <c r="U78" s="51">
        <f>F78/((J78+I78)/2)</f>
        <v>3.2222222222222223</v>
      </c>
      <c r="V78" s="15">
        <v>5</v>
      </c>
      <c r="W78" s="15">
        <v>0.82308150005159397</v>
      </c>
      <c r="X78" s="52">
        <v>47.894323331075803</v>
      </c>
      <c r="Y78" s="70">
        <v>813</v>
      </c>
    </row>
    <row r="79" spans="1:25" x14ac:dyDescent="0.15">
      <c r="A79" s="15">
        <v>5</v>
      </c>
      <c r="B79" s="15" t="s">
        <v>14</v>
      </c>
      <c r="C79" s="46" t="str">
        <f>IF(B79="Smartphone", "Electronics", IF(B79="Laptop", "Computing", IF(B79="Tablet", "Mobile", IF(B79="Smartwatch", "Wearables", IF(B79="Headphones", "Audio", "Photography")))))</f>
        <v>Audio</v>
      </c>
      <c r="D79" s="47">
        <v>44228</v>
      </c>
      <c r="E79" s="48" t="str">
        <f>IF(OR(MONTH(D79)=9, MONTH(D79)=10, MONTH(D79)=11), "Spring",
 IF(OR(MONTH(D79)=12, MONTH(D79)=1, MONTH(D79)=2), "Summer",
 IF(OR(MONTH(D79)=3, MONTH(D79)=4, MONTH(D79)=5), "Autumn",
 IF(OR(MONTH(D79)=6, MONTH(D79)=7, MONTH(D79)=8), "Winter", "Unknown"
))))</f>
        <v>Summer</v>
      </c>
      <c r="F79" s="15">
        <v>124</v>
      </c>
      <c r="G79" s="46">
        <f>J79+S79</f>
        <v>159</v>
      </c>
      <c r="H79" s="71">
        <f>T79-I79</f>
        <v>250.49962664277177</v>
      </c>
      <c r="I79" s="15">
        <v>7</v>
      </c>
      <c r="J79" s="15">
        <v>28</v>
      </c>
      <c r="K79" s="71">
        <f>MONTH(D79)</f>
        <v>2</v>
      </c>
      <c r="L79" s="46">
        <f t="shared" si="3"/>
        <v>1</v>
      </c>
      <c r="M79" s="46">
        <f t="shared" si="4"/>
        <v>0</v>
      </c>
      <c r="N79" s="46">
        <f t="shared" si="5"/>
        <v>0</v>
      </c>
      <c r="O79" s="46">
        <f>IF($E79="Spring", 1, 0)</f>
        <v>0</v>
      </c>
      <c r="P79" s="46">
        <f>IF($E79="Summer", 1, 0)</f>
        <v>1</v>
      </c>
      <c r="Q79" s="46">
        <f>IF($E79="Autumn",1,0)</f>
        <v>0</v>
      </c>
      <c r="R79" s="46">
        <f>IF($E79="Winter", 1, 0)</f>
        <v>0</v>
      </c>
      <c r="S79" s="15">
        <v>131</v>
      </c>
      <c r="T79" s="71">
        <v>257.49962664277177</v>
      </c>
      <c r="U79" s="51">
        <f>F79/((J79+I79)/2)</f>
        <v>7.0857142857142854</v>
      </c>
      <c r="V79" s="15">
        <v>16</v>
      </c>
      <c r="W79" s="15">
        <v>0.93534087146568601</v>
      </c>
      <c r="X79" s="52">
        <v>29.698729868128002</v>
      </c>
      <c r="Y79" s="70">
        <v>1245</v>
      </c>
    </row>
    <row r="80" spans="1:25" x14ac:dyDescent="0.15">
      <c r="A80" s="15">
        <v>1</v>
      </c>
      <c r="B80" s="15" t="s">
        <v>10</v>
      </c>
      <c r="C80" s="46" t="str">
        <f>IF(B80="Smartphone", "Electronics", IF(B80="Laptop", "Computing", IF(B80="Tablet", "Mobile", IF(B80="Smartwatch", "Wearables", IF(B80="Headphones", "Audio", "Photography")))))</f>
        <v>Electronics</v>
      </c>
      <c r="D80" s="47">
        <v>44256</v>
      </c>
      <c r="E80" s="48" t="str">
        <f>IF(OR(MONTH(D80)=9, MONTH(D80)=10, MONTH(D80)=11), "Spring",
 IF(OR(MONTH(D80)=12, MONTH(D80)=1, MONTH(D80)=2), "Summer",
 IF(OR(MONTH(D80)=3, MONTH(D80)=4, MONTH(D80)=5), "Autumn",
 IF(OR(MONTH(D80)=6, MONTH(D80)=7, MONTH(D80)=8), "Winter", "Unknown"
))))</f>
        <v>Autumn</v>
      </c>
      <c r="F80" s="15">
        <v>302</v>
      </c>
      <c r="G80" s="46">
        <f>J80+S80</f>
        <v>384</v>
      </c>
      <c r="H80" s="71">
        <f>T80-I80</f>
        <v>320.04485264834722</v>
      </c>
      <c r="I80" s="15">
        <v>38</v>
      </c>
      <c r="J80" s="15">
        <v>44</v>
      </c>
      <c r="K80" s="71">
        <f>MONTH(D80)</f>
        <v>3</v>
      </c>
      <c r="L80" s="46">
        <f t="shared" si="3"/>
        <v>0</v>
      </c>
      <c r="M80" s="46">
        <f t="shared" si="4"/>
        <v>1</v>
      </c>
      <c r="N80" s="46">
        <f t="shared" si="5"/>
        <v>0</v>
      </c>
      <c r="O80" s="46">
        <f>IF($E80="Spring", 1, 0)</f>
        <v>0</v>
      </c>
      <c r="P80" s="46">
        <f>IF($E80="Summer", 1, 0)</f>
        <v>0</v>
      </c>
      <c r="Q80" s="46">
        <f>IF($E80="Autumn",1,0)</f>
        <v>1</v>
      </c>
      <c r="R80" s="46">
        <f>IF($E80="Winter", 1, 0)</f>
        <v>0</v>
      </c>
      <c r="S80" s="15">
        <v>340</v>
      </c>
      <c r="T80" s="71">
        <v>358.04485264834722</v>
      </c>
      <c r="U80" s="51">
        <f>F80/((J80+I80)/2)</f>
        <v>7.3658536585365857</v>
      </c>
      <c r="V80" s="15">
        <v>23</v>
      </c>
      <c r="W80" s="15">
        <v>0.94424966930405496</v>
      </c>
      <c r="X80" s="52">
        <v>95.132957793332494</v>
      </c>
      <c r="Y80" s="70">
        <v>438</v>
      </c>
    </row>
    <row r="81" spans="1:25" x14ac:dyDescent="0.15">
      <c r="A81" s="15">
        <v>4</v>
      </c>
      <c r="B81" s="15" t="s">
        <v>13</v>
      </c>
      <c r="C81" s="46" t="str">
        <f>IF(B81="Smartphone", "Electronics", IF(B81="Laptop", "Computing", IF(B81="Tablet", "Mobile", IF(B81="Smartwatch", "Wearables", IF(B81="Headphones", "Audio", "Photography")))))</f>
        <v>Wearables</v>
      </c>
      <c r="D81" s="47">
        <v>44256</v>
      </c>
      <c r="E81" s="48" t="str">
        <f>IF(OR(MONTH(D81)=9, MONTH(D81)=10, MONTH(D81)=11), "Spring",
 IF(OR(MONTH(D81)=12, MONTH(D81)=1, MONTH(D81)=2), "Summer",
 IF(OR(MONTH(D81)=3, MONTH(D81)=4, MONTH(D81)=5), "Autumn",
 IF(OR(MONTH(D81)=6, MONTH(D81)=7, MONTH(D81)=8), "Winter", "Unknown"
))))</f>
        <v>Autumn</v>
      </c>
      <c r="F81" s="15">
        <v>178</v>
      </c>
      <c r="G81" s="46">
        <f>J81+S81</f>
        <v>248</v>
      </c>
      <c r="H81" s="71">
        <f>T81-I81</f>
        <v>334.12350657108726</v>
      </c>
      <c r="I81" s="15">
        <v>29</v>
      </c>
      <c r="J81" s="15">
        <v>41</v>
      </c>
      <c r="K81" s="71">
        <f>MONTH(D81)</f>
        <v>3</v>
      </c>
      <c r="L81" s="46">
        <f t="shared" si="3"/>
        <v>0</v>
      </c>
      <c r="M81" s="46">
        <f t="shared" si="4"/>
        <v>0</v>
      </c>
      <c r="N81" s="46">
        <f t="shared" si="5"/>
        <v>1</v>
      </c>
      <c r="O81" s="46">
        <f>IF($E81="Spring", 1, 0)</f>
        <v>0</v>
      </c>
      <c r="P81" s="46">
        <f>IF($E81="Summer", 1, 0)</f>
        <v>0</v>
      </c>
      <c r="Q81" s="46">
        <f>IF($E81="Autumn",1,0)</f>
        <v>1</v>
      </c>
      <c r="R81" s="46">
        <f>IF($E81="Winter", 1, 0)</f>
        <v>0</v>
      </c>
      <c r="S81" s="15">
        <v>207</v>
      </c>
      <c r="T81" s="71">
        <v>363.12350657108726</v>
      </c>
      <c r="U81" s="51">
        <f>F81/((J81+I81)/2)</f>
        <v>5.0857142857142854</v>
      </c>
      <c r="V81" s="15">
        <v>24</v>
      </c>
      <c r="W81" s="15">
        <v>1</v>
      </c>
      <c r="X81" s="52">
        <v>50.6281303575972</v>
      </c>
      <c r="Y81" s="70">
        <v>598</v>
      </c>
    </row>
    <row r="82" spans="1:25" x14ac:dyDescent="0.15">
      <c r="A82" s="15">
        <v>5</v>
      </c>
      <c r="B82" s="15" t="s">
        <v>14</v>
      </c>
      <c r="C82" s="46" t="str">
        <f>IF(B82="Smartphone", "Electronics", IF(B82="Laptop", "Computing", IF(B82="Tablet", "Mobile", IF(B82="Smartwatch", "Wearables", IF(B82="Headphones", "Audio", "Photography")))))</f>
        <v>Audio</v>
      </c>
      <c r="D82" s="47">
        <v>44256</v>
      </c>
      <c r="E82" s="48" t="str">
        <f>IF(OR(MONTH(D82)=9, MONTH(D82)=10, MONTH(D82)=11), "Spring",
 IF(OR(MONTH(D82)=12, MONTH(D82)=1, MONTH(D82)=2), "Summer",
 IF(OR(MONTH(D82)=3, MONTH(D82)=4, MONTH(D82)=5), "Autumn",
 IF(OR(MONTH(D82)=6, MONTH(D82)=7, MONTH(D82)=8), "Winter", "Unknown"
))))</f>
        <v>Autumn</v>
      </c>
      <c r="F82" s="15">
        <v>139</v>
      </c>
      <c r="G82" s="46">
        <f>J82+S82</f>
        <v>282</v>
      </c>
      <c r="H82" s="71">
        <f>T82-I82</f>
        <v>213.49962664277177</v>
      </c>
      <c r="I82" s="15">
        <v>44</v>
      </c>
      <c r="J82" s="15">
        <v>99</v>
      </c>
      <c r="K82" s="71">
        <f>MONTH(D82)</f>
        <v>3</v>
      </c>
      <c r="L82" s="46">
        <f t="shared" si="3"/>
        <v>1</v>
      </c>
      <c r="M82" s="46">
        <f t="shared" si="4"/>
        <v>0</v>
      </c>
      <c r="N82" s="46">
        <f t="shared" si="5"/>
        <v>0</v>
      </c>
      <c r="O82" s="46">
        <f>IF($E82="Spring", 1, 0)</f>
        <v>0</v>
      </c>
      <c r="P82" s="46">
        <f>IF($E82="Summer", 1, 0)</f>
        <v>0</v>
      </c>
      <c r="Q82" s="46">
        <f>IF($E82="Autumn",1,0)</f>
        <v>1</v>
      </c>
      <c r="R82" s="46">
        <f>IF($E82="Winter", 1, 0)</f>
        <v>0</v>
      </c>
      <c r="S82" s="15">
        <v>183</v>
      </c>
      <c r="T82" s="71">
        <v>257.49962664277177</v>
      </c>
      <c r="U82" s="51">
        <f>F82/((J82+I82)/2)</f>
        <v>1.944055944055944</v>
      </c>
      <c r="V82" s="15">
        <v>24</v>
      </c>
      <c r="W82" s="15">
        <v>0.92398937214920795</v>
      </c>
      <c r="X82" s="52">
        <v>25.367471795186798</v>
      </c>
      <c r="Y82" s="70">
        <v>1358</v>
      </c>
    </row>
    <row r="83" spans="1:25" x14ac:dyDescent="0.15">
      <c r="A83" s="15">
        <v>1</v>
      </c>
      <c r="B83" s="15" t="s">
        <v>10</v>
      </c>
      <c r="C83" s="46" t="str">
        <f>IF(B83="Smartphone", "Electronics", IF(B83="Laptop", "Computing", IF(B83="Tablet", "Mobile", IF(B83="Smartwatch", "Wearables", IF(B83="Headphones", "Audio", "Photography")))))</f>
        <v>Electronics</v>
      </c>
      <c r="D83" s="47">
        <v>44287</v>
      </c>
      <c r="E83" s="48" t="str">
        <f>IF(OR(MONTH(D83)=9, MONTH(D83)=10, MONTH(D83)=11), "Spring",
 IF(OR(MONTH(D83)=12, MONTH(D83)=1, MONTH(D83)=2), "Summer",
 IF(OR(MONTH(D83)=3, MONTH(D83)=4, MONTH(D83)=5), "Autumn",
 IF(OR(MONTH(D83)=6, MONTH(D83)=7, MONTH(D83)=8), "Winter", "Unknown"
))))</f>
        <v>Autumn</v>
      </c>
      <c r="F83" s="15">
        <v>473</v>
      </c>
      <c r="G83" s="46">
        <f>J83+S83</f>
        <v>570</v>
      </c>
      <c r="H83" s="71">
        <f>T83-I83</f>
        <v>119.04485264834722</v>
      </c>
      <c r="I83" s="15">
        <v>239</v>
      </c>
      <c r="J83" s="15">
        <v>185</v>
      </c>
      <c r="K83" s="71">
        <f>MONTH(D83)</f>
        <v>4</v>
      </c>
      <c r="L83" s="46">
        <f t="shared" si="3"/>
        <v>0</v>
      </c>
      <c r="M83" s="46">
        <f t="shared" si="4"/>
        <v>1</v>
      </c>
      <c r="N83" s="46">
        <f t="shared" si="5"/>
        <v>0</v>
      </c>
      <c r="O83" s="46">
        <f>IF($E83="Spring", 1, 0)</f>
        <v>0</v>
      </c>
      <c r="P83" s="46">
        <f>IF($E83="Summer", 1, 0)</f>
        <v>0</v>
      </c>
      <c r="Q83" s="46">
        <f>IF($E83="Autumn",1,0)</f>
        <v>1</v>
      </c>
      <c r="R83" s="46">
        <f>IF($E83="Winter", 1, 0)</f>
        <v>0</v>
      </c>
      <c r="S83" s="15">
        <v>385</v>
      </c>
      <c r="T83" s="71">
        <v>358.04485264834722</v>
      </c>
      <c r="U83" s="51">
        <f>F83/((J83+I83)/2)</f>
        <v>2.2311320754716979</v>
      </c>
      <c r="V83" s="15">
        <v>18</v>
      </c>
      <c r="W83" s="15">
        <v>0.89152753812583097</v>
      </c>
      <c r="X83" s="52">
        <v>16.3765348559605</v>
      </c>
      <c r="Y83" s="70">
        <v>473</v>
      </c>
    </row>
    <row r="84" spans="1:25" x14ac:dyDescent="0.15">
      <c r="A84" s="15">
        <v>4</v>
      </c>
      <c r="B84" s="15" t="s">
        <v>13</v>
      </c>
      <c r="C84" s="46" t="str">
        <f>IF(B84="Smartphone", "Electronics", IF(B84="Laptop", "Computing", IF(B84="Tablet", "Mobile", IF(B84="Smartwatch", "Wearables", IF(B84="Headphones", "Audio", "Photography")))))</f>
        <v>Wearables</v>
      </c>
      <c r="D84" s="47">
        <v>44287</v>
      </c>
      <c r="E84" s="48" t="str">
        <f>IF(OR(MONTH(D84)=9, MONTH(D84)=10, MONTH(D84)=11), "Spring",
 IF(OR(MONTH(D84)=12, MONTH(D84)=1, MONTH(D84)=2), "Summer",
 IF(OR(MONTH(D84)=3, MONTH(D84)=4, MONTH(D84)=5), "Autumn",
 IF(OR(MONTH(D84)=6, MONTH(D84)=7, MONTH(D84)=8), "Winter", "Unknown"
))))</f>
        <v>Autumn</v>
      </c>
      <c r="F84" s="15">
        <v>0</v>
      </c>
      <c r="G84" s="46">
        <f>J84+S84</f>
        <v>97</v>
      </c>
      <c r="H84" s="71">
        <f>T84-I84</f>
        <v>300.12350657108726</v>
      </c>
      <c r="I84" s="15">
        <v>63</v>
      </c>
      <c r="J84" s="15">
        <v>34</v>
      </c>
      <c r="K84" s="71">
        <f>MONTH(D84)</f>
        <v>4</v>
      </c>
      <c r="L84" s="46">
        <f t="shared" si="3"/>
        <v>0</v>
      </c>
      <c r="M84" s="46">
        <f t="shared" si="4"/>
        <v>0</v>
      </c>
      <c r="N84" s="46">
        <f t="shared" si="5"/>
        <v>1</v>
      </c>
      <c r="O84" s="46">
        <f>IF($E84="Spring", 1, 0)</f>
        <v>0</v>
      </c>
      <c r="P84" s="46">
        <f>IF($E84="Summer", 1, 0)</f>
        <v>0</v>
      </c>
      <c r="Q84" s="46">
        <f>IF($E84="Autumn",1,0)</f>
        <v>1</v>
      </c>
      <c r="R84" s="46">
        <f>IF($E84="Winter", 1, 0)</f>
        <v>0</v>
      </c>
      <c r="S84" s="15">
        <v>63</v>
      </c>
      <c r="T84" s="71">
        <v>363.12350657108726</v>
      </c>
      <c r="U84" s="51">
        <f>F84/((J84+I84)/2)</f>
        <v>0</v>
      </c>
      <c r="V84" s="15">
        <v>28</v>
      </c>
      <c r="W84" s="15">
        <v>0.90948140616527196</v>
      </c>
      <c r="X84" s="52">
        <v>69.494627002111102</v>
      </c>
      <c r="Y84" s="70">
        <v>592</v>
      </c>
    </row>
    <row r="85" spans="1:25" x14ac:dyDescent="0.15">
      <c r="A85" s="15">
        <v>5</v>
      </c>
      <c r="B85" s="15" t="s">
        <v>14</v>
      </c>
      <c r="C85" s="46" t="str">
        <f>IF(B85="Smartphone", "Electronics", IF(B85="Laptop", "Computing", IF(B85="Tablet", "Mobile", IF(B85="Smartwatch", "Wearables", IF(B85="Headphones", "Audio", "Photography")))))</f>
        <v>Audio</v>
      </c>
      <c r="D85" s="47">
        <v>44287</v>
      </c>
      <c r="E85" s="48" t="str">
        <f>IF(OR(MONTH(D85)=9, MONTH(D85)=10, MONTH(D85)=11), "Spring",
 IF(OR(MONTH(D85)=12, MONTH(D85)=1, MONTH(D85)=2), "Summer",
 IF(OR(MONTH(D85)=3, MONTH(D85)=4, MONTH(D85)=5), "Autumn",
 IF(OR(MONTH(D85)=6, MONTH(D85)=7, MONTH(D85)=8), "Winter", "Unknown"
))))</f>
        <v>Autumn</v>
      </c>
      <c r="F85" s="15">
        <v>111</v>
      </c>
      <c r="G85" s="46">
        <f>J85+S85</f>
        <v>185</v>
      </c>
      <c r="H85" s="71">
        <f>T85-I85</f>
        <v>246.49962664277177</v>
      </c>
      <c r="I85" s="15">
        <v>11</v>
      </c>
      <c r="J85" s="15">
        <v>63</v>
      </c>
      <c r="K85" s="71">
        <f>MONTH(D85)</f>
        <v>4</v>
      </c>
      <c r="L85" s="46">
        <f t="shared" si="3"/>
        <v>1</v>
      </c>
      <c r="M85" s="46">
        <f t="shared" si="4"/>
        <v>0</v>
      </c>
      <c r="N85" s="46">
        <f t="shared" si="5"/>
        <v>0</v>
      </c>
      <c r="O85" s="46">
        <f>IF($E85="Spring", 1, 0)</f>
        <v>0</v>
      </c>
      <c r="P85" s="46">
        <f>IF($E85="Summer", 1, 0)</f>
        <v>0</v>
      </c>
      <c r="Q85" s="46">
        <f>IF($E85="Autumn",1,0)</f>
        <v>1</v>
      </c>
      <c r="R85" s="46">
        <f>IF($E85="Winter", 1, 0)</f>
        <v>0</v>
      </c>
      <c r="S85" s="15">
        <v>122</v>
      </c>
      <c r="T85" s="71">
        <v>257.49962664277177</v>
      </c>
      <c r="U85" s="51">
        <f>F85/((J85+I85)/2)</f>
        <v>3</v>
      </c>
      <c r="V85" s="15">
        <v>19</v>
      </c>
      <c r="W85" s="15">
        <v>0.94292565767237402</v>
      </c>
      <c r="X85" s="52">
        <v>39.328348386585198</v>
      </c>
      <c r="Y85" s="70">
        <v>933</v>
      </c>
    </row>
    <row r="86" spans="1:25" x14ac:dyDescent="0.15">
      <c r="A86" s="15">
        <v>1</v>
      </c>
      <c r="B86" s="15" t="s">
        <v>10</v>
      </c>
      <c r="C86" s="46" t="str">
        <f>IF(B86="Smartphone", "Electronics", IF(B86="Laptop", "Computing", IF(B86="Tablet", "Mobile", IF(B86="Smartwatch", "Wearables", IF(B86="Headphones", "Audio", "Photography")))))</f>
        <v>Electronics</v>
      </c>
      <c r="D86" s="47">
        <v>44317</v>
      </c>
      <c r="E86" s="48" t="str">
        <f>IF(OR(MONTH(D86)=9, MONTH(D86)=10, MONTH(D86)=11), "Spring",
 IF(OR(MONTH(D86)=12, MONTH(D86)=1, MONTH(D86)=2), "Summer",
 IF(OR(MONTH(D86)=3, MONTH(D86)=4, MONTH(D86)=5), "Autumn",
 IF(OR(MONTH(D86)=6, MONTH(D86)=7, MONTH(D86)=8), "Winter", "Unknown"
))))</f>
        <v>Autumn</v>
      </c>
      <c r="F86" s="15">
        <v>451</v>
      </c>
      <c r="G86" s="46">
        <f>J86+S86</f>
        <v>506</v>
      </c>
      <c r="H86" s="71">
        <f>T86-I86</f>
        <v>355.04485264834722</v>
      </c>
      <c r="I86" s="15">
        <v>3</v>
      </c>
      <c r="J86" s="15">
        <v>52</v>
      </c>
      <c r="K86" s="71">
        <f>MONTH(D86)</f>
        <v>5</v>
      </c>
      <c r="L86" s="46">
        <f t="shared" si="3"/>
        <v>0</v>
      </c>
      <c r="M86" s="46">
        <f t="shared" si="4"/>
        <v>1</v>
      </c>
      <c r="N86" s="46">
        <f t="shared" si="5"/>
        <v>0</v>
      </c>
      <c r="O86" s="46">
        <f>IF($E86="Spring", 1, 0)</f>
        <v>0</v>
      </c>
      <c r="P86" s="46">
        <f>IF($E86="Summer", 1, 0)</f>
        <v>0</v>
      </c>
      <c r="Q86" s="46">
        <f>IF($E86="Autumn",1,0)</f>
        <v>1</v>
      </c>
      <c r="R86" s="46">
        <f>IF($E86="Winter", 1, 0)</f>
        <v>0</v>
      </c>
      <c r="S86" s="15">
        <v>454</v>
      </c>
      <c r="T86" s="71">
        <v>358.04485264834722</v>
      </c>
      <c r="U86" s="51">
        <f>F86/((J86+I86)/2)</f>
        <v>16.399999999999999</v>
      </c>
      <c r="V86" s="15">
        <v>14</v>
      </c>
      <c r="W86" s="15">
        <v>0.89438230542648101</v>
      </c>
      <c r="X86" s="52">
        <v>87.155573940035794</v>
      </c>
      <c r="Y86" s="70">
        <v>451</v>
      </c>
    </row>
    <row r="87" spans="1:25" x14ac:dyDescent="0.15">
      <c r="A87" s="15">
        <v>4</v>
      </c>
      <c r="B87" s="15" t="s">
        <v>13</v>
      </c>
      <c r="C87" s="46" t="str">
        <f>IF(B87="Smartphone", "Electronics", IF(B87="Laptop", "Computing", IF(B87="Tablet", "Mobile", IF(B87="Smartwatch", "Wearables", IF(B87="Headphones", "Audio", "Photography")))))</f>
        <v>Wearables</v>
      </c>
      <c r="D87" s="47">
        <v>44317</v>
      </c>
      <c r="E87" s="48" t="str">
        <f>IF(OR(MONTH(D87)=9, MONTH(D87)=10, MONTH(D87)=11), "Spring",
 IF(OR(MONTH(D87)=12, MONTH(D87)=1, MONTH(D87)=2), "Summer",
 IF(OR(MONTH(D87)=3, MONTH(D87)=4, MONTH(D87)=5), "Autumn",
 IF(OR(MONTH(D87)=6, MONTH(D87)=7, MONTH(D87)=8), "Winter", "Unknown"
))))</f>
        <v>Autumn</v>
      </c>
      <c r="F87" s="15">
        <v>530</v>
      </c>
      <c r="G87" s="46">
        <f>J87+S87</f>
        <v>482</v>
      </c>
      <c r="H87" s="71">
        <f>T87-I87</f>
        <v>318.12350657108726</v>
      </c>
      <c r="I87" s="15">
        <v>45</v>
      </c>
      <c r="J87" s="15">
        <v>86</v>
      </c>
      <c r="K87" s="71">
        <f>MONTH(D87)</f>
        <v>5</v>
      </c>
      <c r="L87" s="46">
        <f t="shared" si="3"/>
        <v>0</v>
      </c>
      <c r="M87" s="46">
        <f t="shared" si="4"/>
        <v>0</v>
      </c>
      <c r="N87" s="46">
        <f t="shared" si="5"/>
        <v>1</v>
      </c>
      <c r="O87" s="46">
        <f>IF($E87="Spring", 1, 0)</f>
        <v>0</v>
      </c>
      <c r="P87" s="46">
        <f>IF($E87="Summer", 1, 0)</f>
        <v>0</v>
      </c>
      <c r="Q87" s="46">
        <f>IF($E87="Autumn",1,0)</f>
        <v>1</v>
      </c>
      <c r="R87" s="46">
        <f>IF($E87="Winter", 1, 0)</f>
        <v>0</v>
      </c>
      <c r="S87" s="15">
        <v>396</v>
      </c>
      <c r="T87" s="71">
        <v>363.12350657108726</v>
      </c>
      <c r="U87" s="51">
        <f>F87/((J87+I87)/2)</f>
        <v>8.0916030534351151</v>
      </c>
      <c r="V87" s="15">
        <v>24</v>
      </c>
      <c r="W87" s="15">
        <v>0.89151829404524197</v>
      </c>
      <c r="X87" s="52">
        <v>9.9556138180666505</v>
      </c>
      <c r="Y87" s="70">
        <v>825</v>
      </c>
    </row>
    <row r="88" spans="1:25" x14ac:dyDescent="0.15">
      <c r="A88" s="15">
        <v>5</v>
      </c>
      <c r="B88" s="15" t="s">
        <v>14</v>
      </c>
      <c r="C88" s="46" t="str">
        <f>IF(B88="Smartphone", "Electronics", IF(B88="Laptop", "Computing", IF(B88="Tablet", "Mobile", IF(B88="Smartwatch", "Wearables", IF(B88="Headphones", "Audio", "Photography")))))</f>
        <v>Audio</v>
      </c>
      <c r="D88" s="47">
        <v>44317</v>
      </c>
      <c r="E88" s="48" t="str">
        <f>IF(OR(MONTH(D88)=9, MONTH(D88)=10, MONTH(D88)=11), "Spring",
 IF(OR(MONTH(D88)=12, MONTH(D88)=1, MONTH(D88)=2), "Summer",
 IF(OR(MONTH(D88)=3, MONTH(D88)=4, MONTH(D88)=5), "Autumn",
 IF(OR(MONTH(D88)=6, MONTH(D88)=7, MONTH(D88)=8), "Winter", "Unknown"
))))</f>
        <v>Autumn</v>
      </c>
      <c r="F88" s="15">
        <v>144</v>
      </c>
      <c r="G88" s="46">
        <f>J88+S88</f>
        <v>270</v>
      </c>
      <c r="H88" s="71">
        <f>T88-I88</f>
        <v>222.49962664277177</v>
      </c>
      <c r="I88" s="15">
        <v>35</v>
      </c>
      <c r="J88" s="15">
        <v>91</v>
      </c>
      <c r="K88" s="71">
        <f>MONTH(D88)</f>
        <v>5</v>
      </c>
      <c r="L88" s="46">
        <f t="shared" si="3"/>
        <v>1</v>
      </c>
      <c r="M88" s="46">
        <f t="shared" si="4"/>
        <v>0</v>
      </c>
      <c r="N88" s="46">
        <f t="shared" si="5"/>
        <v>0</v>
      </c>
      <c r="O88" s="46">
        <f>IF($E88="Spring", 1, 0)</f>
        <v>0</v>
      </c>
      <c r="P88" s="46">
        <f>IF($E88="Summer", 1, 0)</f>
        <v>0</v>
      </c>
      <c r="Q88" s="46">
        <f>IF($E88="Autumn",1,0)</f>
        <v>1</v>
      </c>
      <c r="R88" s="46">
        <f>IF($E88="Winter", 1, 0)</f>
        <v>0</v>
      </c>
      <c r="S88" s="15">
        <v>179</v>
      </c>
      <c r="T88" s="71">
        <v>257.49962664277177</v>
      </c>
      <c r="U88" s="51">
        <f>F88/((J88+I88)/2)</f>
        <v>2.2857142857142856</v>
      </c>
      <c r="V88" s="15">
        <v>13</v>
      </c>
      <c r="W88" s="15">
        <v>0.86253965211428696</v>
      </c>
      <c r="X88" s="52">
        <v>80.959597461381094</v>
      </c>
      <c r="Y88" s="70">
        <v>1058</v>
      </c>
    </row>
    <row r="89" spans="1:25" x14ac:dyDescent="0.15">
      <c r="A89" s="15">
        <v>1</v>
      </c>
      <c r="B89" s="15" t="s">
        <v>10</v>
      </c>
      <c r="C89" s="46" t="str">
        <f>IF(B89="Smartphone", "Electronics", IF(B89="Laptop", "Computing", IF(B89="Tablet", "Mobile", IF(B89="Smartwatch", "Wearables", IF(B89="Headphones", "Audio", "Photography")))))</f>
        <v>Electronics</v>
      </c>
      <c r="D89" s="47">
        <v>44348</v>
      </c>
      <c r="E89" s="48" t="str">
        <f>IF(OR(MONTH(D89)=9, MONTH(D89)=10, MONTH(D89)=11), "Spring",
 IF(OR(MONTH(D89)=12, MONTH(D89)=1, MONTH(D89)=2), "Summer",
 IF(OR(MONTH(D89)=3, MONTH(D89)=4, MONTH(D89)=5), "Autumn",
 IF(OR(MONTH(D89)=6, MONTH(D89)=7, MONTH(D89)=8), "Winter", "Unknown"
))))</f>
        <v>Winter</v>
      </c>
      <c r="F89" s="15">
        <v>225</v>
      </c>
      <c r="G89" s="46">
        <f>J89+S89</f>
        <v>343</v>
      </c>
      <c r="H89" s="71">
        <f>T89-I89</f>
        <v>328.04485264834722</v>
      </c>
      <c r="I89" s="15">
        <v>30</v>
      </c>
      <c r="J89" s="15">
        <v>88</v>
      </c>
      <c r="K89" s="71">
        <f>MONTH(D89)</f>
        <v>6</v>
      </c>
      <c r="L89" s="46">
        <f t="shared" si="3"/>
        <v>0</v>
      </c>
      <c r="M89" s="46">
        <f t="shared" si="4"/>
        <v>1</v>
      </c>
      <c r="N89" s="46">
        <f t="shared" si="5"/>
        <v>0</v>
      </c>
      <c r="O89" s="46">
        <f>IF($E89="Spring", 1, 0)</f>
        <v>0</v>
      </c>
      <c r="P89" s="46">
        <f>IF($E89="Summer", 1, 0)</f>
        <v>0</v>
      </c>
      <c r="Q89" s="46">
        <f>IF($E89="Autumn",1,0)</f>
        <v>0</v>
      </c>
      <c r="R89" s="46">
        <f>IF($E89="Winter", 1, 0)</f>
        <v>1</v>
      </c>
      <c r="S89" s="15">
        <v>255</v>
      </c>
      <c r="T89" s="71">
        <v>358.04485264834722</v>
      </c>
      <c r="U89" s="51">
        <f>F89/((J89+I89)/2)</f>
        <v>3.8135593220338984</v>
      </c>
      <c r="V89" s="15">
        <v>26</v>
      </c>
      <c r="W89" s="15">
        <v>0.90391743344812903</v>
      </c>
      <c r="X89" s="52">
        <v>90.583392352666195</v>
      </c>
      <c r="Y89" s="70">
        <v>351</v>
      </c>
    </row>
    <row r="90" spans="1:25" x14ac:dyDescent="0.15">
      <c r="A90" s="15">
        <v>4</v>
      </c>
      <c r="B90" s="15" t="s">
        <v>13</v>
      </c>
      <c r="C90" s="46" t="str">
        <f>IF(B90="Smartphone", "Electronics", IF(B90="Laptop", "Computing", IF(B90="Tablet", "Mobile", IF(B90="Smartwatch", "Wearables", IF(B90="Headphones", "Audio", "Photography")))))</f>
        <v>Wearables</v>
      </c>
      <c r="D90" s="47">
        <v>44348</v>
      </c>
      <c r="E90" s="48" t="str">
        <f>IF(OR(MONTH(D90)=9, MONTH(D90)=10, MONTH(D90)=11), "Spring",
 IF(OR(MONTH(D90)=12, MONTH(D90)=1, MONTH(D90)=2), "Summer",
 IF(OR(MONTH(D90)=3, MONTH(D90)=4, MONTH(D90)=5), "Autumn",
 IF(OR(MONTH(D90)=6, MONTH(D90)=7, MONTH(D90)=8), "Winter", "Unknown"
))))</f>
        <v>Winter</v>
      </c>
      <c r="F90" s="15">
        <v>226</v>
      </c>
      <c r="G90" s="46">
        <f>J90+S90</f>
        <v>341</v>
      </c>
      <c r="H90" s="71">
        <f>T90-I90</f>
        <v>274.12350657108726</v>
      </c>
      <c r="I90" s="15">
        <v>89</v>
      </c>
      <c r="J90" s="15">
        <v>26</v>
      </c>
      <c r="K90" s="71">
        <f>MONTH(D90)</f>
        <v>6</v>
      </c>
      <c r="L90" s="46">
        <f t="shared" si="3"/>
        <v>0</v>
      </c>
      <c r="M90" s="46">
        <f t="shared" si="4"/>
        <v>0</v>
      </c>
      <c r="N90" s="46">
        <f t="shared" si="5"/>
        <v>1</v>
      </c>
      <c r="O90" s="46">
        <f>IF($E90="Spring", 1, 0)</f>
        <v>0</v>
      </c>
      <c r="P90" s="46">
        <f>IF($E90="Summer", 1, 0)</f>
        <v>0</v>
      </c>
      <c r="Q90" s="46">
        <f>IF($E90="Autumn",1,0)</f>
        <v>0</v>
      </c>
      <c r="R90" s="46">
        <f>IF($E90="Winter", 1, 0)</f>
        <v>1</v>
      </c>
      <c r="S90" s="15">
        <v>315</v>
      </c>
      <c r="T90" s="71">
        <v>363.12350657108726</v>
      </c>
      <c r="U90" s="51">
        <f>F90/((J90+I90)/2)</f>
        <v>3.9304347826086956</v>
      </c>
      <c r="V90" s="15">
        <v>4</v>
      </c>
      <c r="W90" s="15">
        <v>0.92052379219472202</v>
      </c>
      <c r="X90" s="52">
        <v>59.522487254195298</v>
      </c>
      <c r="Y90" s="70">
        <v>743</v>
      </c>
    </row>
    <row r="91" spans="1:25" x14ac:dyDescent="0.15">
      <c r="A91" s="15">
        <v>5</v>
      </c>
      <c r="B91" s="15" t="s">
        <v>14</v>
      </c>
      <c r="C91" s="46" t="str">
        <f>IF(B91="Smartphone", "Electronics", IF(B91="Laptop", "Computing", IF(B91="Tablet", "Mobile", IF(B91="Smartwatch", "Wearables", IF(B91="Headphones", "Audio", "Photography")))))</f>
        <v>Audio</v>
      </c>
      <c r="D91" s="47">
        <v>44348</v>
      </c>
      <c r="E91" s="48" t="str">
        <f>IF(OR(MONTH(D91)=9, MONTH(D91)=10, MONTH(D91)=11), "Spring",
 IF(OR(MONTH(D91)=12, MONTH(D91)=1, MONTH(D91)=2), "Summer",
 IF(OR(MONTH(D91)=3, MONTH(D91)=4, MONTH(D91)=5), "Autumn",
 IF(OR(MONTH(D91)=6, MONTH(D91)=7, MONTH(D91)=8), "Winter", "Unknown"
))))</f>
        <v>Winter</v>
      </c>
      <c r="F91" s="15">
        <v>0</v>
      </c>
      <c r="G91" s="46">
        <f>J91+S91</f>
        <v>136</v>
      </c>
      <c r="H91" s="71">
        <f>T91-I91</f>
        <v>183.49962664277177</v>
      </c>
      <c r="I91" s="15">
        <v>74</v>
      </c>
      <c r="J91" s="15">
        <v>62</v>
      </c>
      <c r="K91" s="71">
        <f>MONTH(D91)</f>
        <v>6</v>
      </c>
      <c r="L91" s="46">
        <f t="shared" si="3"/>
        <v>1</v>
      </c>
      <c r="M91" s="46">
        <f t="shared" si="4"/>
        <v>0</v>
      </c>
      <c r="N91" s="46">
        <f t="shared" si="5"/>
        <v>0</v>
      </c>
      <c r="O91" s="46">
        <f>IF($E91="Spring", 1, 0)</f>
        <v>0</v>
      </c>
      <c r="P91" s="46">
        <f>IF($E91="Summer", 1, 0)</f>
        <v>0</v>
      </c>
      <c r="Q91" s="46">
        <f>IF($E91="Autumn",1,0)</f>
        <v>0</v>
      </c>
      <c r="R91" s="46">
        <f>IF($E91="Winter", 1, 0)</f>
        <v>1</v>
      </c>
      <c r="S91" s="15">
        <v>74</v>
      </c>
      <c r="T91" s="71">
        <v>257.49962664277177</v>
      </c>
      <c r="U91" s="51">
        <f>F91/((J91+I91)/2)</f>
        <v>0</v>
      </c>
      <c r="V91" s="15">
        <v>19</v>
      </c>
      <c r="W91" s="15">
        <v>0.92750475285138401</v>
      </c>
      <c r="X91" s="52">
        <v>68.159526396595098</v>
      </c>
      <c r="Y91" s="70">
        <v>1287</v>
      </c>
    </row>
    <row r="92" spans="1:25" x14ac:dyDescent="0.15">
      <c r="A92" s="15">
        <v>1</v>
      </c>
      <c r="B92" s="15" t="s">
        <v>10</v>
      </c>
      <c r="C92" s="46" t="str">
        <f>IF(B92="Smartphone", "Electronics", IF(B92="Laptop", "Computing", IF(B92="Tablet", "Mobile", IF(B92="Smartwatch", "Wearables", IF(B92="Headphones", "Audio", "Photography")))))</f>
        <v>Electronics</v>
      </c>
      <c r="D92" s="47">
        <v>44378</v>
      </c>
      <c r="E92" s="48" t="str">
        <f>IF(OR(MONTH(D92)=9, MONTH(D92)=10, MONTH(D92)=11), "Spring",
 IF(OR(MONTH(D92)=12, MONTH(D92)=1, MONTH(D92)=2), "Summer",
 IF(OR(MONTH(D92)=3, MONTH(D92)=4, MONTH(D92)=5), "Autumn",
 IF(OR(MONTH(D92)=6, MONTH(D92)=7, MONTH(D92)=8), "Winter", "Unknown"
))))</f>
        <v>Winter</v>
      </c>
      <c r="F92" s="15">
        <v>277</v>
      </c>
      <c r="G92" s="46">
        <f>J92+S92</f>
        <v>352</v>
      </c>
      <c r="H92" s="71">
        <f>T92-I92</f>
        <v>305.04485264834722</v>
      </c>
      <c r="I92" s="15">
        <v>53</v>
      </c>
      <c r="J92" s="15">
        <v>22</v>
      </c>
      <c r="K92" s="71">
        <f>MONTH(D92)</f>
        <v>7</v>
      </c>
      <c r="L92" s="46">
        <f t="shared" si="3"/>
        <v>0</v>
      </c>
      <c r="M92" s="46">
        <f t="shared" si="4"/>
        <v>1</v>
      </c>
      <c r="N92" s="46">
        <f t="shared" si="5"/>
        <v>0</v>
      </c>
      <c r="O92" s="46">
        <f>IF($E92="Spring", 1, 0)</f>
        <v>0</v>
      </c>
      <c r="P92" s="46">
        <f>IF($E92="Summer", 1, 0)</f>
        <v>0</v>
      </c>
      <c r="Q92" s="46">
        <f>IF($E92="Autumn",1,0)</f>
        <v>0</v>
      </c>
      <c r="R92" s="46">
        <f>IF($E92="Winter", 1, 0)</f>
        <v>1</v>
      </c>
      <c r="S92" s="15">
        <v>330</v>
      </c>
      <c r="T92" s="71">
        <v>358.04485264834722</v>
      </c>
      <c r="U92" s="51">
        <f>F92/((J92+I92)/2)</f>
        <v>7.3866666666666667</v>
      </c>
      <c r="V92" s="15">
        <v>13</v>
      </c>
      <c r="W92" s="15">
        <v>0.87100314820435298</v>
      </c>
      <c r="X92" s="52">
        <v>53.884403269264602</v>
      </c>
      <c r="Y92" s="70">
        <v>856</v>
      </c>
    </row>
    <row r="93" spans="1:25" x14ac:dyDescent="0.15">
      <c r="A93" s="15">
        <v>4</v>
      </c>
      <c r="B93" s="15" t="s">
        <v>13</v>
      </c>
      <c r="C93" s="46" t="str">
        <f>IF(B93="Smartphone", "Electronics", IF(B93="Laptop", "Computing", IF(B93="Tablet", "Mobile", IF(B93="Smartwatch", "Wearables", IF(B93="Headphones", "Audio", "Photography")))))</f>
        <v>Wearables</v>
      </c>
      <c r="D93" s="47">
        <v>44378</v>
      </c>
      <c r="E93" s="48" t="str">
        <f>IF(OR(MONTH(D93)=9, MONTH(D93)=10, MONTH(D93)=11), "Spring",
 IF(OR(MONTH(D93)=12, MONTH(D93)=1, MONTH(D93)=2), "Summer",
 IF(OR(MONTH(D93)=3, MONTH(D93)=4, MONTH(D93)=5), "Autumn",
 IF(OR(MONTH(D93)=6, MONTH(D93)=7, MONTH(D93)=8), "Winter", "Unknown"
))))</f>
        <v>Winter</v>
      </c>
      <c r="F93" s="15">
        <v>285</v>
      </c>
      <c r="G93" s="46">
        <f>J93+S93</f>
        <v>420</v>
      </c>
      <c r="H93" s="71">
        <f>T93-I93</f>
        <v>310.12350657108726</v>
      </c>
      <c r="I93" s="15">
        <v>53</v>
      </c>
      <c r="J93" s="15">
        <v>82</v>
      </c>
      <c r="K93" s="71">
        <f>MONTH(D93)</f>
        <v>7</v>
      </c>
      <c r="L93" s="46">
        <f t="shared" si="3"/>
        <v>0</v>
      </c>
      <c r="M93" s="46">
        <f t="shared" si="4"/>
        <v>0</v>
      </c>
      <c r="N93" s="46">
        <f t="shared" si="5"/>
        <v>1</v>
      </c>
      <c r="O93" s="46">
        <f>IF($E93="Spring", 1, 0)</f>
        <v>0</v>
      </c>
      <c r="P93" s="46">
        <f>IF($E93="Summer", 1, 0)</f>
        <v>0</v>
      </c>
      <c r="Q93" s="46">
        <f>IF($E93="Autumn",1,0)</f>
        <v>0</v>
      </c>
      <c r="R93" s="46">
        <f>IF($E93="Winter", 1, 0)</f>
        <v>1</v>
      </c>
      <c r="S93" s="15">
        <v>338</v>
      </c>
      <c r="T93" s="71">
        <v>363.12350657108726</v>
      </c>
      <c r="U93" s="51">
        <f>F93/((J93+I93)/2)</f>
        <v>4.2222222222222223</v>
      </c>
      <c r="V93" s="15">
        <v>17</v>
      </c>
      <c r="W93" s="15">
        <v>0.85980114631796301</v>
      </c>
      <c r="X93" s="52">
        <v>58.6740960577376</v>
      </c>
      <c r="Y93" s="70">
        <v>610</v>
      </c>
    </row>
    <row r="94" spans="1:25" x14ac:dyDescent="0.15">
      <c r="A94" s="15">
        <v>5</v>
      </c>
      <c r="B94" s="15" t="s">
        <v>14</v>
      </c>
      <c r="C94" s="46" t="str">
        <f>IF(B94="Smartphone", "Electronics", IF(B94="Laptop", "Computing", IF(B94="Tablet", "Mobile", IF(B94="Smartwatch", "Wearables", IF(B94="Headphones", "Audio", "Photography")))))</f>
        <v>Audio</v>
      </c>
      <c r="D94" s="47">
        <v>44378</v>
      </c>
      <c r="E94" s="48" t="str">
        <f>IF(OR(MONTH(D94)=9, MONTH(D94)=10, MONTH(D94)=11), "Spring",
 IF(OR(MONTH(D94)=12, MONTH(D94)=1, MONTH(D94)=2), "Summer",
 IF(OR(MONTH(D94)=3, MONTH(D94)=4, MONTH(D94)=5), "Autumn",
 IF(OR(MONTH(D94)=6, MONTH(D94)=7, MONTH(D94)=8), "Winter", "Unknown"
))))</f>
        <v>Winter</v>
      </c>
      <c r="F94" s="15">
        <v>165</v>
      </c>
      <c r="G94" s="46">
        <f>J94+S94</f>
        <v>246</v>
      </c>
      <c r="H94" s="71">
        <f>T94-I94</f>
        <v>209.49962664277177</v>
      </c>
      <c r="I94" s="15">
        <v>48</v>
      </c>
      <c r="J94" s="15">
        <v>33</v>
      </c>
      <c r="K94" s="71">
        <f>MONTH(D94)</f>
        <v>7</v>
      </c>
      <c r="L94" s="46">
        <f t="shared" si="3"/>
        <v>1</v>
      </c>
      <c r="M94" s="46">
        <f t="shared" si="4"/>
        <v>0</v>
      </c>
      <c r="N94" s="46">
        <f t="shared" si="5"/>
        <v>0</v>
      </c>
      <c r="O94" s="46">
        <f>IF($E94="Spring", 1, 0)</f>
        <v>0</v>
      </c>
      <c r="P94" s="46">
        <f>IF($E94="Summer", 1, 0)</f>
        <v>0</v>
      </c>
      <c r="Q94" s="46">
        <f>IF($E94="Autumn",1,0)</f>
        <v>0</v>
      </c>
      <c r="R94" s="46">
        <f>IF($E94="Winter", 1, 0)</f>
        <v>1</v>
      </c>
      <c r="S94" s="15">
        <v>213</v>
      </c>
      <c r="T94" s="71">
        <v>257.49962664277177</v>
      </c>
      <c r="U94" s="51">
        <f>F94/((J94+I94)/2)</f>
        <v>4.0740740740740744</v>
      </c>
      <c r="V94" s="15">
        <v>23</v>
      </c>
      <c r="W94" s="15">
        <v>1</v>
      </c>
      <c r="X94" s="52">
        <v>69.658116504079999</v>
      </c>
      <c r="Y94" s="70">
        <v>1422</v>
      </c>
    </row>
    <row r="95" spans="1:25" x14ac:dyDescent="0.15">
      <c r="A95" s="15">
        <v>1</v>
      </c>
      <c r="B95" s="15" t="s">
        <v>10</v>
      </c>
      <c r="C95" s="46" t="str">
        <f>IF(B95="Smartphone", "Electronics", IF(B95="Laptop", "Computing", IF(B95="Tablet", "Mobile", IF(B95="Smartwatch", "Wearables", IF(B95="Headphones", "Audio", "Photography")))))</f>
        <v>Electronics</v>
      </c>
      <c r="D95" s="47">
        <v>44409</v>
      </c>
      <c r="E95" s="48" t="str">
        <f>IF(OR(MONTH(D95)=9, MONTH(D95)=10, MONTH(D95)=11), "Spring",
 IF(OR(MONTH(D95)=12, MONTH(D95)=1, MONTH(D95)=2), "Summer",
 IF(OR(MONTH(D95)=3, MONTH(D95)=4, MONTH(D95)=5), "Autumn",
 IF(OR(MONTH(D95)=6, MONTH(D95)=7, MONTH(D95)=8), "Winter", "Unknown"
))))</f>
        <v>Winter</v>
      </c>
      <c r="F95" s="15">
        <v>304</v>
      </c>
      <c r="G95" s="46">
        <f>J95+S95</f>
        <v>412</v>
      </c>
      <c r="H95" s="71">
        <f>T95-I95</f>
        <v>343.04485264834722</v>
      </c>
      <c r="I95" s="15">
        <v>15</v>
      </c>
      <c r="J95" s="15">
        <v>93</v>
      </c>
      <c r="K95" s="71">
        <f>MONTH(D95)</f>
        <v>8</v>
      </c>
      <c r="L95" s="46">
        <f t="shared" si="3"/>
        <v>0</v>
      </c>
      <c r="M95" s="46">
        <f t="shared" si="4"/>
        <v>1</v>
      </c>
      <c r="N95" s="46">
        <f t="shared" si="5"/>
        <v>0</v>
      </c>
      <c r="O95" s="46">
        <f>IF($E95="Spring", 1, 0)</f>
        <v>0</v>
      </c>
      <c r="P95" s="46">
        <f>IF($E95="Summer", 1, 0)</f>
        <v>0</v>
      </c>
      <c r="Q95" s="46">
        <f>IF($E95="Autumn",1,0)</f>
        <v>0</v>
      </c>
      <c r="R95" s="46">
        <f>IF($E95="Winter", 1, 0)</f>
        <v>1</v>
      </c>
      <c r="S95" s="15">
        <v>319</v>
      </c>
      <c r="T95" s="71">
        <v>358.04485264834722</v>
      </c>
      <c r="U95" s="51">
        <f>F95/((J95+I95)/2)</f>
        <v>5.6296296296296298</v>
      </c>
      <c r="V95" s="15">
        <v>18</v>
      </c>
      <c r="W95" s="15">
        <v>0.8</v>
      </c>
      <c r="X95" s="52">
        <v>56.5327900111592</v>
      </c>
      <c r="Y95" s="70">
        <v>763</v>
      </c>
    </row>
    <row r="96" spans="1:25" x14ac:dyDescent="0.15">
      <c r="A96" s="15">
        <v>4</v>
      </c>
      <c r="B96" s="15" t="s">
        <v>13</v>
      </c>
      <c r="C96" s="46" t="str">
        <f>IF(B96="Smartphone", "Electronics", IF(B96="Laptop", "Computing", IF(B96="Tablet", "Mobile", IF(B96="Smartwatch", "Wearables", IF(B96="Headphones", "Audio", "Photography")))))</f>
        <v>Wearables</v>
      </c>
      <c r="D96" s="47">
        <v>44409</v>
      </c>
      <c r="E96" s="48" t="str">
        <f>IF(OR(MONTH(D96)=9, MONTH(D96)=10, MONTH(D96)=11), "Spring",
 IF(OR(MONTH(D96)=12, MONTH(D96)=1, MONTH(D96)=2), "Summer",
 IF(OR(MONTH(D96)=3, MONTH(D96)=4, MONTH(D96)=5), "Autumn",
 IF(OR(MONTH(D96)=6, MONTH(D96)=7, MONTH(D96)=8), "Winter", "Unknown"
))))</f>
        <v>Winter</v>
      </c>
      <c r="F96" s="15">
        <v>290</v>
      </c>
      <c r="G96" s="46">
        <f>J96+S96</f>
        <v>399</v>
      </c>
      <c r="H96" s="71">
        <f>T96-I96</f>
        <v>268.12350657108726</v>
      </c>
      <c r="I96" s="15">
        <v>95</v>
      </c>
      <c r="J96" s="15">
        <v>14</v>
      </c>
      <c r="K96" s="71">
        <f>MONTH(D96)</f>
        <v>8</v>
      </c>
      <c r="L96" s="46">
        <f t="shared" si="3"/>
        <v>0</v>
      </c>
      <c r="M96" s="46">
        <f t="shared" si="4"/>
        <v>0</v>
      </c>
      <c r="N96" s="46">
        <f t="shared" si="5"/>
        <v>1</v>
      </c>
      <c r="O96" s="46">
        <f>IF($E96="Spring", 1, 0)</f>
        <v>0</v>
      </c>
      <c r="P96" s="46">
        <f>IF($E96="Summer", 1, 0)</f>
        <v>0</v>
      </c>
      <c r="Q96" s="46">
        <f>IF($E96="Autumn",1,0)</f>
        <v>0</v>
      </c>
      <c r="R96" s="46">
        <f>IF($E96="Winter", 1, 0)</f>
        <v>1</v>
      </c>
      <c r="S96" s="15">
        <v>385</v>
      </c>
      <c r="T96" s="71">
        <v>363.12350657108726</v>
      </c>
      <c r="U96" s="51">
        <f>F96/((J96+I96)/2)</f>
        <v>5.3211009174311927</v>
      </c>
      <c r="V96" s="15">
        <v>27</v>
      </c>
      <c r="W96" s="15">
        <v>0.95558592837620904</v>
      </c>
      <c r="X96" s="52">
        <v>10.190156365221</v>
      </c>
      <c r="Y96" s="70">
        <v>601</v>
      </c>
    </row>
    <row r="97" spans="1:33" x14ac:dyDescent="0.15">
      <c r="A97" s="15">
        <v>5</v>
      </c>
      <c r="B97" s="15" t="s">
        <v>14</v>
      </c>
      <c r="C97" s="46" t="str">
        <f>IF(B97="Smartphone", "Electronics", IF(B97="Laptop", "Computing", IF(B97="Tablet", "Mobile", IF(B97="Smartwatch", "Wearables", IF(B97="Headphones", "Audio", "Photography")))))</f>
        <v>Audio</v>
      </c>
      <c r="D97" s="47">
        <v>44409</v>
      </c>
      <c r="E97" s="48" t="str">
        <f>IF(OR(MONTH(D97)=9, MONTH(D97)=10, MONTH(D97)=11), "Spring",
 IF(OR(MONTH(D97)=12, MONTH(D97)=1, MONTH(D97)=2), "Summer",
 IF(OR(MONTH(D97)=3, MONTH(D97)=4, MONTH(D97)=5), "Autumn",
 IF(OR(MONTH(D97)=6, MONTH(D97)=7, MONTH(D97)=8), "Winter", "Unknown"
))))</f>
        <v>Winter</v>
      </c>
      <c r="F97" s="15">
        <v>324</v>
      </c>
      <c r="G97" s="46">
        <f>J97+S97</f>
        <v>367</v>
      </c>
      <c r="H97" s="71">
        <f>T97-I97</f>
        <v>222.49962664277177</v>
      </c>
      <c r="I97" s="15">
        <v>35</v>
      </c>
      <c r="J97" s="15">
        <v>8</v>
      </c>
      <c r="K97" s="71">
        <f>MONTH(D97)</f>
        <v>8</v>
      </c>
      <c r="L97" s="46">
        <f t="shared" si="3"/>
        <v>1</v>
      </c>
      <c r="M97" s="46">
        <f t="shared" si="4"/>
        <v>0</v>
      </c>
      <c r="N97" s="46">
        <f t="shared" si="5"/>
        <v>0</v>
      </c>
      <c r="O97" s="46">
        <f>IF($E97="Spring", 1, 0)</f>
        <v>0</v>
      </c>
      <c r="P97" s="46">
        <f>IF($E97="Summer", 1, 0)</f>
        <v>0</v>
      </c>
      <c r="Q97" s="46">
        <f>IF($E97="Autumn",1,0)</f>
        <v>0</v>
      </c>
      <c r="R97" s="46">
        <f>IF($E97="Winter", 1, 0)</f>
        <v>1</v>
      </c>
      <c r="S97" s="15">
        <v>359</v>
      </c>
      <c r="T97" s="71">
        <v>257.49962664277177</v>
      </c>
      <c r="U97" s="51">
        <f>F97/((J97+I97)/2)</f>
        <v>15.069767441860465</v>
      </c>
      <c r="V97" s="15">
        <v>28</v>
      </c>
      <c r="W97" s="15">
        <v>0.91440631183638499</v>
      </c>
      <c r="X97" s="52">
        <v>36.476803274869098</v>
      </c>
      <c r="Y97" s="70">
        <v>1292</v>
      </c>
    </row>
    <row r="98" spans="1:33" x14ac:dyDescent="0.15">
      <c r="A98" s="15">
        <v>1</v>
      </c>
      <c r="B98" s="15" t="s">
        <v>10</v>
      </c>
      <c r="C98" s="46" t="str">
        <f>IF(B98="Smartphone", "Electronics", IF(B98="Laptop", "Computing", IF(B98="Tablet", "Mobile", IF(B98="Smartwatch", "Wearables", IF(B98="Headphones", "Audio", "Photography")))))</f>
        <v>Electronics</v>
      </c>
      <c r="D98" s="47">
        <v>44440</v>
      </c>
      <c r="E98" s="48" t="str">
        <f>IF(OR(MONTH(D98)=9, MONTH(D98)=10, MONTH(D98)=11), "Spring",
 IF(OR(MONTH(D98)=12, MONTH(D98)=1, MONTH(D98)=2), "Summer",
 IF(OR(MONTH(D98)=3, MONTH(D98)=4, MONTH(D98)=5), "Autumn",
 IF(OR(MONTH(D98)=6, MONTH(D98)=7, MONTH(D98)=8), "Winter", "Unknown"
))))</f>
        <v>Spring</v>
      </c>
      <c r="F98" s="15">
        <v>381</v>
      </c>
      <c r="G98" s="46">
        <f>J98+S98</f>
        <v>519</v>
      </c>
      <c r="H98" s="71">
        <f>T98-I98</f>
        <v>309.04485264834722</v>
      </c>
      <c r="I98" s="15">
        <v>49</v>
      </c>
      <c r="J98" s="15">
        <v>89</v>
      </c>
      <c r="K98" s="71">
        <f>MONTH(D98)</f>
        <v>9</v>
      </c>
      <c r="L98" s="46">
        <f t="shared" si="3"/>
        <v>0</v>
      </c>
      <c r="M98" s="46">
        <f t="shared" si="4"/>
        <v>1</v>
      </c>
      <c r="N98" s="46">
        <f t="shared" si="5"/>
        <v>0</v>
      </c>
      <c r="O98" s="46">
        <f>IF($E98="Spring", 1, 0)</f>
        <v>1</v>
      </c>
      <c r="P98" s="46">
        <f>IF($E98="Summer", 1, 0)</f>
        <v>0</v>
      </c>
      <c r="Q98" s="46">
        <f>IF($E98="Autumn",1,0)</f>
        <v>0</v>
      </c>
      <c r="R98" s="46">
        <f>IF($E98="Winter", 1, 0)</f>
        <v>0</v>
      </c>
      <c r="S98" s="15">
        <v>430</v>
      </c>
      <c r="T98" s="71">
        <v>358.04485264834722</v>
      </c>
      <c r="U98" s="51">
        <f>F98/((J98+I98)/2)</f>
        <v>5.5217391304347823</v>
      </c>
      <c r="V98" s="15">
        <v>15</v>
      </c>
      <c r="W98" s="15">
        <v>0.88568040632516098</v>
      </c>
      <c r="X98" s="52">
        <v>93.759052377770203</v>
      </c>
      <c r="Y98" s="70">
        <v>629</v>
      </c>
    </row>
    <row r="99" spans="1:33" x14ac:dyDescent="0.15">
      <c r="A99" s="15">
        <v>4</v>
      </c>
      <c r="B99" s="15" t="s">
        <v>13</v>
      </c>
      <c r="C99" s="46" t="str">
        <f>IF(B99="Smartphone", "Electronics", IF(B99="Laptop", "Computing", IF(B99="Tablet", "Mobile", IF(B99="Smartwatch", "Wearables", IF(B99="Headphones", "Audio", "Photography")))))</f>
        <v>Wearables</v>
      </c>
      <c r="D99" s="47">
        <v>44440</v>
      </c>
      <c r="E99" s="48" t="str">
        <f>IF(OR(MONTH(D99)=9, MONTH(D99)=10, MONTH(D99)=11), "Spring",
 IF(OR(MONTH(D99)=12, MONTH(D99)=1, MONTH(D99)=2), "Summer",
 IF(OR(MONTH(D99)=3, MONTH(D99)=4, MONTH(D99)=5), "Autumn",
 IF(OR(MONTH(D99)=6, MONTH(D99)=7, MONTH(D99)=8), "Winter", "Unknown"
))))</f>
        <v>Spring</v>
      </c>
      <c r="F99" s="15">
        <v>466</v>
      </c>
      <c r="G99" s="46">
        <f>J99+S99</f>
        <v>475</v>
      </c>
      <c r="H99" s="71">
        <f>T99-I99</f>
        <v>355.12350657108726</v>
      </c>
      <c r="I99" s="15">
        <v>8</v>
      </c>
      <c r="J99" s="15">
        <v>1</v>
      </c>
      <c r="K99" s="71">
        <f>MONTH(D99)</f>
        <v>9</v>
      </c>
      <c r="L99" s="46">
        <f t="shared" si="3"/>
        <v>0</v>
      </c>
      <c r="M99" s="46">
        <f t="shared" si="4"/>
        <v>0</v>
      </c>
      <c r="N99" s="46">
        <f t="shared" si="5"/>
        <v>1</v>
      </c>
      <c r="O99" s="46">
        <f>IF($E99="Spring", 1, 0)</f>
        <v>1</v>
      </c>
      <c r="P99" s="46">
        <f>IF($E99="Summer", 1, 0)</f>
        <v>0</v>
      </c>
      <c r="Q99" s="46">
        <f>IF($E99="Autumn",1,0)</f>
        <v>0</v>
      </c>
      <c r="R99" s="46">
        <f>IF($E99="Winter", 1, 0)</f>
        <v>0</v>
      </c>
      <c r="S99" s="15">
        <v>474</v>
      </c>
      <c r="T99" s="71">
        <v>363.12350657108726</v>
      </c>
      <c r="U99" s="51">
        <f>F99/((J99+I99)/2)</f>
        <v>103.55555555555556</v>
      </c>
      <c r="V99" s="15">
        <v>28</v>
      </c>
      <c r="W99" s="15">
        <v>0.96693108671952199</v>
      </c>
      <c r="X99" s="52">
        <v>46.268139921801001</v>
      </c>
      <c r="Y99" s="70">
        <v>828</v>
      </c>
    </row>
    <row r="100" spans="1:33" x14ac:dyDescent="0.15">
      <c r="A100" s="15">
        <v>5</v>
      </c>
      <c r="B100" s="15" t="s">
        <v>14</v>
      </c>
      <c r="C100" s="46" t="str">
        <f>IF(B100="Smartphone", "Electronics", IF(B100="Laptop", "Computing", IF(B100="Tablet", "Mobile", IF(B100="Smartwatch", "Wearables", IF(B100="Headphones", "Audio", "Photography")))))</f>
        <v>Audio</v>
      </c>
      <c r="D100" s="47">
        <v>44440</v>
      </c>
      <c r="E100" s="48" t="str">
        <f>IF(OR(MONTH(D100)=9, MONTH(D100)=10, MONTH(D100)=11), "Spring",
 IF(OR(MONTH(D100)=12, MONTH(D100)=1, MONTH(D100)=2), "Summer",
 IF(OR(MONTH(D100)=3, MONTH(D100)=4, MONTH(D100)=5), "Autumn",
 IF(OR(MONTH(D100)=6, MONTH(D100)=7, MONTH(D100)=8), "Winter", "Unknown"
))))</f>
        <v>Spring</v>
      </c>
      <c r="F100" s="15">
        <v>425</v>
      </c>
      <c r="G100" s="46">
        <f>J100+S100</f>
        <v>529</v>
      </c>
      <c r="H100" s="71">
        <f>T100-I100</f>
        <v>243.49962664277177</v>
      </c>
      <c r="I100" s="15">
        <v>14</v>
      </c>
      <c r="J100" s="15">
        <v>90</v>
      </c>
      <c r="K100" s="71">
        <f>MONTH(D100)</f>
        <v>9</v>
      </c>
      <c r="L100" s="46">
        <f t="shared" si="3"/>
        <v>1</v>
      </c>
      <c r="M100" s="46">
        <f t="shared" si="4"/>
        <v>0</v>
      </c>
      <c r="N100" s="46">
        <f t="shared" si="5"/>
        <v>0</v>
      </c>
      <c r="O100" s="46">
        <f>IF($E100="Spring", 1, 0)</f>
        <v>1</v>
      </c>
      <c r="P100" s="46">
        <f>IF($E100="Summer", 1, 0)</f>
        <v>0</v>
      </c>
      <c r="Q100" s="46">
        <f>IF($E100="Autumn",1,0)</f>
        <v>0</v>
      </c>
      <c r="R100" s="46">
        <f>IF($E100="Winter", 1, 0)</f>
        <v>0</v>
      </c>
      <c r="S100" s="15">
        <v>439</v>
      </c>
      <c r="T100" s="71">
        <v>257.49962664277177</v>
      </c>
      <c r="U100" s="51">
        <f>F100/((J100+I100)/2)</f>
        <v>8.1730769230769234</v>
      </c>
      <c r="V100" s="15">
        <v>22</v>
      </c>
      <c r="W100" s="15">
        <v>0.85844150570976596</v>
      </c>
      <c r="X100" s="52">
        <v>47.334920398744103</v>
      </c>
      <c r="Y100" s="70">
        <v>1120</v>
      </c>
      <c r="AA100" s="16"/>
    </row>
    <row r="101" spans="1:33" x14ac:dyDescent="0.15">
      <c r="A101" s="15">
        <v>1</v>
      </c>
      <c r="B101" s="15" t="s">
        <v>10</v>
      </c>
      <c r="C101" s="46" t="str">
        <f>IF(B101="Smartphone", "Electronics", IF(B101="Laptop", "Computing", IF(B101="Tablet", "Mobile", IF(B101="Smartwatch", "Wearables", IF(B101="Headphones", "Audio", "Photography")))))</f>
        <v>Electronics</v>
      </c>
      <c r="D101" s="47">
        <v>44470</v>
      </c>
      <c r="E101" s="48" t="str">
        <f>IF(OR(MONTH(D101)=9, MONTH(D101)=10, MONTH(D101)=11), "Spring",
 IF(OR(MONTH(D101)=12, MONTH(D101)=1, MONTH(D101)=2), "Summer",
 IF(OR(MONTH(D101)=3, MONTH(D101)=4, MONTH(D101)=5), "Autumn",
 IF(OR(MONTH(D101)=6, MONTH(D101)=7, MONTH(D101)=8), "Winter", "Unknown"
))))</f>
        <v>Spring</v>
      </c>
      <c r="F101" s="15">
        <v>168</v>
      </c>
      <c r="G101" s="46">
        <f>J101+S101</f>
        <v>248</v>
      </c>
      <c r="H101" s="71">
        <f>T101-I101</f>
        <v>336.04485264834722</v>
      </c>
      <c r="I101" s="15">
        <v>22</v>
      </c>
      <c r="J101" s="15">
        <v>58</v>
      </c>
      <c r="K101" s="71">
        <f>MONTH(D101)</f>
        <v>10</v>
      </c>
      <c r="L101" s="46">
        <f t="shared" si="3"/>
        <v>0</v>
      </c>
      <c r="M101" s="46">
        <f t="shared" si="4"/>
        <v>1</v>
      </c>
      <c r="N101" s="46">
        <f t="shared" si="5"/>
        <v>0</v>
      </c>
      <c r="O101" s="46">
        <f>IF($E101="Spring", 1, 0)</f>
        <v>1</v>
      </c>
      <c r="P101" s="46">
        <f>IF($E101="Summer", 1, 0)</f>
        <v>0</v>
      </c>
      <c r="Q101" s="46">
        <f>IF($E101="Autumn",1,0)</f>
        <v>0</v>
      </c>
      <c r="R101" s="46">
        <f>IF($E101="Winter", 1, 0)</f>
        <v>0</v>
      </c>
      <c r="S101" s="15">
        <v>190</v>
      </c>
      <c r="T101" s="71">
        <v>358.04485264834722</v>
      </c>
      <c r="U101" s="51">
        <f>F101/((J101+I101)/2)</f>
        <v>4.2</v>
      </c>
      <c r="V101" s="15">
        <v>1</v>
      </c>
      <c r="W101" s="15">
        <v>0.91962325705632897</v>
      </c>
      <c r="X101" s="52">
        <v>60.3453059656186</v>
      </c>
      <c r="Y101" s="70">
        <v>564</v>
      </c>
      <c r="AA101" s="16"/>
    </row>
    <row r="102" spans="1:33" ht="15" thickBot="1" x14ac:dyDescent="0.2">
      <c r="A102" s="15">
        <v>4</v>
      </c>
      <c r="B102" s="15" t="s">
        <v>13</v>
      </c>
      <c r="C102" s="46" t="str">
        <f>IF(B102="Smartphone", "Electronics", IF(B102="Laptop", "Computing", IF(B102="Tablet", "Mobile", IF(B102="Smartwatch", "Wearables", IF(B102="Headphones", "Audio", "Photography")))))</f>
        <v>Wearables</v>
      </c>
      <c r="D102" s="47">
        <v>44470</v>
      </c>
      <c r="E102" s="48" t="str">
        <f>IF(OR(MONTH(D102)=9, MONTH(D102)=10, MONTH(D102)=11), "Spring",
 IF(OR(MONTH(D102)=12, MONTH(D102)=1, MONTH(D102)=2), "Summer",
 IF(OR(MONTH(D102)=3, MONTH(D102)=4, MONTH(D102)=5), "Autumn",
 IF(OR(MONTH(D102)=6, MONTH(D102)=7, MONTH(D102)=8), "Winter", "Unknown"
))))</f>
        <v>Spring</v>
      </c>
      <c r="F102" s="15">
        <v>325</v>
      </c>
      <c r="G102" s="46">
        <f>J102+S102</f>
        <v>463</v>
      </c>
      <c r="H102" s="71">
        <f>T102-I102</f>
        <v>234.12350657108726</v>
      </c>
      <c r="I102" s="15">
        <v>129</v>
      </c>
      <c r="J102" s="15">
        <v>9</v>
      </c>
      <c r="K102" s="71">
        <f>MONTH(D102)</f>
        <v>10</v>
      </c>
      <c r="L102" s="46">
        <f t="shared" si="3"/>
        <v>0</v>
      </c>
      <c r="M102" s="46">
        <f t="shared" si="4"/>
        <v>0</v>
      </c>
      <c r="N102" s="46">
        <f t="shared" si="5"/>
        <v>1</v>
      </c>
      <c r="O102" s="46">
        <f>IF($E102="Spring", 1, 0)</f>
        <v>1</v>
      </c>
      <c r="P102" s="46">
        <f>IF($E102="Summer", 1, 0)</f>
        <v>0</v>
      </c>
      <c r="Q102" s="46">
        <f>IF($E102="Autumn",1,0)</f>
        <v>0</v>
      </c>
      <c r="R102" s="46">
        <f>IF($E102="Winter", 1, 0)</f>
        <v>0</v>
      </c>
      <c r="S102" s="15">
        <v>454</v>
      </c>
      <c r="T102" s="71">
        <v>363.12350657108726</v>
      </c>
      <c r="U102" s="51">
        <f>F102/((J102+I102)/2)</f>
        <v>4.7101449275362315</v>
      </c>
      <c r="V102" s="15">
        <v>4</v>
      </c>
      <c r="W102" s="15">
        <v>0.92865660263462402</v>
      </c>
      <c r="X102" s="52">
        <v>38.403486457617298</v>
      </c>
      <c r="Y102" s="70">
        <v>325</v>
      </c>
      <c r="AA102" s="16"/>
    </row>
    <row r="103" spans="1:33" x14ac:dyDescent="0.15">
      <c r="A103" s="15">
        <v>5</v>
      </c>
      <c r="B103" s="15" t="s">
        <v>14</v>
      </c>
      <c r="C103" s="46" t="str">
        <f>IF(B103="Smartphone", "Electronics", IF(B103="Laptop", "Computing", IF(B103="Tablet", "Mobile", IF(B103="Smartwatch", "Wearables", IF(B103="Headphones", "Audio", "Photography")))))</f>
        <v>Audio</v>
      </c>
      <c r="D103" s="47">
        <v>44470</v>
      </c>
      <c r="E103" s="48" t="str">
        <f>IF(OR(MONTH(D103)=9, MONTH(D103)=10, MONTH(D103)=11), "Spring",
 IF(OR(MONTH(D103)=12, MONTH(D103)=1, MONTH(D103)=2), "Summer",
 IF(OR(MONTH(D103)=3, MONTH(D103)=4, MONTH(D103)=5), "Autumn",
 IF(OR(MONTH(D103)=6, MONTH(D103)=7, MONTH(D103)=8), "Winter", "Unknown"
))))</f>
        <v>Spring</v>
      </c>
      <c r="F103" s="15">
        <v>73</v>
      </c>
      <c r="G103" s="46">
        <f>J103+S103</f>
        <v>77</v>
      </c>
      <c r="H103" s="71">
        <f>T103-I103</f>
        <v>256.49962664277177</v>
      </c>
      <c r="I103" s="15">
        <v>1</v>
      </c>
      <c r="J103" s="15">
        <v>3</v>
      </c>
      <c r="K103" s="71">
        <f>MONTH(D103)</f>
        <v>10</v>
      </c>
      <c r="L103" s="46">
        <f t="shared" si="3"/>
        <v>1</v>
      </c>
      <c r="M103" s="46">
        <f t="shared" si="4"/>
        <v>0</v>
      </c>
      <c r="N103" s="46">
        <f t="shared" si="5"/>
        <v>0</v>
      </c>
      <c r="O103" s="46">
        <f>IF($E103="Spring", 1, 0)</f>
        <v>1</v>
      </c>
      <c r="P103" s="46">
        <f>IF($E103="Summer", 1, 0)</f>
        <v>0</v>
      </c>
      <c r="Q103" s="46">
        <f>IF($E103="Autumn",1,0)</f>
        <v>0</v>
      </c>
      <c r="R103" s="46">
        <f>IF($E103="Winter", 1, 0)</f>
        <v>0</v>
      </c>
      <c r="S103" s="15">
        <v>74</v>
      </c>
      <c r="T103" s="71">
        <v>257.49962664277177</v>
      </c>
      <c r="U103" s="51">
        <f>F103/((J103+I103)/2)</f>
        <v>36.5</v>
      </c>
      <c r="V103" s="15">
        <v>20</v>
      </c>
      <c r="W103" s="15">
        <v>0.93364431081587196</v>
      </c>
      <c r="X103" s="52">
        <v>35.008653059620599</v>
      </c>
      <c r="Y103" s="70">
        <v>1775</v>
      </c>
      <c r="AA103" s="80" t="s">
        <v>110</v>
      </c>
      <c r="AB103" s="81" t="s">
        <v>111</v>
      </c>
      <c r="AC103" s="82" t="s">
        <v>112</v>
      </c>
    </row>
    <row r="104" spans="1:33" x14ac:dyDescent="0.15">
      <c r="A104" s="15">
        <v>1</v>
      </c>
      <c r="B104" s="15" t="s">
        <v>10</v>
      </c>
      <c r="C104" s="46" t="str">
        <f>IF(B104="Smartphone", "Electronics", IF(B104="Laptop", "Computing", IF(B104="Tablet", "Mobile", IF(B104="Smartwatch", "Wearables", IF(B104="Headphones", "Audio", "Photography")))))</f>
        <v>Electronics</v>
      </c>
      <c r="D104" s="47">
        <v>44501</v>
      </c>
      <c r="E104" s="48" t="str">
        <f>IF(OR(MONTH(D104)=9, MONTH(D104)=10, MONTH(D104)=11), "Spring",
 IF(OR(MONTH(D104)=12, MONTH(D104)=1, MONTH(D104)=2), "Summer",
 IF(OR(MONTH(D104)=3, MONTH(D104)=4, MONTH(D104)=5), "Autumn",
 IF(OR(MONTH(D104)=6, MONTH(D104)=7, MONTH(D104)=8), "Winter", "Unknown"
))))</f>
        <v>Spring</v>
      </c>
      <c r="F104" s="15">
        <v>84</v>
      </c>
      <c r="G104" s="46">
        <f>J104+S104</f>
        <v>138</v>
      </c>
      <c r="H104" s="71">
        <f>T104-I104</f>
        <v>325.04485264834722</v>
      </c>
      <c r="I104" s="15">
        <v>33</v>
      </c>
      <c r="J104" s="106">
        <v>21</v>
      </c>
      <c r="K104" s="71">
        <f>MONTH(D104)</f>
        <v>11</v>
      </c>
      <c r="L104" s="46">
        <f t="shared" si="3"/>
        <v>0</v>
      </c>
      <c r="M104" s="46">
        <f t="shared" si="4"/>
        <v>1</v>
      </c>
      <c r="N104" s="46">
        <f t="shared" si="5"/>
        <v>0</v>
      </c>
      <c r="O104" s="46">
        <f>IF($E104="Spring", 1, 0)</f>
        <v>1</v>
      </c>
      <c r="P104" s="46">
        <f>IF($E104="Summer", 1, 0)</f>
        <v>0</v>
      </c>
      <c r="Q104" s="46">
        <f>IF($E104="Autumn",1,0)</f>
        <v>0</v>
      </c>
      <c r="R104" s="46">
        <f>IF($E104="Winter", 1, 0)</f>
        <v>0</v>
      </c>
      <c r="S104" s="15">
        <v>117</v>
      </c>
      <c r="T104" s="71">
        <v>358.04485264834722</v>
      </c>
      <c r="U104" s="51">
        <f>F104/((J104+I104)/2)</f>
        <v>3.1111111111111112</v>
      </c>
      <c r="V104" s="15">
        <v>15</v>
      </c>
      <c r="W104" s="15">
        <v>0.91860843407360404</v>
      </c>
      <c r="X104" s="52">
        <v>86.868711900739399</v>
      </c>
      <c r="Y104" s="70">
        <v>368</v>
      </c>
      <c r="AA104" s="104">
        <f>163.84 - 1.06 * K104 - 1.11 * M104 + 8.45 * O104 - 6.26 * P104 - 5.97 * R104 + 0.03 * S104 - 0.05 * T104 - 0.98 * U104 + 0.03 * V104 - 60.82 * W104 - 0.13 * X104 - 0.03 * Y104</f>
        <v>64.326170971240998</v>
      </c>
      <c r="AB104" s="86">
        <f>J104-AA104</f>
        <v>-43.326170971240998</v>
      </c>
      <c r="AC104" s="88">
        <f>AB104/J104</f>
        <v>-2.0631509986305239</v>
      </c>
    </row>
    <row r="105" spans="1:33" x14ac:dyDescent="0.15">
      <c r="A105" s="15">
        <v>4</v>
      </c>
      <c r="B105" s="15" t="s">
        <v>13</v>
      </c>
      <c r="C105" s="46" t="str">
        <f>IF(B105="Smartphone", "Electronics", IF(B105="Laptop", "Computing", IF(B105="Tablet", "Mobile", IF(B105="Smartwatch", "Wearables", IF(B105="Headphones", "Audio", "Photography")))))</f>
        <v>Wearables</v>
      </c>
      <c r="D105" s="47">
        <v>44501</v>
      </c>
      <c r="E105" s="48" t="str">
        <f>IF(OR(MONTH(D105)=9, MONTH(D105)=10, MONTH(D105)=11), "Spring",
 IF(OR(MONTH(D105)=12, MONTH(D105)=1, MONTH(D105)=2), "Summer",
 IF(OR(MONTH(D105)=3, MONTH(D105)=4, MONTH(D105)=5), "Autumn",
 IF(OR(MONTH(D105)=6, MONTH(D105)=7, MONTH(D105)=8), "Winter", "Unknown"
))))</f>
        <v>Spring</v>
      </c>
      <c r="F105" s="15">
        <v>85</v>
      </c>
      <c r="G105" s="46">
        <f>J105+S105</f>
        <v>107</v>
      </c>
      <c r="H105" s="71">
        <f>T105-I105</f>
        <v>274.12350657108726</v>
      </c>
      <c r="I105" s="15">
        <v>89</v>
      </c>
      <c r="J105" s="106">
        <v>46</v>
      </c>
      <c r="K105" s="71">
        <f>MONTH(D105)</f>
        <v>11</v>
      </c>
      <c r="L105" s="46">
        <f t="shared" si="3"/>
        <v>0</v>
      </c>
      <c r="M105" s="46">
        <f t="shared" si="4"/>
        <v>0</v>
      </c>
      <c r="N105" s="46">
        <f t="shared" si="5"/>
        <v>1</v>
      </c>
      <c r="O105" s="46">
        <f>IF($E105="Spring", 1, 0)</f>
        <v>1</v>
      </c>
      <c r="P105" s="46">
        <f>IF($E105="Summer", 1, 0)</f>
        <v>0</v>
      </c>
      <c r="Q105" s="46">
        <f>IF($E105="Autumn",1,0)</f>
        <v>0</v>
      </c>
      <c r="R105" s="46">
        <f>IF($E105="Winter", 1, 0)</f>
        <v>0</v>
      </c>
      <c r="S105" s="15">
        <v>61</v>
      </c>
      <c r="T105" s="71">
        <v>363.12350657108726</v>
      </c>
      <c r="U105" s="51">
        <f>F105/((J105+I105)/2)</f>
        <v>1.2592592592592593</v>
      </c>
      <c r="V105" s="15">
        <v>6</v>
      </c>
      <c r="W105" s="15">
        <v>0.99823475239844495</v>
      </c>
      <c r="X105" s="52">
        <v>44.038389136708197</v>
      </c>
      <c r="Y105" s="70">
        <v>915</v>
      </c>
      <c r="AA105" s="104">
        <f>163.84 - 1.06 * K105 - 1.11 * M105 + 8.45 * O105 - 6.26 * P105 - 5.97 * R105 + 0.03 * S105 - 0.05 * T105 - 0.98 * U105 + 0.03 * V105 - 60.82 * W105 - 0.13 * X105 - 0.03 * Y105</f>
        <v>49.362122368726091</v>
      </c>
      <c r="AB105" s="86">
        <f>J105-AA105</f>
        <v>-3.3621223687260908</v>
      </c>
      <c r="AC105" s="88">
        <f>AB105/J105</f>
        <v>-7.3089616711436753E-2</v>
      </c>
    </row>
    <row r="106" spans="1:33" x14ac:dyDescent="0.15">
      <c r="A106" s="15">
        <v>5</v>
      </c>
      <c r="B106" s="15" t="s">
        <v>14</v>
      </c>
      <c r="C106" s="46" t="str">
        <f>IF(B106="Smartphone", "Electronics", IF(B106="Laptop", "Computing", IF(B106="Tablet", "Mobile", IF(B106="Smartwatch", "Wearables", IF(B106="Headphones", "Audio", "Photography")))))</f>
        <v>Audio</v>
      </c>
      <c r="D106" s="47">
        <v>44501</v>
      </c>
      <c r="E106" s="48" t="str">
        <f>IF(OR(MONTH(D106)=9, MONTH(D106)=10, MONTH(D106)=11), "Spring",
 IF(OR(MONTH(D106)=12, MONTH(D106)=1, MONTH(D106)=2), "Summer",
 IF(OR(MONTH(D106)=3, MONTH(D106)=4, MONTH(D106)=5), "Autumn",
 IF(OR(MONTH(D106)=6, MONTH(D106)=7, MONTH(D106)=8), "Winter", "Unknown"
))))</f>
        <v>Spring</v>
      </c>
      <c r="F106" s="15">
        <v>290</v>
      </c>
      <c r="G106" s="46">
        <f>J106+S106</f>
        <v>436</v>
      </c>
      <c r="H106" s="71">
        <f>T106-I106</f>
        <v>210.49962664277177</v>
      </c>
      <c r="I106" s="15">
        <v>47</v>
      </c>
      <c r="J106" s="106">
        <v>99</v>
      </c>
      <c r="K106" s="71">
        <f>MONTH(D106)</f>
        <v>11</v>
      </c>
      <c r="L106" s="46">
        <f t="shared" si="3"/>
        <v>1</v>
      </c>
      <c r="M106" s="46">
        <f t="shared" si="4"/>
        <v>0</v>
      </c>
      <c r="N106" s="46">
        <f t="shared" si="5"/>
        <v>0</v>
      </c>
      <c r="O106" s="46">
        <f>IF($E106="Spring", 1, 0)</f>
        <v>1</v>
      </c>
      <c r="P106" s="46">
        <f>IF($E106="Summer", 1, 0)</f>
        <v>0</v>
      </c>
      <c r="Q106" s="46">
        <f>IF($E106="Autumn",1,0)</f>
        <v>0</v>
      </c>
      <c r="R106" s="46">
        <f>IF($E106="Winter", 1, 0)</f>
        <v>0</v>
      </c>
      <c r="S106" s="15">
        <v>337</v>
      </c>
      <c r="T106" s="71">
        <v>257.49962664277177</v>
      </c>
      <c r="U106" s="51">
        <f>F106/((J106+I106)/2)</f>
        <v>3.9726027397260273</v>
      </c>
      <c r="V106" s="15">
        <v>15</v>
      </c>
      <c r="W106" s="15">
        <v>0.85959032074747799</v>
      </c>
      <c r="X106" s="52">
        <v>27.6353524234245</v>
      </c>
      <c r="Y106" s="70">
        <v>1741</v>
      </c>
      <c r="AA106" s="104">
        <f>163.84 - 1.06 * K106 - 1.11 * M106 + 8.45 * O106 - 6.26 * P106 - 5.97 * R106 + 0.03 * S106 - 0.05 * T106 - 0.98 * U106 + 0.03 * V106 - 60.82 * W106 - 0.13 * X106 - 0.03 * Y106</f>
        <v>46.318988860023119</v>
      </c>
      <c r="AB106" s="86">
        <f>J106-AA106</f>
        <v>52.681011139976881</v>
      </c>
      <c r="AC106" s="88">
        <f>AB106/J106</f>
        <v>0.53213142565633209</v>
      </c>
    </row>
    <row r="107" spans="1:33" x14ac:dyDescent="0.15">
      <c r="A107" s="15">
        <v>1</v>
      </c>
      <c r="B107" s="15" t="s">
        <v>10</v>
      </c>
      <c r="C107" s="46" t="str">
        <f>IF(B107="Smartphone", "Electronics", IF(B107="Laptop", "Computing", IF(B107="Tablet", "Mobile", IF(B107="Smartwatch", "Wearables", IF(B107="Headphones", "Audio", "Photography")))))</f>
        <v>Electronics</v>
      </c>
      <c r="D107" s="47">
        <v>44531</v>
      </c>
      <c r="E107" s="48" t="str">
        <f>IF(OR(MONTH(D107)=9, MONTH(D107)=10, MONTH(D107)=11), "Spring",
 IF(OR(MONTH(D107)=12, MONTH(D107)=1, MONTH(D107)=2), "Summer",
 IF(OR(MONTH(D107)=3, MONTH(D107)=4, MONTH(D107)=5), "Autumn",
 IF(OR(MONTH(D107)=6, MONTH(D107)=7, MONTH(D107)=8), "Winter", "Unknown"
))))</f>
        <v>Summer</v>
      </c>
      <c r="F107" s="15">
        <v>124</v>
      </c>
      <c r="G107" s="46">
        <f>J107+S107</f>
        <v>206</v>
      </c>
      <c r="H107" s="71">
        <f>T107-I107</f>
        <v>337.04485264834722</v>
      </c>
      <c r="I107" s="15">
        <v>21</v>
      </c>
      <c r="J107" s="106">
        <v>61</v>
      </c>
      <c r="K107" s="71">
        <f>MONTH(D107)</f>
        <v>12</v>
      </c>
      <c r="L107" s="46">
        <f t="shared" si="3"/>
        <v>0</v>
      </c>
      <c r="M107" s="46">
        <f t="shared" si="4"/>
        <v>1</v>
      </c>
      <c r="N107" s="46">
        <f t="shared" si="5"/>
        <v>0</v>
      </c>
      <c r="O107" s="46">
        <f>IF($E107="Spring", 1, 0)</f>
        <v>0</v>
      </c>
      <c r="P107" s="46">
        <f>IF($E107="Summer", 1, 0)</f>
        <v>1</v>
      </c>
      <c r="Q107" s="46">
        <f>IF($E107="Autumn",1,0)</f>
        <v>0</v>
      </c>
      <c r="R107" s="46">
        <f>IF($E107="Winter", 1, 0)</f>
        <v>0</v>
      </c>
      <c r="S107" s="15">
        <v>145</v>
      </c>
      <c r="T107" s="71">
        <v>358.04485264834722</v>
      </c>
      <c r="U107" s="51">
        <f>F107/((J107+I107)/2)</f>
        <v>3.024390243902439</v>
      </c>
      <c r="V107" s="15">
        <v>28</v>
      </c>
      <c r="W107" s="15">
        <v>0.90567345183577397</v>
      </c>
      <c r="X107" s="52">
        <v>42.640129015191597</v>
      </c>
      <c r="Y107" s="70">
        <v>538</v>
      </c>
      <c r="AA107" s="104">
        <f>163.84 - 1.06 * K107 - 1.11 * M107 + 8.45 * O107 - 6.26 * P107 - 5.97 * R107 + 0.03 * S107 - 0.05 * T107 - 0.98 * U107 + 0.03 * V107 - 60.82 * W107 - 0.13 * X107 - 0.03 * Y107</f>
        <v>51.307578815931549</v>
      </c>
      <c r="AB107" s="86">
        <f>J107-AA107</f>
        <v>9.6924211840684507</v>
      </c>
      <c r="AC107" s="88">
        <f>AB107/J107</f>
        <v>0.1588921505584992</v>
      </c>
    </row>
    <row r="108" spans="1:33" x14ac:dyDescent="0.15">
      <c r="A108" s="15">
        <v>4</v>
      </c>
      <c r="B108" s="15" t="s">
        <v>13</v>
      </c>
      <c r="C108" s="46" t="str">
        <f>IF(B108="Smartphone", "Electronics", IF(B108="Laptop", "Computing", IF(B108="Tablet", "Mobile", IF(B108="Smartwatch", "Wearables", IF(B108="Headphones", "Audio", "Photography")))))</f>
        <v>Wearables</v>
      </c>
      <c r="D108" s="47">
        <v>44531</v>
      </c>
      <c r="E108" s="48" t="str">
        <f>IF(OR(MONTH(D108)=9, MONTH(D108)=10, MONTH(D108)=11), "Spring",
 IF(OR(MONTH(D108)=12, MONTH(D108)=1, MONTH(D108)=2), "Summer",
 IF(OR(MONTH(D108)=3, MONTH(D108)=4, MONTH(D108)=5), "Autumn",
 IF(OR(MONTH(D108)=6, MONTH(D108)=7, MONTH(D108)=8), "Winter", "Unknown"
))))</f>
        <v>Summer</v>
      </c>
      <c r="F108" s="15">
        <v>132</v>
      </c>
      <c r="G108" s="46">
        <f>J108+S108</f>
        <v>95</v>
      </c>
      <c r="H108" s="71">
        <f>T108-I108</f>
        <v>291.12350657108726</v>
      </c>
      <c r="I108" s="15">
        <v>72</v>
      </c>
      <c r="J108" s="106">
        <v>15</v>
      </c>
      <c r="K108" s="71">
        <f>MONTH(D108)</f>
        <v>12</v>
      </c>
      <c r="L108" s="46">
        <f t="shared" si="3"/>
        <v>0</v>
      </c>
      <c r="M108" s="46">
        <f t="shared" si="4"/>
        <v>0</v>
      </c>
      <c r="N108" s="46">
        <f t="shared" si="5"/>
        <v>1</v>
      </c>
      <c r="O108" s="46">
        <f>IF($E108="Spring", 1, 0)</f>
        <v>0</v>
      </c>
      <c r="P108" s="46">
        <f>IF($E108="Summer", 1, 0)</f>
        <v>1</v>
      </c>
      <c r="Q108" s="46">
        <f>IF($E108="Autumn",1,0)</f>
        <v>0</v>
      </c>
      <c r="R108" s="46">
        <f>IF($E108="Winter", 1, 0)</f>
        <v>0</v>
      </c>
      <c r="S108" s="15">
        <v>80</v>
      </c>
      <c r="T108" s="71">
        <v>363.12350657108726</v>
      </c>
      <c r="U108" s="51">
        <f>F108/((J108+I108)/2)</f>
        <v>3.0344827586206895</v>
      </c>
      <c r="V108" s="15">
        <v>9</v>
      </c>
      <c r="W108" s="15">
        <v>0.92948610463706904</v>
      </c>
      <c r="X108" s="52">
        <v>119.737911352681</v>
      </c>
      <c r="Y108" s="70">
        <v>312</v>
      </c>
      <c r="AA108" s="104">
        <f>163.84 - 1.06 * K108 - 1.11 * M108 + 8.45 * O108 - 6.26 * P108 - 5.97 * R108 + 0.03 * S108 - 0.05 * T108 - 0.98 * U108 + 0.03 * V108 - 60.82 * W108 - 0.13 * X108 - 0.03 * Y108</f>
        <v>44.942758208122321</v>
      </c>
      <c r="AB108" s="86">
        <f>J108-AA108</f>
        <v>-29.942758208122321</v>
      </c>
      <c r="AC108" s="88">
        <f>AB108/J108</f>
        <v>-1.996183880541488</v>
      </c>
    </row>
    <row r="109" spans="1:33" ht="15" thickBot="1" x14ac:dyDescent="0.2">
      <c r="A109" s="15">
        <v>5</v>
      </c>
      <c r="B109" s="15" t="s">
        <v>14</v>
      </c>
      <c r="C109" s="46" t="str">
        <f>IF(B109="Smartphone", "Electronics", IF(B109="Laptop", "Computing", IF(B109="Tablet", "Mobile", IF(B109="Smartwatch", "Wearables", IF(B109="Headphones", "Audio", "Photography")))))</f>
        <v>Audio</v>
      </c>
      <c r="D109" s="47">
        <v>44531</v>
      </c>
      <c r="E109" s="48" t="str">
        <f>IF(OR(MONTH(D109)=9, MONTH(D109)=10, MONTH(D109)=11), "Spring",
 IF(OR(MONTH(D109)=12, MONTH(D109)=1, MONTH(D109)=2), "Summer",
 IF(OR(MONTH(D109)=3, MONTH(D109)=4, MONTH(D109)=5), "Autumn",
 IF(OR(MONTH(D109)=6, MONTH(D109)=7, MONTH(D109)=8), "Winter", "Unknown"
))))</f>
        <v>Summer</v>
      </c>
      <c r="F109" s="15">
        <v>378</v>
      </c>
      <c r="G109" s="46">
        <f>J109+S109</f>
        <v>416</v>
      </c>
      <c r="H109" s="71">
        <f>T109-I109</f>
        <v>252.49962664277177</v>
      </c>
      <c r="I109" s="15">
        <v>5</v>
      </c>
      <c r="J109" s="106">
        <v>33</v>
      </c>
      <c r="K109" s="71">
        <f>MONTH(D109)</f>
        <v>12</v>
      </c>
      <c r="L109" s="46">
        <f t="shared" si="3"/>
        <v>1</v>
      </c>
      <c r="M109" s="46">
        <f t="shared" si="4"/>
        <v>0</v>
      </c>
      <c r="N109" s="46">
        <f t="shared" si="5"/>
        <v>0</v>
      </c>
      <c r="O109" s="46">
        <f>IF($E109="Spring", 1, 0)</f>
        <v>0</v>
      </c>
      <c r="P109" s="46">
        <f>IF($E109="Summer", 1, 0)</f>
        <v>1</v>
      </c>
      <c r="Q109" s="46">
        <f>IF($E109="Autumn",1,0)</f>
        <v>0</v>
      </c>
      <c r="R109" s="46">
        <f>IF($E109="Winter", 1, 0)</f>
        <v>0</v>
      </c>
      <c r="S109" s="15">
        <v>383</v>
      </c>
      <c r="T109" s="71">
        <v>257.49962664277177</v>
      </c>
      <c r="U109" s="51">
        <f>F109/((J109+I109)/2)</f>
        <v>19.894736842105264</v>
      </c>
      <c r="V109" s="15">
        <v>26</v>
      </c>
      <c r="W109" s="15">
        <v>0.853709040842621</v>
      </c>
      <c r="X109" s="52">
        <v>49.521782892855697</v>
      </c>
      <c r="Y109" s="70">
        <v>1179</v>
      </c>
      <c r="AA109" s="105">
        <f>163.84 - 1.06 * K109 - 1.11 * M109 + 8.45 * O109 - 6.26 * P109 - 5.97 * R109 + 0.03 * S109 - 0.05 * T109 - 0.98 * U109 + 0.03 * V109 - 60.82 * W109 - 0.13 * X109 - 0.03 * Y109</f>
        <v>31.027760922478841</v>
      </c>
      <c r="AB109" s="87">
        <f>J109-AA109</f>
        <v>1.9722390775211593</v>
      </c>
      <c r="AC109" s="89">
        <f>AB109/J109</f>
        <v>5.9764820530944222E-2</v>
      </c>
    </row>
    <row r="110" spans="1:33" ht="15" thickBot="1" x14ac:dyDescent="0.2"/>
    <row r="111" spans="1:33" ht="16" x14ac:dyDescent="0.2">
      <c r="A111" s="90" t="s">
        <v>113</v>
      </c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8"/>
      <c r="Y111" s="99"/>
      <c r="AA111" s="90" t="s">
        <v>56</v>
      </c>
      <c r="AB111" s="91"/>
      <c r="AC111" s="91"/>
      <c r="AD111" s="91"/>
      <c r="AE111" s="91"/>
      <c r="AF111" s="99"/>
      <c r="AG111" s="21"/>
    </row>
    <row r="112" spans="1:33" ht="16" x14ac:dyDescent="0.2">
      <c r="A112" s="92">
        <v>1</v>
      </c>
      <c r="B112" s="53" t="s">
        <v>10</v>
      </c>
      <c r="C112" s="53"/>
      <c r="D112" s="100">
        <v>44562</v>
      </c>
      <c r="E112" s="53" t="s">
        <v>52</v>
      </c>
      <c r="F112" s="53"/>
      <c r="G112" s="53"/>
      <c r="H112" s="53"/>
      <c r="I112" s="53"/>
      <c r="J112" s="96">
        <f>163.84 - 1.06 * K112 - 1.11 * M112 + 8.45 * O112 - 6.26 * P112 - 5.97 * R112 + 0.03 * S112 - 0.05 * T112 - 0.98 * U112 + 0.03 * V112 - 60.82 * W112 - 0.13 * X112 - 0.03 * Y112</f>
        <v>57.572470782878057</v>
      </c>
      <c r="K112" s="86">
        <f t="shared" ref="K112:K120" si="6">MONTH(G112)</f>
        <v>1</v>
      </c>
      <c r="L112" s="53">
        <f>IF(C112="Headphones",1,0)</f>
        <v>0</v>
      </c>
      <c r="M112" s="53">
        <f>IF(C112="Smartphone",1,0)</f>
        <v>0</v>
      </c>
      <c r="N112" s="53">
        <f>IF(C112="Smartwatch",1,0)</f>
        <v>0</v>
      </c>
      <c r="O112" s="53">
        <f>IF(I112="Spring", 1, 0)</f>
        <v>0</v>
      </c>
      <c r="P112" s="53">
        <f>IF(I112="Summer", 1, 0)</f>
        <v>0</v>
      </c>
      <c r="Q112" s="53">
        <f>IF(I112="Autumn", 1, 0)</f>
        <v>0</v>
      </c>
      <c r="R112" s="53">
        <f>IF(I112="Winter", 1, 0)</f>
        <v>0</v>
      </c>
      <c r="S112" s="97">
        <f t="shared" ref="S112:W112" si="7">AVERAGE(S2,S$5,S$8)*1.1</f>
        <v>261.43333333333334</v>
      </c>
      <c r="T112" s="97">
        <f t="shared" si="7"/>
        <v>393.84933791318196</v>
      </c>
      <c r="U112" s="97">
        <f t="shared" si="7"/>
        <v>3.2308974358974361</v>
      </c>
      <c r="V112" s="97">
        <f>AVERAGE(V2,V$5,V$8)*1.1</f>
        <v>22.366666666666667</v>
      </c>
      <c r="W112" s="97">
        <f t="shared" si="7"/>
        <v>0.96573474419713212</v>
      </c>
      <c r="X112" s="97">
        <f>AVERAGE(X2,X$5,X$8)*1.1</f>
        <v>215.42332758745445</v>
      </c>
      <c r="Y112" s="101">
        <v>137.39210352815644</v>
      </c>
      <c r="AA112" s="92" t="s">
        <v>115</v>
      </c>
      <c r="AB112" s="53"/>
      <c r="AC112" s="53"/>
      <c r="AD112" s="53"/>
      <c r="AE112" s="53"/>
      <c r="AF112" s="83"/>
      <c r="AG112" s="21"/>
    </row>
    <row r="113" spans="1:33" ht="16" x14ac:dyDescent="0.2">
      <c r="A113" s="92">
        <v>4</v>
      </c>
      <c r="B113" s="53" t="s">
        <v>13</v>
      </c>
      <c r="C113" s="53"/>
      <c r="D113" s="100">
        <v>44562</v>
      </c>
      <c r="E113" s="53" t="s">
        <v>52</v>
      </c>
      <c r="F113" s="53"/>
      <c r="G113" s="53"/>
      <c r="H113" s="53"/>
      <c r="I113" s="53"/>
      <c r="J113" s="96">
        <f t="shared" ref="J113:J120" si="8">163.84 - 1.06 * K113 - 1.11 * M113 + 8.45 * O113 - 6.26 * P113 - 5.97 * R113 + 0.03 * S113 - 0.05 * T113 - 0.98 * U113 + 0.03 * V113 - 60.82 * W113 - 0.13 * X113 - 0.03 * Y113</f>
        <v>57.974035843835836</v>
      </c>
      <c r="K113" s="86">
        <f t="shared" si="6"/>
        <v>1</v>
      </c>
      <c r="L113" s="53">
        <f t="shared" ref="L113:L120" si="9">IF(C113="Headphones",1,0)</f>
        <v>0</v>
      </c>
      <c r="M113" s="53">
        <f t="shared" ref="M113:M120" si="10">IF(C113="Smartphone",1,0)</f>
        <v>0</v>
      </c>
      <c r="N113" s="53">
        <f t="shared" ref="N113:N120" si="11">IF(C113="Smartwatch",1,0)</f>
        <v>0</v>
      </c>
      <c r="O113" s="53">
        <f t="shared" ref="O113:O120" si="12">IF(I113="Spring", 1, 0)</f>
        <v>0</v>
      </c>
      <c r="P113" s="53">
        <f t="shared" ref="P113:P120" si="13">IF(I113="Summer", 1, 0)</f>
        <v>0</v>
      </c>
      <c r="Q113" s="53">
        <f t="shared" ref="Q113:Q120" si="14">IF(I113="Autumn", 1, 0)</f>
        <v>0</v>
      </c>
      <c r="R113" s="53">
        <f t="shared" ref="R113:R120" si="15">IF(I113="Winter", 1, 0)</f>
        <v>0</v>
      </c>
      <c r="S113" s="97">
        <f t="shared" ref="S113:W113" si="16">AVERAGE(S3,S6,S9)*1.1</f>
        <v>325.9666666666667</v>
      </c>
      <c r="T113" s="97">
        <f t="shared" si="16"/>
        <v>399.43585722819603</v>
      </c>
      <c r="U113" s="97">
        <f t="shared" si="16"/>
        <v>3.3824548844146158</v>
      </c>
      <c r="V113" s="97">
        <f t="shared" si="16"/>
        <v>22</v>
      </c>
      <c r="W113" s="97">
        <f t="shared" si="16"/>
        <v>1.0213231208487583</v>
      </c>
      <c r="X113" s="97">
        <f>AVERAGE(X3,X6,X9)*1.1</f>
        <v>148.81720645585767</v>
      </c>
      <c r="Y113" s="101">
        <v>349.8418819581691</v>
      </c>
      <c r="AA113" s="108" t="s">
        <v>118</v>
      </c>
      <c r="AB113" s="53"/>
      <c r="AC113" s="53"/>
      <c r="AD113" s="53"/>
      <c r="AE113" s="53"/>
      <c r="AF113" s="83"/>
      <c r="AG113" s="21"/>
    </row>
    <row r="114" spans="1:33" ht="16" x14ac:dyDescent="0.2">
      <c r="A114" s="92">
        <v>5</v>
      </c>
      <c r="B114" s="53" t="s">
        <v>14</v>
      </c>
      <c r="C114" s="53"/>
      <c r="D114" s="100">
        <v>44562</v>
      </c>
      <c r="E114" s="53" t="s">
        <v>52</v>
      </c>
      <c r="F114" s="53"/>
      <c r="G114" s="53"/>
      <c r="H114" s="53"/>
      <c r="I114" s="53"/>
      <c r="J114" s="96">
        <f t="shared" si="8"/>
        <v>45.093186500009672</v>
      </c>
      <c r="K114" s="86">
        <f t="shared" si="6"/>
        <v>1</v>
      </c>
      <c r="L114" s="53">
        <f t="shared" si="9"/>
        <v>0</v>
      </c>
      <c r="M114" s="53">
        <f t="shared" si="10"/>
        <v>0</v>
      </c>
      <c r="N114" s="53">
        <f t="shared" si="11"/>
        <v>0</v>
      </c>
      <c r="O114" s="53">
        <f t="shared" si="12"/>
        <v>0</v>
      </c>
      <c r="P114" s="53">
        <f t="shared" si="13"/>
        <v>0</v>
      </c>
      <c r="Q114" s="53">
        <f t="shared" si="14"/>
        <v>0</v>
      </c>
      <c r="R114" s="53">
        <f t="shared" si="15"/>
        <v>0</v>
      </c>
      <c r="S114" s="97">
        <f t="shared" ref="S114:W114" si="17">AVERAGE(S4,S7,S10)*1.1</f>
        <v>357.86666666666667</v>
      </c>
      <c r="T114" s="97">
        <f t="shared" si="17"/>
        <v>283.24958930704895</v>
      </c>
      <c r="U114" s="97">
        <f t="shared" si="17"/>
        <v>9.0478949601775707</v>
      </c>
      <c r="V114" s="97">
        <f t="shared" si="17"/>
        <v>20.166666666666668</v>
      </c>
      <c r="W114" s="97">
        <f t="shared" si="17"/>
        <v>0.9724204743291105</v>
      </c>
      <c r="X114" s="97">
        <f>AVERAGE(X4,X7,X10)*1.1</f>
        <v>102.54096412598277</v>
      </c>
      <c r="Y114" s="101">
        <v>1117.515279619653</v>
      </c>
      <c r="AA114" s="92"/>
      <c r="AB114" s="53"/>
      <c r="AC114" s="53"/>
      <c r="AD114" s="53"/>
      <c r="AE114" s="53"/>
      <c r="AF114" s="83"/>
      <c r="AG114" s="21"/>
    </row>
    <row r="115" spans="1:33" x14ac:dyDescent="0.15">
      <c r="A115" s="92">
        <v>1</v>
      </c>
      <c r="B115" s="53" t="s">
        <v>10</v>
      </c>
      <c r="C115" s="53"/>
      <c r="D115" s="100">
        <v>44593</v>
      </c>
      <c r="E115" s="53" t="s">
        <v>52</v>
      </c>
      <c r="F115" s="53"/>
      <c r="G115" s="53"/>
      <c r="H115" s="53"/>
      <c r="I115" s="53"/>
      <c r="J115" s="96">
        <f t="shared" si="8"/>
        <v>67.437278587199899</v>
      </c>
      <c r="K115" s="86">
        <f t="shared" si="6"/>
        <v>1</v>
      </c>
      <c r="L115" s="53">
        <f t="shared" si="9"/>
        <v>0</v>
      </c>
      <c r="M115" s="53">
        <f t="shared" si="10"/>
        <v>0</v>
      </c>
      <c r="N115" s="53">
        <f t="shared" si="11"/>
        <v>0</v>
      </c>
      <c r="O115" s="53">
        <f t="shared" si="12"/>
        <v>0</v>
      </c>
      <c r="P115" s="53">
        <f t="shared" si="13"/>
        <v>0</v>
      </c>
      <c r="Q115" s="53">
        <f t="shared" si="14"/>
        <v>0</v>
      </c>
      <c r="R115" s="53">
        <f t="shared" si="15"/>
        <v>0</v>
      </c>
      <c r="S115" s="97">
        <f t="shared" ref="S115:W115" si="18">AVERAGE(S2,S5,S8)</f>
        <v>237.66666666666666</v>
      </c>
      <c r="T115" s="97">
        <f t="shared" si="18"/>
        <v>358.04485264834722</v>
      </c>
      <c r="U115" s="97">
        <f t="shared" si="18"/>
        <v>2.937179487179487</v>
      </c>
      <c r="V115" s="97">
        <f t="shared" si="18"/>
        <v>20.333333333333332</v>
      </c>
      <c r="W115" s="97">
        <f t="shared" si="18"/>
        <v>0.87794067654284735</v>
      </c>
      <c r="X115" s="97">
        <f>AVERAGE(X2,X5,X8)</f>
        <v>195.83938871586767</v>
      </c>
      <c r="Y115" s="101">
        <v>114.8856800849353</v>
      </c>
      <c r="AA115" s="109"/>
      <c r="AB115" s="107" t="s">
        <v>10</v>
      </c>
      <c r="AC115" s="107" t="s">
        <v>13</v>
      </c>
      <c r="AD115" s="107" t="s">
        <v>14</v>
      </c>
      <c r="AE115" s="53"/>
      <c r="AF115" s="83"/>
      <c r="AG115" s="53"/>
    </row>
    <row r="116" spans="1:33" x14ac:dyDescent="0.15">
      <c r="A116" s="92">
        <v>4</v>
      </c>
      <c r="B116" s="53" t="s">
        <v>13</v>
      </c>
      <c r="C116" s="53"/>
      <c r="D116" s="100">
        <v>44593</v>
      </c>
      <c r="E116" s="53" t="s">
        <v>52</v>
      </c>
      <c r="F116" s="53"/>
      <c r="G116" s="53"/>
      <c r="H116" s="53"/>
      <c r="I116" s="53"/>
      <c r="J116" s="96">
        <f t="shared" si="8"/>
        <v>67.833124128885999</v>
      </c>
      <c r="K116" s="86">
        <f t="shared" si="6"/>
        <v>1</v>
      </c>
      <c r="L116" s="53">
        <f t="shared" si="9"/>
        <v>0</v>
      </c>
      <c r="M116" s="53">
        <f t="shared" si="10"/>
        <v>0</v>
      </c>
      <c r="N116" s="53">
        <f t="shared" si="11"/>
        <v>0</v>
      </c>
      <c r="O116" s="53">
        <f t="shared" si="12"/>
        <v>0</v>
      </c>
      <c r="P116" s="53">
        <f t="shared" si="13"/>
        <v>0</v>
      </c>
      <c r="Q116" s="53">
        <f t="shared" si="14"/>
        <v>0</v>
      </c>
      <c r="R116" s="53">
        <f t="shared" si="15"/>
        <v>0</v>
      </c>
      <c r="S116" s="97">
        <f t="shared" ref="S116:W116" si="19">AVERAGE(S3,S6,S9)</f>
        <v>296.33333333333331</v>
      </c>
      <c r="T116" s="97">
        <f t="shared" si="19"/>
        <v>363.12350657108726</v>
      </c>
      <c r="U116" s="97">
        <f t="shared" si="19"/>
        <v>3.0749589858314685</v>
      </c>
      <c r="V116" s="97">
        <f t="shared" si="19"/>
        <v>20</v>
      </c>
      <c r="W116" s="97">
        <f t="shared" si="19"/>
        <v>0.92847556440796197</v>
      </c>
      <c r="X116" s="97">
        <f>AVERAGE(X3,X6,X9)</f>
        <v>135.28836950532514</v>
      </c>
      <c r="Y116" s="101">
        <v>306.99562911534247</v>
      </c>
      <c r="AA116" s="92" t="s">
        <v>121</v>
      </c>
      <c r="AB116" s="86">
        <f>_xlfn.MAXIFS($Y$112:$Y$120, $B$112:$B$120, "Smartphone")</f>
        <v>137.39210352815644</v>
      </c>
      <c r="AC116" s="86">
        <f>_xlfn.MAXIFS($Y$112:$Y$120, $B$112:$B$120, "Smartwatch")</f>
        <v>349.8418819581691</v>
      </c>
      <c r="AD116" s="86">
        <f>_xlfn.MAXIFS($Y$112:$Y$120, $B$112:$B$120, "Headphones")</f>
        <v>1117.515279619653</v>
      </c>
      <c r="AE116" s="53"/>
      <c r="AF116" s="83"/>
      <c r="AG116" s="53"/>
    </row>
    <row r="117" spans="1:33" x14ac:dyDescent="0.15">
      <c r="A117" s="92">
        <v>5</v>
      </c>
      <c r="B117" s="53" t="s">
        <v>14</v>
      </c>
      <c r="C117" s="53"/>
      <c r="D117" s="100">
        <v>44593</v>
      </c>
      <c r="E117" s="53" t="s">
        <v>52</v>
      </c>
      <c r="F117" s="53"/>
      <c r="G117" s="53"/>
      <c r="H117" s="53"/>
      <c r="I117" s="53"/>
      <c r="J117" s="96">
        <f t="shared" si="8"/>
        <v>54.28627475713219</v>
      </c>
      <c r="K117" s="86">
        <f t="shared" si="6"/>
        <v>1</v>
      </c>
      <c r="L117" s="53">
        <f t="shared" si="9"/>
        <v>0</v>
      </c>
      <c r="M117" s="53">
        <f t="shared" si="10"/>
        <v>0</v>
      </c>
      <c r="N117" s="53">
        <f t="shared" si="11"/>
        <v>0</v>
      </c>
      <c r="O117" s="53">
        <f t="shared" si="12"/>
        <v>0</v>
      </c>
      <c r="P117" s="53">
        <f t="shared" si="13"/>
        <v>0</v>
      </c>
      <c r="Q117" s="53">
        <f t="shared" si="14"/>
        <v>0</v>
      </c>
      <c r="R117" s="53">
        <f t="shared" si="15"/>
        <v>0</v>
      </c>
      <c r="S117" s="97">
        <f t="shared" ref="S117:W117" si="20">AVERAGE(S4,S7,S10)</f>
        <v>325.33333333333331</v>
      </c>
      <c r="T117" s="97">
        <f t="shared" si="20"/>
        <v>257.49962664277177</v>
      </c>
      <c r="U117" s="97">
        <f t="shared" si="20"/>
        <v>8.2253590547068818</v>
      </c>
      <c r="V117" s="97">
        <f t="shared" si="20"/>
        <v>18.333333333333332</v>
      </c>
      <c r="W117" s="97">
        <f t="shared" si="20"/>
        <v>0.88401861302646401</v>
      </c>
      <c r="X117" s="97">
        <f>AVERAGE(X4,X7,X10)</f>
        <v>93.219058296347967</v>
      </c>
      <c r="Y117" s="101">
        <v>1066.1134138107238</v>
      </c>
      <c r="AA117" s="92" t="s">
        <v>122</v>
      </c>
      <c r="AB117" s="86">
        <f>_xlfn.MAXIFS($V$112:$V$120, $B$112:$B$120, "Smartphone")</f>
        <v>22.366666666666667</v>
      </c>
      <c r="AC117" s="86">
        <f>_xlfn.MAXIFS($V$112:$V$120, $B$112:$B$120, "Smartwatch")</f>
        <v>22</v>
      </c>
      <c r="AD117" s="86">
        <f>_xlfn.MAXIFS($V$112:$V$120, $B$112:$B$120, "Headphones")</f>
        <v>20.166666666666668</v>
      </c>
      <c r="AE117" s="53"/>
      <c r="AF117" s="83"/>
      <c r="AG117" s="53"/>
    </row>
    <row r="118" spans="1:33" x14ac:dyDescent="0.15">
      <c r="A118" s="92">
        <v>1</v>
      </c>
      <c r="B118" s="53" t="s">
        <v>10</v>
      </c>
      <c r="C118" s="53"/>
      <c r="D118" s="100">
        <v>44621</v>
      </c>
      <c r="E118" s="53" t="s">
        <v>53</v>
      </c>
      <c r="F118" s="53"/>
      <c r="G118" s="53"/>
      <c r="H118" s="53"/>
      <c r="I118" s="53"/>
      <c r="J118" s="96">
        <f t="shared" si="8"/>
        <v>77.607186391521779</v>
      </c>
      <c r="K118" s="86">
        <f t="shared" si="6"/>
        <v>1</v>
      </c>
      <c r="L118" s="53">
        <f t="shared" si="9"/>
        <v>0</v>
      </c>
      <c r="M118" s="53">
        <f t="shared" si="10"/>
        <v>0</v>
      </c>
      <c r="N118" s="53">
        <f t="shared" si="11"/>
        <v>0</v>
      </c>
      <c r="O118" s="53">
        <f t="shared" si="12"/>
        <v>0</v>
      </c>
      <c r="P118" s="53">
        <f t="shared" si="13"/>
        <v>0</v>
      </c>
      <c r="Q118" s="53">
        <f t="shared" si="14"/>
        <v>0</v>
      </c>
      <c r="R118" s="53">
        <f t="shared" si="15"/>
        <v>0</v>
      </c>
      <c r="S118" s="97">
        <f t="shared" ref="S118:W118" si="21">AVERAGE(S2,S5,S8)*0.9</f>
        <v>213.9</v>
      </c>
      <c r="T118" s="97">
        <f t="shared" si="21"/>
        <v>322.24036738351248</v>
      </c>
      <c r="U118" s="97">
        <f t="shared" si="21"/>
        <v>2.6434615384615383</v>
      </c>
      <c r="V118" s="97">
        <f t="shared" si="21"/>
        <v>18.3</v>
      </c>
      <c r="W118" s="97">
        <f t="shared" si="21"/>
        <v>0.79014660888856258</v>
      </c>
      <c r="X118" s="97">
        <f>AVERAGE(X2,X5,X8)*0.9</f>
        <v>176.25544984428092</v>
      </c>
      <c r="Y118" s="101">
        <v>82.209256641713864</v>
      </c>
      <c r="AA118" s="92" t="s">
        <v>117</v>
      </c>
      <c r="AB118" s="86">
        <f>AVERAGEIFS($Y$112:$Y$120, $B$112:$B$120, "Smartphone")</f>
        <v>111.4956800849352</v>
      </c>
      <c r="AC118" s="86">
        <f>AVERAGEIFS($Y$112:$Y$120, $B$112:$B$120, "Smartwatch")</f>
        <v>321.78896244867582</v>
      </c>
      <c r="AD118" s="86">
        <f>AVERAGEIFS($Y$112:$Y$120, $B$112:$B$120, "Headphones")</f>
        <v>1080.9067471440571</v>
      </c>
      <c r="AE118" s="53"/>
      <c r="AF118" s="83"/>
      <c r="AG118" s="53"/>
    </row>
    <row r="119" spans="1:33" x14ac:dyDescent="0.15">
      <c r="A119" s="92">
        <v>4</v>
      </c>
      <c r="B119" s="53" t="s">
        <v>13</v>
      </c>
      <c r="C119" s="53"/>
      <c r="D119" s="100">
        <v>44621</v>
      </c>
      <c r="E119" s="53" t="s">
        <v>53</v>
      </c>
      <c r="F119" s="53"/>
      <c r="G119" s="53"/>
      <c r="H119" s="53"/>
      <c r="I119" s="53"/>
      <c r="J119" s="96">
        <f t="shared" si="8"/>
        <v>76.360812413936159</v>
      </c>
      <c r="K119" s="86">
        <f t="shared" si="6"/>
        <v>1</v>
      </c>
      <c r="L119" s="53">
        <f t="shared" si="9"/>
        <v>0</v>
      </c>
      <c r="M119" s="53">
        <f t="shared" si="10"/>
        <v>0</v>
      </c>
      <c r="N119" s="53">
        <f t="shared" si="11"/>
        <v>0</v>
      </c>
      <c r="O119" s="53">
        <f t="shared" si="12"/>
        <v>0</v>
      </c>
      <c r="P119" s="53">
        <f t="shared" si="13"/>
        <v>0</v>
      </c>
      <c r="Q119" s="53">
        <f t="shared" si="14"/>
        <v>0</v>
      </c>
      <c r="R119" s="53">
        <f t="shared" si="15"/>
        <v>0</v>
      </c>
      <c r="S119" s="97">
        <f t="shared" ref="S119:W119" si="22">AVERAGE(S3,S6,S9)*0.9</f>
        <v>266.7</v>
      </c>
      <c r="T119" s="97">
        <f t="shared" si="22"/>
        <v>326.81115591397855</v>
      </c>
      <c r="U119" s="97">
        <f t="shared" si="22"/>
        <v>2.7674630872483217</v>
      </c>
      <c r="V119" s="97">
        <f t="shared" si="22"/>
        <v>18</v>
      </c>
      <c r="W119" s="97">
        <f t="shared" si="22"/>
        <v>0.83562800796716574</v>
      </c>
      <c r="X119" s="97">
        <f>AVERAGE(X3,X6,X9)*0.9</f>
        <v>121.75953255479263</v>
      </c>
      <c r="Y119" s="101">
        <v>308.52937627251578</v>
      </c>
      <c r="AA119" s="92" t="s">
        <v>120</v>
      </c>
      <c r="AB119" s="86">
        <f>AVERAGEIFS($V$112:$V$120, $B$112:$B$120, "Smartphone")</f>
        <v>20.333333333333332</v>
      </c>
      <c r="AC119" s="86">
        <f>AVERAGEIFS($V$112:$V$120, $B$112:$B$120, "Smartwatch")</f>
        <v>20</v>
      </c>
      <c r="AD119" s="86">
        <f>AVERAGEIFS($V$112:$V$120, $B$112:$B$120, "Headphones")</f>
        <v>18.333333333333332</v>
      </c>
      <c r="AE119" s="53"/>
      <c r="AF119" s="83"/>
      <c r="AG119" s="53"/>
    </row>
    <row r="120" spans="1:33" ht="15" thickBot="1" x14ac:dyDescent="0.2">
      <c r="A120" s="93">
        <v>5</v>
      </c>
      <c r="B120" s="84" t="s">
        <v>14</v>
      </c>
      <c r="C120" s="84"/>
      <c r="D120" s="95">
        <v>44621</v>
      </c>
      <c r="E120" s="84" t="s">
        <v>53</v>
      </c>
      <c r="F120" s="84"/>
      <c r="G120" s="84"/>
      <c r="H120" s="84"/>
      <c r="I120" s="84"/>
      <c r="J120" s="94">
        <f t="shared" si="8"/>
        <v>62.147963014254678</v>
      </c>
      <c r="K120" s="87">
        <f t="shared" si="6"/>
        <v>1</v>
      </c>
      <c r="L120" s="84">
        <f t="shared" si="9"/>
        <v>0</v>
      </c>
      <c r="M120" s="84">
        <f t="shared" si="10"/>
        <v>0</v>
      </c>
      <c r="N120" s="84">
        <f t="shared" si="11"/>
        <v>0</v>
      </c>
      <c r="O120" s="84">
        <f t="shared" si="12"/>
        <v>0</v>
      </c>
      <c r="P120" s="84">
        <f t="shared" si="13"/>
        <v>0</v>
      </c>
      <c r="Q120" s="84">
        <f t="shared" si="14"/>
        <v>0</v>
      </c>
      <c r="R120" s="84">
        <f t="shared" si="15"/>
        <v>0</v>
      </c>
      <c r="S120" s="102">
        <f t="shared" ref="S120:W120" si="23">AVERAGE(S4,S7,S10)*0.9</f>
        <v>292.8</v>
      </c>
      <c r="T120" s="102">
        <f t="shared" si="23"/>
        <v>231.7496639784946</v>
      </c>
      <c r="U120" s="102">
        <f>AVERAGE(U4,U7,U10)*0.9</f>
        <v>7.4028231492361938</v>
      </c>
      <c r="V120" s="102">
        <f t="shared" si="23"/>
        <v>16.5</v>
      </c>
      <c r="W120" s="102">
        <f t="shared" si="23"/>
        <v>0.79561675172381763</v>
      </c>
      <c r="X120" s="102">
        <f>AVERAGE(X4,X7,X10)*0.9</f>
        <v>83.897152466713166</v>
      </c>
      <c r="Y120" s="103">
        <v>1059.0915480017943</v>
      </c>
      <c r="AA120" s="110" t="s">
        <v>56</v>
      </c>
      <c r="AB120" s="111">
        <f>AB116*AB117-AB118*AB119</f>
        <v>805.92455385275025</v>
      </c>
      <c r="AC120" s="111">
        <f>AC116*AC117-AC118*AC119</f>
        <v>1260.7421541062031</v>
      </c>
      <c r="AD120" s="111">
        <f>AD116*AD117-AD118*AD119</f>
        <v>2719.9344413552899</v>
      </c>
      <c r="AE120" s="84"/>
      <c r="AF120" s="85"/>
      <c r="AG120" s="53"/>
    </row>
    <row r="121" spans="1:33" ht="15" thickBot="1" x14ac:dyDescent="0.2">
      <c r="AG121" s="53"/>
    </row>
    <row r="122" spans="1:33" x14ac:dyDescent="0.15">
      <c r="AA122" s="90" t="s">
        <v>114</v>
      </c>
      <c r="AB122" s="91"/>
      <c r="AC122" s="91"/>
      <c r="AD122" s="91"/>
      <c r="AE122" s="91"/>
      <c r="AF122" s="99"/>
      <c r="AG122" s="53"/>
    </row>
    <row r="123" spans="1:33" x14ac:dyDescent="0.15">
      <c r="AA123" s="92" t="s">
        <v>115</v>
      </c>
      <c r="AB123" s="53"/>
      <c r="AC123" s="53"/>
      <c r="AD123" s="53"/>
      <c r="AE123" s="53"/>
      <c r="AF123" s="83"/>
    </row>
    <row r="124" spans="1:33" x14ac:dyDescent="0.15">
      <c r="AA124" s="108" t="s">
        <v>119</v>
      </c>
      <c r="AB124" s="53"/>
      <c r="AC124" s="53"/>
      <c r="AD124" s="53"/>
      <c r="AE124" s="53"/>
      <c r="AF124" s="83"/>
    </row>
    <row r="125" spans="1:33" x14ac:dyDescent="0.15">
      <c r="AA125" s="92"/>
      <c r="AB125" s="53"/>
      <c r="AC125" s="53"/>
      <c r="AD125" s="53"/>
      <c r="AE125" s="53"/>
      <c r="AF125" s="83"/>
    </row>
    <row r="126" spans="1:33" x14ac:dyDescent="0.15">
      <c r="AA126" s="92"/>
      <c r="AB126" s="107" t="s">
        <v>10</v>
      </c>
      <c r="AC126" s="107" t="s">
        <v>13</v>
      </c>
      <c r="AD126" s="107" t="s">
        <v>14</v>
      </c>
      <c r="AE126" s="53"/>
      <c r="AF126" s="83"/>
    </row>
    <row r="127" spans="1:33" x14ac:dyDescent="0.15">
      <c r="AA127" s="92" t="s">
        <v>117</v>
      </c>
      <c r="AB127" s="86">
        <f>AVERAGEIFS($Y$112:$Y$120, $B$112:$B$120, "Smartphone")</f>
        <v>111.4956800849352</v>
      </c>
      <c r="AC127" s="86">
        <f>AVERAGEIFS($Y$112:$Y$120, $B$112:$B$120, "Smartwatch")</f>
        <v>321.78896244867582</v>
      </c>
      <c r="AD127" s="86">
        <f>AVERAGEIFS($Y$112:$Y$120, $B$112:$B$120, "Headphones")</f>
        <v>1080.9067471440571</v>
      </c>
      <c r="AE127" s="53"/>
      <c r="AF127" s="83"/>
    </row>
    <row r="128" spans="1:33" x14ac:dyDescent="0.15">
      <c r="AA128" s="92" t="s">
        <v>116</v>
      </c>
      <c r="AB128" s="86">
        <f>AB127/31</f>
        <v>3.5966348414495228</v>
      </c>
      <c r="AC128" s="86">
        <f t="shared" ref="AC128:AD128" si="24">AC127/31</f>
        <v>10.380289111247608</v>
      </c>
      <c r="AD128" s="86">
        <f t="shared" si="24"/>
        <v>34.867959585292162</v>
      </c>
      <c r="AE128" s="53"/>
      <c r="AF128" s="83"/>
    </row>
    <row r="129" spans="27:32" x14ac:dyDescent="0.15">
      <c r="AA129" s="92" t="s">
        <v>120</v>
      </c>
      <c r="AB129" s="86">
        <f>AVERAGEIFS($V$112:$V$120, $B$112:$B$120, "Smartphone")</f>
        <v>20.333333333333332</v>
      </c>
      <c r="AC129" s="86">
        <f>AVERAGEIFS($V$112:$V$120, $B$112:$B$120, "Smartwatch")</f>
        <v>20</v>
      </c>
      <c r="AD129" s="86">
        <f>AVERAGEIFS($V$112:$V$120, $B$112:$B$120, "Headphones")</f>
        <v>18.333333333333332</v>
      </c>
      <c r="AE129" s="53"/>
      <c r="AF129" s="83"/>
    </row>
    <row r="130" spans="27:32" x14ac:dyDescent="0.15">
      <c r="AA130" s="92" t="s">
        <v>56</v>
      </c>
      <c r="AB130" s="86">
        <f>AB120</f>
        <v>805.92455385275025</v>
      </c>
      <c r="AC130" s="86">
        <f>AC120</f>
        <v>1260.7421541062031</v>
      </c>
      <c r="AD130" s="86">
        <f>AD120</f>
        <v>2719.9344413552899</v>
      </c>
      <c r="AE130" s="53"/>
      <c r="AF130" s="83"/>
    </row>
    <row r="131" spans="27:32" ht="15" thickBot="1" x14ac:dyDescent="0.2">
      <c r="AA131" s="110" t="s">
        <v>114</v>
      </c>
      <c r="AB131" s="111">
        <f>AB128*AB129+AB130</f>
        <v>879.05612896222385</v>
      </c>
      <c r="AC131" s="111">
        <f t="shared" ref="AC131:AD131" si="25">AC128*AC129+AC130</f>
        <v>1468.3479363311553</v>
      </c>
      <c r="AD131" s="111">
        <f t="shared" si="25"/>
        <v>3359.1803670856461</v>
      </c>
      <c r="AE131" s="84"/>
      <c r="AF131" s="85"/>
    </row>
  </sheetData>
  <autoFilter ref="A1:X109" xr:uid="{00000000-0001-0000-0000-000000000000}">
    <sortState xmlns:xlrd2="http://schemas.microsoft.com/office/spreadsheetml/2017/richdata2" ref="A2:X109">
      <sortCondition ref="D1:D109"/>
    </sortState>
  </autoFilter>
  <dataValidations count="1">
    <dataValidation type="decimal" allowBlank="1" showInputMessage="1" showErrorMessage="1" sqref="W1:W111 W121:W1048576" xr:uid="{17892C2A-7822-C44D-9A38-409151768309}">
      <formula1>0.8</formula1>
      <formula2>1</formula2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7"/>
  <sheetViews>
    <sheetView topLeftCell="C1" zoomScale="170" zoomScaleNormal="170" workbookViewId="0">
      <pane ySplit="1" topLeftCell="A2" activePane="bottomLeft" state="frozen"/>
      <selection pane="bottomLeft" activeCell="J6" sqref="J6"/>
    </sheetView>
  </sheetViews>
  <sheetFormatPr baseColWidth="10" defaultColWidth="8.83203125" defaultRowHeight="15" x14ac:dyDescent="0.2"/>
  <cols>
    <col min="1" max="1" width="3.6640625" customWidth="1"/>
    <col min="2" max="3" width="11.1640625" customWidth="1"/>
    <col min="4" max="5" width="7" customWidth="1"/>
    <col min="6" max="6" width="10.1640625" customWidth="1"/>
    <col min="7" max="7" width="12.5" bestFit="1" customWidth="1"/>
    <col min="9" max="9" width="8.83203125" bestFit="1" customWidth="1"/>
    <col min="10" max="10" width="9.6640625" customWidth="1"/>
    <col min="11" max="12" width="4.5" customWidth="1"/>
    <col min="13" max="13" width="9.6640625" bestFit="1" customWidth="1"/>
    <col min="14" max="14" width="9.1640625" customWidth="1"/>
    <col min="15" max="15" width="20.33203125" bestFit="1" customWidth="1"/>
    <col min="16" max="16" width="8.1640625" style="2" bestFit="1" customWidth="1"/>
  </cols>
  <sheetData>
    <row r="1" spans="1:16" ht="32" x14ac:dyDescent="0.2">
      <c r="A1" s="6" t="s">
        <v>0</v>
      </c>
      <c r="B1" s="6" t="s">
        <v>1</v>
      </c>
      <c r="C1" s="10" t="s">
        <v>31</v>
      </c>
      <c r="D1" s="6" t="s">
        <v>2</v>
      </c>
      <c r="E1" s="10" t="s">
        <v>33</v>
      </c>
      <c r="F1" s="6" t="s">
        <v>3</v>
      </c>
      <c r="G1" s="6" t="s">
        <v>4</v>
      </c>
      <c r="H1" s="11" t="s">
        <v>30</v>
      </c>
      <c r="I1" s="6" t="s">
        <v>5</v>
      </c>
      <c r="J1" s="6" t="s">
        <v>6</v>
      </c>
      <c r="K1" s="33" t="s">
        <v>28</v>
      </c>
      <c r="L1" s="33" t="s">
        <v>29</v>
      </c>
      <c r="M1" s="12" t="s">
        <v>32</v>
      </c>
      <c r="N1" s="9" t="s">
        <v>7</v>
      </c>
      <c r="O1" s="9" t="s">
        <v>8</v>
      </c>
      <c r="P1" s="8" t="s">
        <v>9</v>
      </c>
    </row>
    <row r="2" spans="1:16" x14ac:dyDescent="0.2">
      <c r="A2">
        <v>1</v>
      </c>
      <c r="B2" t="s">
        <v>10</v>
      </c>
      <c r="C2" s="7" t="str">
        <f>IF(B2="Smartphone", "Electronics", IF(B2="Laptop", "Computing", IF(B2="Tablet", "Mobile", IF(B2="Smartwatch", "Wearables", IF(B2="Headphones", "Audio", "Photography")))))</f>
        <v>Electronics</v>
      </c>
      <c r="D2" s="1">
        <v>43466</v>
      </c>
      <c r="E2" s="13" t="str">
        <f>IF(OR(MONTH(D2)=9, MONTH(D2)=10, MONTH(D2)=11), "Spring",
 IF(OR(MONTH(D2)=12, MONTH(D2)=1, MONTH(D2)=2), "Summer",
 IF(OR(MONTH(D2)=3, MONTH(D2)=4, MONTH(D2)=5), "Autumn",
 IF(OR(MONTH(D2)=6, MONTH(D2)=7, MONTH(D2)=8), "Winter", "Unknown"
))))</f>
        <v>Summer</v>
      </c>
      <c r="F2">
        <v>75</v>
      </c>
      <c r="G2">
        <v>60</v>
      </c>
      <c r="H2" s="7">
        <f>F2+G2</f>
        <v>135</v>
      </c>
      <c r="I2">
        <v>0</v>
      </c>
      <c r="J2">
        <v>61</v>
      </c>
      <c r="K2" s="34">
        <f>F2+G2-I2</f>
        <v>135</v>
      </c>
      <c r="L2" s="34">
        <f>J2-K2</f>
        <v>-74</v>
      </c>
      <c r="M2" s="32">
        <f>I2/((F2+J2)/2)</f>
        <v>0</v>
      </c>
      <c r="N2">
        <v>20</v>
      </c>
      <c r="O2">
        <v>0.8</v>
      </c>
      <c r="P2" s="2">
        <v>187.58180521852</v>
      </c>
    </row>
    <row r="3" spans="1:16" x14ac:dyDescent="0.2">
      <c r="A3">
        <v>2</v>
      </c>
      <c r="B3" t="s">
        <v>11</v>
      </c>
      <c r="C3" s="7" t="str">
        <f>IF(B3="Smartphone", "Electronics", IF(B3="Laptop", "Computing", IF(B3="Tablet", "Mobile", IF(B3="Smartwatch", "Wearables", IF(B3="Headphones", "Audio", "Photography")))))</f>
        <v>Computing</v>
      </c>
      <c r="D3" s="1">
        <v>43466</v>
      </c>
      <c r="E3" s="13" t="str">
        <f t="shared" ref="E3:E66" si="0">IF(OR(MONTH(D3)=9, MONTH(D3)=10, MONTH(D3)=11), "Spring",
 IF(OR(MONTH(D3)=12, MONTH(D3)=1, MONTH(D3)=2), "Summer",
 IF(OR(MONTH(D3)=3, MONTH(D3)=4, MONTH(D3)=5), "Autumn",
 IF(OR(MONTH(D3)=6, MONTH(D3)=7, MONTH(D3)=8), "Winter", "Unknown"
))))</f>
        <v>Summer</v>
      </c>
      <c r="F3">
        <v>47</v>
      </c>
      <c r="G3">
        <v>187</v>
      </c>
      <c r="H3" s="7">
        <f>F3+G3</f>
        <v>234</v>
      </c>
      <c r="I3">
        <v>117</v>
      </c>
      <c r="J3">
        <v>70</v>
      </c>
      <c r="K3" s="34">
        <f>F3+G3-I3</f>
        <v>117</v>
      </c>
      <c r="L3" s="34">
        <f>J3-K3</f>
        <v>-47</v>
      </c>
      <c r="M3" s="32">
        <f>I3/((F3+J3)/2)</f>
        <v>2</v>
      </c>
      <c r="N3">
        <v>21</v>
      </c>
      <c r="O3">
        <v>0.91672496008890603</v>
      </c>
      <c r="P3" s="2">
        <v>381.10319774690299</v>
      </c>
    </row>
    <row r="4" spans="1:16" x14ac:dyDescent="0.2">
      <c r="A4">
        <v>3</v>
      </c>
      <c r="B4" t="s">
        <v>12</v>
      </c>
      <c r="C4" s="7" t="str">
        <f>IF(B4="Smartphone", "Electronics", IF(B4="Laptop", "Computing", IF(B4="Tablet", "Mobile", IF(B4="Smartwatch", "Wearables", IF(B4="Headphones", "Audio", "Photography")))))</f>
        <v>Mobile</v>
      </c>
      <c r="D4" s="1">
        <v>43466</v>
      </c>
      <c r="E4" s="13" t="str">
        <f t="shared" si="0"/>
        <v>Summer</v>
      </c>
      <c r="F4">
        <v>92</v>
      </c>
      <c r="G4">
        <v>127</v>
      </c>
      <c r="H4" s="7">
        <f>F4+G4</f>
        <v>219</v>
      </c>
      <c r="I4">
        <v>67</v>
      </c>
      <c r="J4">
        <v>60</v>
      </c>
      <c r="K4" s="34">
        <f>F4+G4-I4</f>
        <v>152</v>
      </c>
      <c r="L4" s="34">
        <f>J4-K4</f>
        <v>-92</v>
      </c>
      <c r="M4" s="32">
        <f>I4/((F4+J4)/2)</f>
        <v>0.88157894736842102</v>
      </c>
      <c r="N4">
        <v>12</v>
      </c>
      <c r="O4">
        <v>0.92182125647465396</v>
      </c>
      <c r="P4" s="2">
        <v>81.324925670598702</v>
      </c>
    </row>
    <row r="5" spans="1:16" x14ac:dyDescent="0.2">
      <c r="A5">
        <v>4</v>
      </c>
      <c r="B5" t="s">
        <v>13</v>
      </c>
      <c r="C5" s="7" t="str">
        <f>IF(B5="Smartphone", "Electronics", IF(B5="Laptop", "Computing", IF(B5="Tablet", "Mobile", IF(B5="Smartwatch", "Wearables", IF(B5="Headphones", "Audio", "Photography")))))</f>
        <v>Wearables</v>
      </c>
      <c r="D5" s="1">
        <v>43466</v>
      </c>
      <c r="E5" s="13" t="str">
        <f t="shared" si="0"/>
        <v>Summer</v>
      </c>
      <c r="F5">
        <v>87</v>
      </c>
      <c r="G5">
        <v>126</v>
      </c>
      <c r="H5" s="7">
        <f>F5+G5</f>
        <v>213</v>
      </c>
      <c r="I5">
        <v>64</v>
      </c>
      <c r="J5">
        <v>62</v>
      </c>
      <c r="K5" s="34">
        <f>F5+G5-I5</f>
        <v>149</v>
      </c>
      <c r="L5" s="34">
        <f>J5-K5</f>
        <v>-87</v>
      </c>
      <c r="M5" s="32">
        <f>I5/((F5+J5)/2)</f>
        <v>0.85906040268456374</v>
      </c>
      <c r="N5">
        <v>19</v>
      </c>
      <c r="O5">
        <v>0.96631710989936104</v>
      </c>
      <c r="P5" s="2">
        <v>261.07931804674803</v>
      </c>
    </row>
    <row r="6" spans="1:16" x14ac:dyDescent="0.2">
      <c r="A6">
        <v>5</v>
      </c>
      <c r="B6" t="s">
        <v>14</v>
      </c>
      <c r="C6" s="7" t="str">
        <f>IF(B6="Smartphone", "Electronics", IF(B6="Laptop", "Computing", IF(B6="Tablet", "Mobile", IF(B6="Smartwatch", "Wearables", IF(B6="Headphones", "Audio", "Photography")))))</f>
        <v>Audio</v>
      </c>
      <c r="D6" s="1">
        <v>43466</v>
      </c>
      <c r="E6" s="13" t="str">
        <f t="shared" si="0"/>
        <v>Summer</v>
      </c>
      <c r="F6">
        <v>7</v>
      </c>
      <c r="G6">
        <v>490</v>
      </c>
      <c r="H6" s="7">
        <f>F6+G6</f>
        <v>497</v>
      </c>
      <c r="I6">
        <v>417</v>
      </c>
      <c r="J6">
        <v>73</v>
      </c>
      <c r="K6" s="34">
        <f>F6+G6-I6</f>
        <v>80</v>
      </c>
      <c r="L6" s="34">
        <f>J6-K6</f>
        <v>-7</v>
      </c>
      <c r="M6" s="32">
        <f>I6/((F6+J6)/2)</f>
        <v>10.425000000000001</v>
      </c>
      <c r="N6">
        <v>14</v>
      </c>
      <c r="O6">
        <v>0.96110616511865199</v>
      </c>
      <c r="P6" s="2">
        <v>128.48638734773601</v>
      </c>
    </row>
    <row r="7" spans="1:16" x14ac:dyDescent="0.2">
      <c r="A7">
        <v>6</v>
      </c>
      <c r="B7" t="s">
        <v>15</v>
      </c>
      <c r="C7" s="7" t="str">
        <f>IF(B7="Smartphone", "Electronics", IF(B7="Laptop", "Computing", IF(B7="Tablet", "Mobile", IF(B7="Smartwatch", "Wearables", IF(B7="Headphones", "Audio", "Photography")))))</f>
        <v>Photography</v>
      </c>
      <c r="D7" s="1">
        <v>43466</v>
      </c>
      <c r="E7" s="13" t="str">
        <f t="shared" si="0"/>
        <v>Summer</v>
      </c>
      <c r="F7">
        <v>35</v>
      </c>
      <c r="G7">
        <v>303</v>
      </c>
      <c r="H7" s="7">
        <f>F7+G7</f>
        <v>338</v>
      </c>
      <c r="I7">
        <v>366</v>
      </c>
      <c r="J7">
        <v>63</v>
      </c>
      <c r="K7" s="34">
        <f>F7+G7-I7</f>
        <v>-28</v>
      </c>
      <c r="L7" s="34">
        <f>J7-K7</f>
        <v>91</v>
      </c>
      <c r="M7" s="32">
        <f>I7/((F7+J7)/2)</f>
        <v>7.4693877551020407</v>
      </c>
      <c r="N7">
        <v>17</v>
      </c>
      <c r="O7">
        <v>0.90555860801447596</v>
      </c>
      <c r="P7" s="2">
        <v>33.746451781235997</v>
      </c>
    </row>
    <row r="8" spans="1:16" x14ac:dyDescent="0.2">
      <c r="A8">
        <v>1</v>
      </c>
      <c r="B8" t="s">
        <v>10</v>
      </c>
      <c r="C8" s="7" t="str">
        <f>IF(B8="Smartphone", "Electronics", IF(B8="Laptop", "Computing", IF(B8="Tablet", "Mobile", IF(B8="Smartwatch", "Wearables", IF(B8="Headphones", "Audio", "Photography")))))</f>
        <v>Electronics</v>
      </c>
      <c r="D8" s="1">
        <v>43497</v>
      </c>
      <c r="E8" s="13" t="str">
        <f t="shared" si="0"/>
        <v>Summer</v>
      </c>
      <c r="F8">
        <v>21</v>
      </c>
      <c r="G8">
        <v>458</v>
      </c>
      <c r="H8" s="7">
        <f>F8+G8</f>
        <v>479</v>
      </c>
      <c r="I8">
        <v>375</v>
      </c>
      <c r="J8">
        <v>83</v>
      </c>
      <c r="K8" s="34">
        <f>F8+G8-I8</f>
        <v>104</v>
      </c>
      <c r="L8" s="34">
        <f>J8-K8</f>
        <v>-21</v>
      </c>
      <c r="M8" s="32">
        <f>I8/((F8+J8)/2)</f>
        <v>7.2115384615384617</v>
      </c>
      <c r="N8">
        <v>24</v>
      </c>
      <c r="O8">
        <v>0.97573184532901802</v>
      </c>
      <c r="P8" s="2">
        <v>107.22032462713101</v>
      </c>
    </row>
    <row r="9" spans="1:16" x14ac:dyDescent="0.2">
      <c r="A9">
        <v>2</v>
      </c>
      <c r="B9" t="s">
        <v>11</v>
      </c>
      <c r="C9" s="7" t="str">
        <f>IF(B9="Smartphone", "Electronics", IF(B9="Laptop", "Computing", IF(B9="Tablet", "Mobile", IF(B9="Smartwatch", "Wearables", IF(B9="Headphones", "Audio", "Photography")))))</f>
        <v>Computing</v>
      </c>
      <c r="D9" s="1">
        <v>43497</v>
      </c>
      <c r="E9" s="13" t="str">
        <f t="shared" si="0"/>
        <v>Summer</v>
      </c>
      <c r="F9">
        <v>62</v>
      </c>
      <c r="G9">
        <v>307</v>
      </c>
      <c r="H9" s="7">
        <f>F9+G9</f>
        <v>369</v>
      </c>
      <c r="I9">
        <v>181</v>
      </c>
      <c r="J9">
        <v>126</v>
      </c>
      <c r="K9" s="34">
        <f>F9+G9-I9</f>
        <v>188</v>
      </c>
      <c r="L9" s="34">
        <f>J9-K9</f>
        <v>-62</v>
      </c>
      <c r="M9" s="32">
        <f>I9/((F9+J9)/2)</f>
        <v>1.925531914893617</v>
      </c>
      <c r="N9">
        <v>21</v>
      </c>
      <c r="O9">
        <v>1</v>
      </c>
      <c r="P9" s="2">
        <v>127.091014638804</v>
      </c>
    </row>
    <row r="10" spans="1:16" x14ac:dyDescent="0.2">
      <c r="A10">
        <v>3</v>
      </c>
      <c r="B10" t="s">
        <v>12</v>
      </c>
      <c r="C10" s="7" t="str">
        <f>IF(B10="Smartphone", "Electronics", IF(B10="Laptop", "Computing", IF(B10="Tablet", "Mobile", IF(B10="Smartwatch", "Wearables", IF(B10="Headphones", "Audio", "Photography")))))</f>
        <v>Mobile</v>
      </c>
      <c r="D10" s="1">
        <v>43497</v>
      </c>
      <c r="E10" s="13" t="str">
        <f t="shared" si="0"/>
        <v>Summer</v>
      </c>
      <c r="F10">
        <v>90</v>
      </c>
      <c r="G10">
        <v>369</v>
      </c>
      <c r="H10" s="7">
        <f>F10+G10</f>
        <v>459</v>
      </c>
      <c r="I10">
        <v>541</v>
      </c>
      <c r="J10">
        <v>2</v>
      </c>
      <c r="K10" s="34">
        <f>F10+G10-I10</f>
        <v>-82</v>
      </c>
      <c r="L10" s="34">
        <f>J10-K10</f>
        <v>84</v>
      </c>
      <c r="M10" s="32">
        <f>I10/((F10+J10)/2)</f>
        <v>11.760869565217391</v>
      </c>
      <c r="N10">
        <v>3</v>
      </c>
      <c r="O10">
        <v>0.90139757276222299</v>
      </c>
      <c r="P10" s="2">
        <v>130.66634615987499</v>
      </c>
    </row>
    <row r="11" spans="1:16" x14ac:dyDescent="0.2">
      <c r="A11">
        <v>4</v>
      </c>
      <c r="B11" t="s">
        <v>13</v>
      </c>
      <c r="C11" s="7" t="str">
        <f>IF(B11="Smartphone", "Electronics", IF(B11="Laptop", "Computing", IF(B11="Tablet", "Mobile", IF(B11="Smartwatch", "Wearables", IF(B11="Headphones", "Audio", "Photography")))))</f>
        <v>Wearables</v>
      </c>
      <c r="D11" s="1">
        <v>43497</v>
      </c>
      <c r="E11" s="13" t="str">
        <f t="shared" si="0"/>
        <v>Summer</v>
      </c>
      <c r="F11">
        <v>72</v>
      </c>
      <c r="G11">
        <v>340</v>
      </c>
      <c r="H11" s="7">
        <f>F11+G11</f>
        <v>412</v>
      </c>
      <c r="I11">
        <v>262</v>
      </c>
      <c r="J11">
        <v>78</v>
      </c>
      <c r="K11" s="34">
        <f>F11+G11-I11</f>
        <v>150</v>
      </c>
      <c r="L11" s="34">
        <f>J11-K11</f>
        <v>-72</v>
      </c>
      <c r="M11" s="32">
        <f>I11/((F11+J11)/2)</f>
        <v>3.4933333333333332</v>
      </c>
      <c r="N11">
        <v>26</v>
      </c>
      <c r="O11">
        <v>0.92090935392338702</v>
      </c>
      <c r="P11" s="2">
        <v>45.175079800691201</v>
      </c>
    </row>
    <row r="12" spans="1:16" x14ac:dyDescent="0.2">
      <c r="A12">
        <v>5</v>
      </c>
      <c r="B12" t="s">
        <v>14</v>
      </c>
      <c r="C12" s="7" t="str">
        <f>IF(B12="Smartphone", "Electronics", IF(B12="Laptop", "Computing", IF(B12="Tablet", "Mobile", IF(B12="Smartwatch", "Wearables", IF(B12="Headphones", "Audio", "Photography")))))</f>
        <v>Audio</v>
      </c>
      <c r="D12" s="1">
        <v>43497</v>
      </c>
      <c r="E12" s="13" t="str">
        <f t="shared" si="0"/>
        <v>Summer</v>
      </c>
      <c r="F12">
        <v>5</v>
      </c>
      <c r="G12">
        <v>312</v>
      </c>
      <c r="H12" s="7">
        <f>F12+G12</f>
        <v>317</v>
      </c>
      <c r="I12">
        <v>271</v>
      </c>
      <c r="J12">
        <v>41</v>
      </c>
      <c r="K12" s="34">
        <f>F12+G12-I12</f>
        <v>46</v>
      </c>
      <c r="L12" s="34">
        <f>J12-K12</f>
        <v>-5</v>
      </c>
      <c r="M12" s="32">
        <f>I12/((F12+J12)/2)</f>
        <v>11.782608695652174</v>
      </c>
      <c r="N12">
        <v>23</v>
      </c>
      <c r="O12">
        <v>0.81163513234447104</v>
      </c>
      <c r="P12" s="2">
        <v>72.220302797218096</v>
      </c>
    </row>
    <row r="13" spans="1:16" x14ac:dyDescent="0.2">
      <c r="A13">
        <v>6</v>
      </c>
      <c r="B13" t="s">
        <v>15</v>
      </c>
      <c r="C13" s="7" t="str">
        <f>IF(B13="Smartphone", "Electronics", IF(B13="Laptop", "Computing", IF(B13="Tablet", "Mobile", IF(B13="Smartwatch", "Wearables", IF(B13="Headphones", "Audio", "Photography")))))</f>
        <v>Photography</v>
      </c>
      <c r="D13" s="1">
        <v>43497</v>
      </c>
      <c r="E13" s="13" t="str">
        <f t="shared" si="0"/>
        <v>Summer</v>
      </c>
      <c r="F13">
        <v>108</v>
      </c>
      <c r="G13">
        <v>134</v>
      </c>
      <c r="H13" s="7">
        <f>F13+G13</f>
        <v>242</v>
      </c>
      <c r="I13">
        <v>57</v>
      </c>
      <c r="J13">
        <v>77</v>
      </c>
      <c r="K13" s="34">
        <f>F13+G13-I13</f>
        <v>185</v>
      </c>
      <c r="L13" s="34">
        <f>J13-K13</f>
        <v>-108</v>
      </c>
      <c r="M13" s="32">
        <f>I13/((F13+J13)/2)</f>
        <v>0.61621621621621625</v>
      </c>
      <c r="N13">
        <v>7</v>
      </c>
      <c r="O13">
        <v>0.82745133687794503</v>
      </c>
      <c r="P13" s="2">
        <v>76.758486458004697</v>
      </c>
    </row>
    <row r="14" spans="1:16" x14ac:dyDescent="0.2">
      <c r="A14">
        <v>1</v>
      </c>
      <c r="B14" t="s">
        <v>10</v>
      </c>
      <c r="C14" s="7" t="str">
        <f>IF(B14="Smartphone", "Electronics", IF(B14="Laptop", "Computing", IF(B14="Tablet", "Mobile", IF(B14="Smartwatch", "Wearables", IF(B14="Headphones", "Audio", "Photography")))))</f>
        <v>Electronics</v>
      </c>
      <c r="D14" s="1">
        <v>43525</v>
      </c>
      <c r="E14" s="13" t="str">
        <f t="shared" si="0"/>
        <v>Autumn</v>
      </c>
      <c r="F14">
        <v>30</v>
      </c>
      <c r="G14">
        <v>195</v>
      </c>
      <c r="H14" s="7">
        <f>F14+G14</f>
        <v>225</v>
      </c>
      <c r="I14">
        <v>100</v>
      </c>
      <c r="J14">
        <v>95</v>
      </c>
      <c r="K14" s="34">
        <f>F14+G14-I14</f>
        <v>125</v>
      </c>
      <c r="L14" s="34">
        <f>J14-K14</f>
        <v>-30</v>
      </c>
      <c r="M14" s="32">
        <f>I14/((F14+J14)/2)</f>
        <v>1.6</v>
      </c>
      <c r="N14">
        <v>17</v>
      </c>
      <c r="O14">
        <v>0.85809018429952399</v>
      </c>
      <c r="P14" s="2">
        <v>292.71603630195199</v>
      </c>
    </row>
    <row r="15" spans="1:16" x14ac:dyDescent="0.2">
      <c r="A15">
        <v>2</v>
      </c>
      <c r="B15" t="s">
        <v>11</v>
      </c>
      <c r="C15" s="7" t="str">
        <f>IF(B15="Smartphone", "Electronics", IF(B15="Laptop", "Computing", IF(B15="Tablet", "Mobile", IF(B15="Smartwatch", "Wearables", IF(B15="Headphones", "Audio", "Photography")))))</f>
        <v>Computing</v>
      </c>
      <c r="D15" s="1">
        <v>43525</v>
      </c>
      <c r="E15" s="13" t="str">
        <f t="shared" si="0"/>
        <v>Autumn</v>
      </c>
      <c r="F15">
        <v>116</v>
      </c>
      <c r="G15">
        <v>372</v>
      </c>
      <c r="H15" s="7">
        <f>F15+G15</f>
        <v>488</v>
      </c>
      <c r="I15">
        <v>533</v>
      </c>
      <c r="J15">
        <v>14</v>
      </c>
      <c r="K15" s="34">
        <f>F15+G15-I15</f>
        <v>-45</v>
      </c>
      <c r="L15" s="34">
        <f>J15-K15</f>
        <v>59</v>
      </c>
      <c r="M15" s="32">
        <f>I15/((F15+J15)/2)</f>
        <v>8.1999999999999993</v>
      </c>
      <c r="N15">
        <v>12</v>
      </c>
      <c r="O15">
        <v>0.87781908477414705</v>
      </c>
      <c r="P15" s="2">
        <v>91.350677796670695</v>
      </c>
    </row>
    <row r="16" spans="1:16" x14ac:dyDescent="0.2">
      <c r="A16">
        <v>3</v>
      </c>
      <c r="B16" t="s">
        <v>12</v>
      </c>
      <c r="C16" s="7" t="str">
        <f>IF(B16="Smartphone", "Electronics", IF(B16="Laptop", "Computing", IF(B16="Tablet", "Mobile", IF(B16="Smartwatch", "Wearables", IF(B16="Headphones", "Audio", "Photography")))))</f>
        <v>Mobile</v>
      </c>
      <c r="D16" s="1">
        <v>43525</v>
      </c>
      <c r="E16" s="13" t="str">
        <f t="shared" si="0"/>
        <v>Autumn</v>
      </c>
      <c r="F16">
        <v>81</v>
      </c>
      <c r="G16">
        <v>91</v>
      </c>
      <c r="H16" s="7">
        <f>F16+G16</f>
        <v>172</v>
      </c>
      <c r="I16">
        <v>88</v>
      </c>
      <c r="J16">
        <v>36</v>
      </c>
      <c r="K16" s="34">
        <f>F16+G16-I16</f>
        <v>84</v>
      </c>
      <c r="L16" s="34">
        <f>J16-K16</f>
        <v>-48</v>
      </c>
      <c r="M16" s="32">
        <f>I16/((F16+J16)/2)</f>
        <v>1.5042735042735043</v>
      </c>
      <c r="N16">
        <v>9</v>
      </c>
      <c r="O16">
        <v>0.845193848763096</v>
      </c>
      <c r="P16" s="2">
        <v>95.479834046315105</v>
      </c>
    </row>
    <row r="17" spans="1:16" x14ac:dyDescent="0.2">
      <c r="A17">
        <v>4</v>
      </c>
      <c r="B17" t="s">
        <v>13</v>
      </c>
      <c r="C17" s="7" t="str">
        <f>IF(B17="Smartphone", "Electronics", IF(B17="Laptop", "Computing", IF(B17="Tablet", "Mobile", IF(B17="Smartwatch", "Wearables", IF(B17="Headphones", "Audio", "Photography")))))</f>
        <v>Wearables</v>
      </c>
      <c r="D17" s="1">
        <v>43525</v>
      </c>
      <c r="E17" s="13" t="str">
        <f t="shared" si="0"/>
        <v>Autumn</v>
      </c>
      <c r="F17">
        <v>89</v>
      </c>
      <c r="G17">
        <v>423</v>
      </c>
      <c r="H17" s="7">
        <f>F17+G17</f>
        <v>512</v>
      </c>
      <c r="I17">
        <v>363</v>
      </c>
      <c r="J17">
        <v>60</v>
      </c>
      <c r="K17" s="34">
        <f>F17+G17-I17</f>
        <v>149</v>
      </c>
      <c r="L17" s="34">
        <f>J17-K17</f>
        <v>-89</v>
      </c>
      <c r="M17" s="32">
        <f>I17/((F17+J17)/2)</f>
        <v>4.8724832214765099</v>
      </c>
      <c r="N17">
        <v>15</v>
      </c>
      <c r="O17">
        <v>0.89820022940113797</v>
      </c>
      <c r="P17" s="2">
        <v>99.6107106685362</v>
      </c>
    </row>
    <row r="18" spans="1:16" x14ac:dyDescent="0.2">
      <c r="A18">
        <v>5</v>
      </c>
      <c r="B18" t="s">
        <v>14</v>
      </c>
      <c r="C18" s="7" t="str">
        <f>IF(B18="Smartphone", "Electronics", IF(B18="Laptop", "Computing", IF(B18="Tablet", "Mobile", IF(B18="Smartwatch", "Wearables", IF(B18="Headphones", "Audio", "Photography")))))</f>
        <v>Audio</v>
      </c>
      <c r="D18" s="1">
        <v>43525</v>
      </c>
      <c r="E18" s="13" t="str">
        <f t="shared" si="0"/>
        <v>Autumn</v>
      </c>
      <c r="F18">
        <v>74</v>
      </c>
      <c r="G18">
        <v>174</v>
      </c>
      <c r="H18" s="7">
        <f>F18+G18</f>
        <v>248</v>
      </c>
      <c r="I18">
        <v>137</v>
      </c>
      <c r="J18">
        <v>37</v>
      </c>
      <c r="K18" s="34">
        <f>F18+G18-I18</f>
        <v>111</v>
      </c>
      <c r="L18" s="34">
        <f>J18-K18</f>
        <v>-74</v>
      </c>
      <c r="M18" s="32">
        <f>I18/((F18+J18)/2)</f>
        <v>2.4684684684684686</v>
      </c>
      <c r="N18">
        <v>18</v>
      </c>
      <c r="O18">
        <v>0.87931454161626899</v>
      </c>
      <c r="P18" s="2">
        <v>78.950484744089806</v>
      </c>
    </row>
    <row r="19" spans="1:16" x14ac:dyDescent="0.2">
      <c r="A19">
        <v>6</v>
      </c>
      <c r="B19" t="s">
        <v>15</v>
      </c>
      <c r="C19" s="7" t="str">
        <f>IF(B19="Smartphone", "Electronics", IF(B19="Laptop", "Computing", IF(B19="Tablet", "Mobile", IF(B19="Smartwatch", "Wearables", IF(B19="Headphones", "Audio", "Photography")))))</f>
        <v>Photography</v>
      </c>
      <c r="D19" s="1">
        <v>43525</v>
      </c>
      <c r="E19" s="13" t="str">
        <f t="shared" si="0"/>
        <v>Autumn</v>
      </c>
      <c r="F19">
        <v>279</v>
      </c>
      <c r="G19">
        <v>216</v>
      </c>
      <c r="H19" s="7">
        <f>F19+G19</f>
        <v>495</v>
      </c>
      <c r="I19">
        <v>153</v>
      </c>
      <c r="J19">
        <v>126</v>
      </c>
      <c r="K19" s="34">
        <f>F19+G19-I19</f>
        <v>342</v>
      </c>
      <c r="L19" s="34">
        <f>J19-K19</f>
        <v>-216</v>
      </c>
      <c r="M19" s="32">
        <f>I19/((F19+J19)/2)</f>
        <v>0.75555555555555554</v>
      </c>
      <c r="N19">
        <v>21</v>
      </c>
      <c r="O19">
        <v>0.95354476156697998</v>
      </c>
      <c r="P19" s="2">
        <v>325.260098483918</v>
      </c>
    </row>
    <row r="20" spans="1:16" x14ac:dyDescent="0.2">
      <c r="A20">
        <v>1</v>
      </c>
      <c r="B20" t="s">
        <v>10</v>
      </c>
      <c r="C20" s="7" t="str">
        <f>IF(B20="Smartphone", "Electronics", IF(B20="Laptop", "Computing", IF(B20="Tablet", "Mobile", IF(B20="Smartwatch", "Wearables", IF(B20="Headphones", "Audio", "Photography")))))</f>
        <v>Electronics</v>
      </c>
      <c r="D20" s="1">
        <v>43556</v>
      </c>
      <c r="E20" s="13" t="str">
        <f t="shared" si="0"/>
        <v>Autumn</v>
      </c>
      <c r="F20">
        <v>80</v>
      </c>
      <c r="G20">
        <v>474</v>
      </c>
      <c r="H20" s="7">
        <f>F20+G20</f>
        <v>554</v>
      </c>
      <c r="I20">
        <v>502</v>
      </c>
      <c r="J20">
        <v>52</v>
      </c>
      <c r="K20" s="34">
        <f>F20+G20-I20</f>
        <v>52</v>
      </c>
      <c r="L20" s="34">
        <f>J20-K20</f>
        <v>0</v>
      </c>
      <c r="M20" s="32">
        <f>I20/((F20+J20)/2)</f>
        <v>7.6060606060606064</v>
      </c>
      <c r="N20">
        <v>13</v>
      </c>
      <c r="O20">
        <v>0.87626131772581395</v>
      </c>
      <c r="P20" s="2">
        <v>86.635475318175693</v>
      </c>
    </row>
    <row r="21" spans="1:16" x14ac:dyDescent="0.2">
      <c r="A21">
        <v>2</v>
      </c>
      <c r="B21" t="s">
        <v>11</v>
      </c>
      <c r="C21" s="7" t="str">
        <f>IF(B21="Smartphone", "Electronics", IF(B21="Laptop", "Computing", IF(B21="Tablet", "Mobile", IF(B21="Smartwatch", "Wearables", IF(B21="Headphones", "Audio", "Photography")))))</f>
        <v>Computing</v>
      </c>
      <c r="D21" s="1">
        <v>43556</v>
      </c>
      <c r="E21" s="13" t="str">
        <f t="shared" si="0"/>
        <v>Autumn</v>
      </c>
      <c r="F21">
        <v>129</v>
      </c>
      <c r="G21">
        <v>290</v>
      </c>
      <c r="H21" s="7">
        <f>F21+G21</f>
        <v>419</v>
      </c>
      <c r="I21">
        <v>328</v>
      </c>
      <c r="J21">
        <v>91</v>
      </c>
      <c r="K21" s="34">
        <f>F21+G21-I21</f>
        <v>91</v>
      </c>
      <c r="L21" s="34">
        <f>J21-K21</f>
        <v>0</v>
      </c>
      <c r="M21" s="32">
        <f>I21/((F21+J21)/2)</f>
        <v>2.9818181818181819</v>
      </c>
      <c r="N21">
        <v>21</v>
      </c>
      <c r="O21">
        <v>0.8</v>
      </c>
      <c r="P21" s="2">
        <v>17.733266829623901</v>
      </c>
    </row>
    <row r="22" spans="1:16" x14ac:dyDescent="0.2">
      <c r="A22">
        <v>3</v>
      </c>
      <c r="B22" t="s">
        <v>12</v>
      </c>
      <c r="C22" s="7" t="str">
        <f>IF(B22="Smartphone", "Electronics", IF(B22="Laptop", "Computing", IF(B22="Tablet", "Mobile", IF(B22="Smartwatch", "Wearables", IF(B22="Headphones", "Audio", "Photography")))))</f>
        <v>Mobile</v>
      </c>
      <c r="D22" s="1">
        <v>43556</v>
      </c>
      <c r="E22" s="13" t="str">
        <f t="shared" si="0"/>
        <v>Autumn</v>
      </c>
      <c r="F22">
        <v>63</v>
      </c>
      <c r="G22">
        <v>268</v>
      </c>
      <c r="H22" s="7">
        <f>F22+G22</f>
        <v>331</v>
      </c>
      <c r="I22">
        <v>303</v>
      </c>
      <c r="J22">
        <v>89</v>
      </c>
      <c r="K22" s="34">
        <f>F22+G22-I22</f>
        <v>28</v>
      </c>
      <c r="L22" s="34">
        <f>J22-K22</f>
        <v>61</v>
      </c>
      <c r="M22" s="32">
        <f>I22/((F22+J22)/2)</f>
        <v>3.986842105263158</v>
      </c>
      <c r="N22">
        <v>8</v>
      </c>
      <c r="O22">
        <v>0.90628755862677102</v>
      </c>
      <c r="P22" s="2">
        <v>86.932992772497698</v>
      </c>
    </row>
    <row r="23" spans="1:16" x14ac:dyDescent="0.2">
      <c r="A23">
        <v>4</v>
      </c>
      <c r="B23" t="s">
        <v>13</v>
      </c>
      <c r="C23" s="7" t="str">
        <f>IF(B23="Smartphone", "Electronics", IF(B23="Laptop", "Computing", IF(B23="Tablet", "Mobile", IF(B23="Smartwatch", "Wearables", IF(B23="Headphones", "Audio", "Photography")))))</f>
        <v>Wearables</v>
      </c>
      <c r="D23" s="1">
        <v>43556</v>
      </c>
      <c r="E23" s="13" t="str">
        <f t="shared" si="0"/>
        <v>Autumn</v>
      </c>
      <c r="F23">
        <v>102</v>
      </c>
      <c r="G23">
        <v>237</v>
      </c>
      <c r="H23" s="7">
        <f>F23+G23</f>
        <v>339</v>
      </c>
      <c r="I23">
        <v>295</v>
      </c>
      <c r="J23">
        <v>44</v>
      </c>
      <c r="K23" s="34">
        <f>F23+G23-I23</f>
        <v>44</v>
      </c>
      <c r="L23" s="34">
        <f>J23-K23</f>
        <v>0</v>
      </c>
      <c r="M23" s="32">
        <f>I23/((F23+J23)/2)</f>
        <v>4.0410958904109586</v>
      </c>
      <c r="N23">
        <v>14</v>
      </c>
      <c r="O23">
        <v>0.899290098779433</v>
      </c>
      <c r="P23" s="2">
        <v>23.663381579939301</v>
      </c>
    </row>
    <row r="24" spans="1:16" x14ac:dyDescent="0.2">
      <c r="A24">
        <v>5</v>
      </c>
      <c r="B24" t="s">
        <v>14</v>
      </c>
      <c r="C24" s="7" t="str">
        <f>IF(B24="Smartphone", "Electronics", IF(B24="Laptop", "Computing", IF(B24="Tablet", "Mobile", IF(B24="Smartwatch", "Wearables", IF(B24="Headphones", "Audio", "Photography")))))</f>
        <v>Audio</v>
      </c>
      <c r="D24" s="1">
        <v>43556</v>
      </c>
      <c r="E24" s="13" t="str">
        <f t="shared" si="0"/>
        <v>Autumn</v>
      </c>
      <c r="F24">
        <v>97</v>
      </c>
      <c r="G24">
        <v>351</v>
      </c>
      <c r="H24" s="7">
        <f>F24+G24</f>
        <v>448</v>
      </c>
      <c r="I24">
        <v>360</v>
      </c>
      <c r="J24">
        <v>88</v>
      </c>
      <c r="K24" s="34">
        <f>F24+G24-I24</f>
        <v>88</v>
      </c>
      <c r="L24" s="34">
        <f>J24-K24</f>
        <v>0</v>
      </c>
      <c r="M24" s="32">
        <f>I24/((F24+J24)/2)</f>
        <v>3.8918918918918921</v>
      </c>
      <c r="N24">
        <v>8</v>
      </c>
      <c r="O24">
        <v>0.85689750592977498</v>
      </c>
      <c r="P24" s="2">
        <v>103.122810948989</v>
      </c>
    </row>
    <row r="25" spans="1:16" x14ac:dyDescent="0.2">
      <c r="A25">
        <v>6</v>
      </c>
      <c r="B25" t="s">
        <v>15</v>
      </c>
      <c r="C25" s="7" t="str">
        <f>IF(B25="Smartphone", "Electronics", IF(B25="Laptop", "Computing", IF(B25="Tablet", "Mobile", IF(B25="Smartwatch", "Wearables", IF(B25="Headphones", "Audio", "Photography")))))</f>
        <v>Photography</v>
      </c>
      <c r="D25" s="1">
        <v>43556</v>
      </c>
      <c r="E25" s="13" t="str">
        <f t="shared" si="0"/>
        <v>Autumn</v>
      </c>
      <c r="F25">
        <v>118</v>
      </c>
      <c r="G25">
        <v>68</v>
      </c>
      <c r="H25" s="7">
        <f>F25+G25</f>
        <v>186</v>
      </c>
      <c r="I25">
        <v>159</v>
      </c>
      <c r="J25">
        <v>27</v>
      </c>
      <c r="K25" s="34">
        <f>F25+G25-I25</f>
        <v>27</v>
      </c>
      <c r="L25" s="34">
        <f>J25-K25</f>
        <v>0</v>
      </c>
      <c r="M25" s="32">
        <f>I25/((F25+J25)/2)</f>
        <v>2.193103448275862</v>
      </c>
      <c r="N25">
        <v>14</v>
      </c>
      <c r="O25">
        <v>0.90474999417485202</v>
      </c>
      <c r="P25" s="2">
        <v>33.634562504475603</v>
      </c>
    </row>
    <row r="26" spans="1:16" x14ac:dyDescent="0.2">
      <c r="A26">
        <v>1</v>
      </c>
      <c r="B26" t="s">
        <v>10</v>
      </c>
      <c r="C26" s="7" t="str">
        <f>IF(B26="Smartphone", "Electronics", IF(B26="Laptop", "Computing", IF(B26="Tablet", "Mobile", IF(B26="Smartwatch", "Wearables", IF(B26="Headphones", "Audio", "Photography")))))</f>
        <v>Electronics</v>
      </c>
      <c r="D26" s="1">
        <v>43586</v>
      </c>
      <c r="E26" s="13" t="str">
        <f t="shared" si="0"/>
        <v>Autumn</v>
      </c>
      <c r="F26">
        <v>38</v>
      </c>
      <c r="G26">
        <v>117</v>
      </c>
      <c r="H26" s="7">
        <f>F26+G26</f>
        <v>155</v>
      </c>
      <c r="I26">
        <v>122</v>
      </c>
      <c r="J26">
        <v>2</v>
      </c>
      <c r="K26" s="34">
        <f>F26+G26-I26</f>
        <v>33</v>
      </c>
      <c r="L26" s="34">
        <f>J26-K26</f>
        <v>-31</v>
      </c>
      <c r="M26" s="32">
        <f>I26/((F26+J26)/2)</f>
        <v>6.1</v>
      </c>
      <c r="N26">
        <v>7</v>
      </c>
      <c r="O26">
        <v>0.84623677058868296</v>
      </c>
      <c r="P26" s="2">
        <v>49.432360037966603</v>
      </c>
    </row>
    <row r="27" spans="1:16" x14ac:dyDescent="0.2">
      <c r="A27">
        <v>2</v>
      </c>
      <c r="B27" t="s">
        <v>11</v>
      </c>
      <c r="C27" s="7" t="str">
        <f>IF(B27="Smartphone", "Electronics", IF(B27="Laptop", "Computing", IF(B27="Tablet", "Mobile", IF(B27="Smartwatch", "Wearables", IF(B27="Headphones", "Audio", "Photography")))))</f>
        <v>Computing</v>
      </c>
      <c r="D27" s="1">
        <v>43586</v>
      </c>
      <c r="E27" s="13" t="str">
        <f t="shared" si="0"/>
        <v>Autumn</v>
      </c>
      <c r="F27">
        <v>51</v>
      </c>
      <c r="G27">
        <v>267</v>
      </c>
      <c r="H27" s="7">
        <f>F27+G27</f>
        <v>318</v>
      </c>
      <c r="I27">
        <v>260</v>
      </c>
      <c r="J27">
        <v>7</v>
      </c>
      <c r="K27" s="34">
        <f>F27+G27-I27</f>
        <v>58</v>
      </c>
      <c r="L27" s="34">
        <f>J27-K27</f>
        <v>-51</v>
      </c>
      <c r="M27" s="32">
        <f>I27/((F27+J27)/2)</f>
        <v>8.9655172413793096</v>
      </c>
      <c r="N27">
        <v>23</v>
      </c>
      <c r="O27">
        <v>0.91649199768116696</v>
      </c>
      <c r="P27" s="2">
        <v>57.012184042034697</v>
      </c>
    </row>
    <row r="28" spans="1:16" x14ac:dyDescent="0.2">
      <c r="A28">
        <v>3</v>
      </c>
      <c r="B28" t="s">
        <v>12</v>
      </c>
      <c r="C28" s="7" t="str">
        <f>IF(B28="Smartphone", "Electronics", IF(B28="Laptop", "Computing", IF(B28="Tablet", "Mobile", IF(B28="Smartwatch", "Wearables", IF(B28="Headphones", "Audio", "Photography")))))</f>
        <v>Mobile</v>
      </c>
      <c r="D28" s="1">
        <v>43586</v>
      </c>
      <c r="E28" s="13" t="str">
        <f t="shared" si="0"/>
        <v>Autumn</v>
      </c>
      <c r="F28">
        <v>50</v>
      </c>
      <c r="G28">
        <v>151</v>
      </c>
      <c r="H28" s="7">
        <f>F28+G28</f>
        <v>201</v>
      </c>
      <c r="I28">
        <v>147</v>
      </c>
      <c r="J28">
        <v>4</v>
      </c>
      <c r="K28" s="34">
        <f>F28+G28-I28</f>
        <v>54</v>
      </c>
      <c r="L28" s="34">
        <f>J28-K28</f>
        <v>-50</v>
      </c>
      <c r="M28" s="32">
        <f>I28/((F28+J28)/2)</f>
        <v>5.4444444444444446</v>
      </c>
      <c r="N28">
        <v>12</v>
      </c>
      <c r="O28">
        <v>1</v>
      </c>
      <c r="P28" s="2">
        <v>86.512363418368295</v>
      </c>
    </row>
    <row r="29" spans="1:16" x14ac:dyDescent="0.2">
      <c r="A29">
        <v>4</v>
      </c>
      <c r="B29" t="s">
        <v>13</v>
      </c>
      <c r="C29" s="7" t="str">
        <f>IF(B29="Smartphone", "Electronics", IF(B29="Laptop", "Computing", IF(B29="Tablet", "Mobile", IF(B29="Smartwatch", "Wearables", IF(B29="Headphones", "Audio", "Photography")))))</f>
        <v>Wearables</v>
      </c>
      <c r="D29" s="1">
        <v>43586</v>
      </c>
      <c r="E29" s="13" t="str">
        <f t="shared" si="0"/>
        <v>Autumn</v>
      </c>
      <c r="F29">
        <v>29</v>
      </c>
      <c r="G29">
        <v>91</v>
      </c>
      <c r="H29" s="7">
        <f>F29+G29</f>
        <v>120</v>
      </c>
      <c r="I29">
        <v>76</v>
      </c>
      <c r="J29">
        <v>15</v>
      </c>
      <c r="K29" s="34">
        <f>F29+G29-I29</f>
        <v>44</v>
      </c>
      <c r="L29" s="34">
        <f>J29-K29</f>
        <v>-29</v>
      </c>
      <c r="M29" s="32">
        <f>I29/((F29+J29)/2)</f>
        <v>3.4545454545454546</v>
      </c>
      <c r="N29">
        <v>11</v>
      </c>
      <c r="O29">
        <v>0.80971972635466105</v>
      </c>
      <c r="P29" s="2">
        <v>54.162980392028302</v>
      </c>
    </row>
    <row r="30" spans="1:16" x14ac:dyDescent="0.2">
      <c r="A30">
        <v>5</v>
      </c>
      <c r="B30" t="s">
        <v>14</v>
      </c>
      <c r="C30" s="7" t="str">
        <f>IF(B30="Smartphone", "Electronics", IF(B30="Laptop", "Computing", IF(B30="Tablet", "Mobile", IF(B30="Smartwatch", "Wearables", IF(B30="Headphones", "Audio", "Photography")))))</f>
        <v>Audio</v>
      </c>
      <c r="D30" s="1">
        <v>43586</v>
      </c>
      <c r="E30" s="13" t="str">
        <f t="shared" si="0"/>
        <v>Autumn</v>
      </c>
      <c r="F30">
        <v>44</v>
      </c>
      <c r="G30">
        <v>337</v>
      </c>
      <c r="H30" s="7">
        <f>F30+G30</f>
        <v>381</v>
      </c>
      <c r="I30">
        <v>251</v>
      </c>
      <c r="J30">
        <v>86</v>
      </c>
      <c r="K30" s="34">
        <f>F30+G30-I30</f>
        <v>130</v>
      </c>
      <c r="L30" s="34">
        <f>J30-K30</f>
        <v>-44</v>
      </c>
      <c r="M30" s="32">
        <f>I30/((F30+J30)/2)</f>
        <v>3.8615384615384616</v>
      </c>
      <c r="N30">
        <v>22</v>
      </c>
      <c r="O30">
        <v>0.87418789564954202</v>
      </c>
      <c r="P30" s="2">
        <v>64.561929690372395</v>
      </c>
    </row>
    <row r="31" spans="1:16" x14ac:dyDescent="0.2">
      <c r="A31">
        <v>6</v>
      </c>
      <c r="B31" t="s">
        <v>15</v>
      </c>
      <c r="C31" s="7" t="str">
        <f>IF(B31="Smartphone", "Electronics", IF(B31="Laptop", "Computing", IF(B31="Tablet", "Mobile", IF(B31="Smartwatch", "Wearables", IF(B31="Headphones", "Audio", "Photography")))))</f>
        <v>Photography</v>
      </c>
      <c r="D31" s="1">
        <v>43586</v>
      </c>
      <c r="E31" s="13" t="str">
        <f t="shared" si="0"/>
        <v>Autumn</v>
      </c>
      <c r="F31">
        <v>43</v>
      </c>
      <c r="G31">
        <v>216</v>
      </c>
      <c r="H31" s="7">
        <f>F31+G31</f>
        <v>259</v>
      </c>
      <c r="I31">
        <v>187</v>
      </c>
      <c r="J31">
        <v>29</v>
      </c>
      <c r="K31" s="34">
        <f>F31+G31-I31</f>
        <v>72</v>
      </c>
      <c r="L31" s="34">
        <f>J31-K31</f>
        <v>-43</v>
      </c>
      <c r="M31" s="32">
        <f>I31/((F31+J31)/2)</f>
        <v>5.1944444444444446</v>
      </c>
      <c r="N31">
        <v>22</v>
      </c>
      <c r="O31">
        <v>0.86617474392754301</v>
      </c>
      <c r="P31" s="2">
        <v>110.66215858616999</v>
      </c>
    </row>
    <row r="32" spans="1:16" x14ac:dyDescent="0.2">
      <c r="A32">
        <v>1</v>
      </c>
      <c r="B32" t="s">
        <v>10</v>
      </c>
      <c r="C32" s="7" t="str">
        <f>IF(B32="Smartphone", "Electronics", IF(B32="Laptop", "Computing", IF(B32="Tablet", "Mobile", IF(B32="Smartwatch", "Wearables", IF(B32="Headphones", "Audio", "Photography")))))</f>
        <v>Electronics</v>
      </c>
      <c r="D32" s="1">
        <v>43617</v>
      </c>
      <c r="E32" s="13" t="str">
        <f t="shared" si="0"/>
        <v>Winter</v>
      </c>
      <c r="F32">
        <v>53</v>
      </c>
      <c r="G32">
        <v>158</v>
      </c>
      <c r="H32" s="7">
        <f>F32+G32</f>
        <v>211</v>
      </c>
      <c r="I32">
        <v>156</v>
      </c>
      <c r="J32">
        <v>2</v>
      </c>
      <c r="K32" s="34">
        <f>F32+G32-I32</f>
        <v>55</v>
      </c>
      <c r="L32" s="34">
        <f>J32-K32</f>
        <v>-53</v>
      </c>
      <c r="M32" s="32">
        <f>I32/((F32+J32)/2)</f>
        <v>5.6727272727272728</v>
      </c>
      <c r="N32">
        <v>11</v>
      </c>
      <c r="O32">
        <v>0.87833700582562202</v>
      </c>
      <c r="P32" s="2">
        <v>49.9784792320701</v>
      </c>
    </row>
    <row r="33" spans="1:16" x14ac:dyDescent="0.2">
      <c r="A33">
        <v>2</v>
      </c>
      <c r="B33" t="s">
        <v>11</v>
      </c>
      <c r="C33" s="7" t="str">
        <f>IF(B33="Smartphone", "Electronics", IF(B33="Laptop", "Computing", IF(B33="Tablet", "Mobile", IF(B33="Smartwatch", "Wearables", IF(B33="Headphones", "Audio", "Photography")))))</f>
        <v>Computing</v>
      </c>
      <c r="D33" s="1">
        <v>43617</v>
      </c>
      <c r="E33" s="13" t="str">
        <f t="shared" si="0"/>
        <v>Winter</v>
      </c>
      <c r="F33">
        <v>51</v>
      </c>
      <c r="G33">
        <v>85</v>
      </c>
      <c r="H33" s="7">
        <f>F33+G33</f>
        <v>136</v>
      </c>
      <c r="I33">
        <v>87</v>
      </c>
      <c r="J33">
        <v>55</v>
      </c>
      <c r="K33" s="34">
        <f>F33+G33-I33</f>
        <v>49</v>
      </c>
      <c r="L33" s="34">
        <f>J33-K33</f>
        <v>6</v>
      </c>
      <c r="M33" s="32">
        <f>I33/((F33+J33)/2)</f>
        <v>1.6415094339622642</v>
      </c>
      <c r="N33">
        <v>25</v>
      </c>
      <c r="O33">
        <v>0.95099622897984804</v>
      </c>
      <c r="P33" s="2">
        <v>81.369789051371697</v>
      </c>
    </row>
    <row r="34" spans="1:16" x14ac:dyDescent="0.2">
      <c r="A34">
        <v>3</v>
      </c>
      <c r="B34" t="s">
        <v>12</v>
      </c>
      <c r="C34" s="7" t="str">
        <f>IF(B34="Smartphone", "Electronics", IF(B34="Laptop", "Computing", IF(B34="Tablet", "Mobile", IF(B34="Smartwatch", "Wearables", IF(B34="Headphones", "Audio", "Photography")))))</f>
        <v>Mobile</v>
      </c>
      <c r="D34" s="1">
        <v>43617</v>
      </c>
      <c r="E34" s="13" t="str">
        <f t="shared" si="0"/>
        <v>Winter</v>
      </c>
      <c r="F34">
        <v>47</v>
      </c>
      <c r="G34">
        <v>281</v>
      </c>
      <c r="H34" s="7">
        <f>F34+G34</f>
        <v>328</v>
      </c>
      <c r="I34">
        <v>246</v>
      </c>
      <c r="J34">
        <v>35</v>
      </c>
      <c r="K34" s="34">
        <f>F34+G34-I34</f>
        <v>82</v>
      </c>
      <c r="L34" s="34">
        <f>J34-K34</f>
        <v>-47</v>
      </c>
      <c r="M34" s="32">
        <f>I34/((F34+J34)/2)</f>
        <v>6</v>
      </c>
      <c r="N34">
        <v>22</v>
      </c>
      <c r="O34">
        <v>0.92714132796595095</v>
      </c>
      <c r="P34" s="2">
        <v>64.415640861326906</v>
      </c>
    </row>
    <row r="35" spans="1:16" x14ac:dyDescent="0.2">
      <c r="A35">
        <v>4</v>
      </c>
      <c r="B35" t="s">
        <v>13</v>
      </c>
      <c r="C35" s="7" t="str">
        <f>IF(B35="Smartphone", "Electronics", IF(B35="Laptop", "Computing", IF(B35="Tablet", "Mobile", IF(B35="Smartwatch", "Wearables", IF(B35="Headphones", "Audio", "Photography")))))</f>
        <v>Wearables</v>
      </c>
      <c r="D35" s="1">
        <v>43617</v>
      </c>
      <c r="E35" s="13" t="str">
        <f t="shared" si="0"/>
        <v>Winter</v>
      </c>
      <c r="F35">
        <v>53</v>
      </c>
      <c r="G35">
        <v>278</v>
      </c>
      <c r="H35" s="7">
        <f>F35+G35</f>
        <v>331</v>
      </c>
      <c r="I35">
        <v>254</v>
      </c>
      <c r="J35">
        <v>24</v>
      </c>
      <c r="K35" s="34">
        <f>F35+G35-I35</f>
        <v>77</v>
      </c>
      <c r="L35" s="34">
        <f>J35-K35</f>
        <v>-53</v>
      </c>
      <c r="M35" s="32">
        <f>I35/((F35+J35)/2)</f>
        <v>6.5974025974025974</v>
      </c>
      <c r="N35">
        <v>28</v>
      </c>
      <c r="O35">
        <v>0.942438325130321</v>
      </c>
      <c r="P35" s="2">
        <v>19.197108163364799</v>
      </c>
    </row>
    <row r="36" spans="1:16" x14ac:dyDescent="0.2">
      <c r="A36">
        <v>5</v>
      </c>
      <c r="B36" t="s">
        <v>14</v>
      </c>
      <c r="C36" s="7" t="str">
        <f>IF(B36="Smartphone", "Electronics", IF(B36="Laptop", "Computing", IF(B36="Tablet", "Mobile", IF(B36="Smartwatch", "Wearables", IF(B36="Headphones", "Audio", "Photography")))))</f>
        <v>Audio</v>
      </c>
      <c r="D36" s="1">
        <v>43617</v>
      </c>
      <c r="E36" s="13" t="str">
        <f t="shared" si="0"/>
        <v>Winter</v>
      </c>
      <c r="F36">
        <v>48</v>
      </c>
      <c r="G36">
        <v>402</v>
      </c>
      <c r="H36" s="7">
        <f>F36+G36</f>
        <v>450</v>
      </c>
      <c r="I36">
        <v>379</v>
      </c>
      <c r="J36">
        <v>23</v>
      </c>
      <c r="K36" s="34">
        <f>F36+G36-I36</f>
        <v>71</v>
      </c>
      <c r="L36" s="34">
        <f>J36-K36</f>
        <v>-48</v>
      </c>
      <c r="M36" s="32">
        <f>I36/((F36+J36)/2)</f>
        <v>10.67605633802817</v>
      </c>
      <c r="N36">
        <v>29</v>
      </c>
      <c r="O36">
        <v>0.90152477523768004</v>
      </c>
      <c r="P36" s="2">
        <v>39.804300871906797</v>
      </c>
    </row>
    <row r="37" spans="1:16" x14ac:dyDescent="0.2">
      <c r="A37">
        <v>6</v>
      </c>
      <c r="B37" t="s">
        <v>15</v>
      </c>
      <c r="C37" s="7" t="str">
        <f>IF(B37="Smartphone", "Electronics", IF(B37="Laptop", "Computing", IF(B37="Tablet", "Mobile", IF(B37="Smartwatch", "Wearables", IF(B37="Headphones", "Audio", "Photography")))))</f>
        <v>Photography</v>
      </c>
      <c r="D37" s="1">
        <v>43617</v>
      </c>
      <c r="E37" s="13" t="str">
        <f t="shared" si="0"/>
        <v>Winter</v>
      </c>
      <c r="F37">
        <v>94</v>
      </c>
      <c r="G37">
        <v>213</v>
      </c>
      <c r="H37" s="7">
        <f>F37+G37</f>
        <v>307</v>
      </c>
      <c r="I37">
        <v>190</v>
      </c>
      <c r="J37">
        <v>23</v>
      </c>
      <c r="K37" s="34">
        <f>F37+G37-I37</f>
        <v>117</v>
      </c>
      <c r="L37" s="34">
        <f>J37-K37</f>
        <v>-94</v>
      </c>
      <c r="M37" s="32">
        <f>I37/((F37+J37)/2)</f>
        <v>3.2478632478632479</v>
      </c>
      <c r="N37">
        <v>13</v>
      </c>
      <c r="O37">
        <v>0.833895034002757</v>
      </c>
      <c r="P37" s="2">
        <v>49.267178088231198</v>
      </c>
    </row>
    <row r="38" spans="1:16" x14ac:dyDescent="0.2">
      <c r="A38">
        <v>1</v>
      </c>
      <c r="B38" t="s">
        <v>10</v>
      </c>
      <c r="C38" s="7" t="str">
        <f>IF(B38="Smartphone", "Electronics", IF(B38="Laptop", "Computing", IF(B38="Tablet", "Mobile", IF(B38="Smartwatch", "Wearables", IF(B38="Headphones", "Audio", "Photography")))))</f>
        <v>Electronics</v>
      </c>
      <c r="D38" s="1">
        <v>43647</v>
      </c>
      <c r="E38" s="13" t="str">
        <f t="shared" si="0"/>
        <v>Winter</v>
      </c>
      <c r="F38">
        <v>24</v>
      </c>
      <c r="G38">
        <v>436</v>
      </c>
      <c r="H38" s="7">
        <f>F38+G38</f>
        <v>460</v>
      </c>
      <c r="I38">
        <v>433</v>
      </c>
      <c r="J38">
        <v>3</v>
      </c>
      <c r="K38" s="34">
        <f>F38+G38-I38</f>
        <v>27</v>
      </c>
      <c r="L38" s="34">
        <f>J38-K38</f>
        <v>-24</v>
      </c>
      <c r="M38" s="32">
        <f>I38/((F38+J38)/2)</f>
        <v>32.074074074074076</v>
      </c>
      <c r="N38">
        <v>18</v>
      </c>
      <c r="O38">
        <v>0.84426573193700105</v>
      </c>
      <c r="P38" s="2">
        <v>53.301464507264299</v>
      </c>
    </row>
    <row r="39" spans="1:16" x14ac:dyDescent="0.2">
      <c r="A39">
        <v>2</v>
      </c>
      <c r="B39" t="s">
        <v>11</v>
      </c>
      <c r="C39" s="7" t="str">
        <f>IF(B39="Smartphone", "Electronics", IF(B39="Laptop", "Computing", IF(B39="Tablet", "Mobile", IF(B39="Smartwatch", "Wearables", IF(B39="Headphones", "Audio", "Photography")))))</f>
        <v>Computing</v>
      </c>
      <c r="D39" s="1">
        <v>43647</v>
      </c>
      <c r="E39" s="13" t="str">
        <f t="shared" si="0"/>
        <v>Winter</v>
      </c>
      <c r="F39">
        <v>168</v>
      </c>
      <c r="G39">
        <v>122</v>
      </c>
      <c r="H39" s="7">
        <f>F39+G39</f>
        <v>290</v>
      </c>
      <c r="I39">
        <v>283</v>
      </c>
      <c r="J39">
        <v>56</v>
      </c>
      <c r="K39" s="34">
        <f>F39+G39-I39</f>
        <v>7</v>
      </c>
      <c r="L39" s="34">
        <f>J39-K39</f>
        <v>49</v>
      </c>
      <c r="M39" s="32">
        <f>I39/((F39+J39)/2)</f>
        <v>2.5267857142857144</v>
      </c>
      <c r="N39">
        <v>2</v>
      </c>
      <c r="O39">
        <v>0.93731298537332897</v>
      </c>
      <c r="P39" s="2">
        <v>100.33030810445</v>
      </c>
    </row>
    <row r="40" spans="1:16" x14ac:dyDescent="0.2">
      <c r="A40">
        <v>3</v>
      </c>
      <c r="B40" t="s">
        <v>12</v>
      </c>
      <c r="C40" s="7" t="str">
        <f>IF(B40="Smartphone", "Electronics", IF(B40="Laptop", "Computing", IF(B40="Tablet", "Mobile", IF(B40="Smartwatch", "Wearables", IF(B40="Headphones", "Audio", "Photography")))))</f>
        <v>Mobile</v>
      </c>
      <c r="D40" s="1">
        <v>43647</v>
      </c>
      <c r="E40" s="13" t="str">
        <f t="shared" si="0"/>
        <v>Winter</v>
      </c>
      <c r="F40">
        <v>44</v>
      </c>
      <c r="G40">
        <v>185</v>
      </c>
      <c r="H40" s="7">
        <f>F40+G40</f>
        <v>229</v>
      </c>
      <c r="I40">
        <v>100</v>
      </c>
      <c r="J40">
        <v>85</v>
      </c>
      <c r="K40" s="34">
        <f>F40+G40-I40</f>
        <v>129</v>
      </c>
      <c r="L40" s="34">
        <f>J40-K40</f>
        <v>-44</v>
      </c>
      <c r="M40" s="32">
        <f>I40/((F40+J40)/2)</f>
        <v>1.5503875968992249</v>
      </c>
      <c r="N40">
        <v>29</v>
      </c>
      <c r="O40">
        <v>0.908541594920664</v>
      </c>
      <c r="P40" s="2">
        <v>237.331320149449</v>
      </c>
    </row>
    <row r="41" spans="1:16" x14ac:dyDescent="0.2">
      <c r="A41">
        <v>4</v>
      </c>
      <c r="B41" t="s">
        <v>13</v>
      </c>
      <c r="C41" s="7" t="str">
        <f>IF(B41="Smartphone", "Electronics", IF(B41="Laptop", "Computing", IF(B41="Tablet", "Mobile", IF(B41="Smartwatch", "Wearables", IF(B41="Headphones", "Audio", "Photography")))))</f>
        <v>Wearables</v>
      </c>
      <c r="D41" s="1">
        <v>43647</v>
      </c>
      <c r="E41" s="13" t="str">
        <f t="shared" si="0"/>
        <v>Winter</v>
      </c>
      <c r="F41">
        <v>85</v>
      </c>
      <c r="G41">
        <v>402</v>
      </c>
      <c r="H41" s="7">
        <f>F41+G41</f>
        <v>487</v>
      </c>
      <c r="I41">
        <v>322</v>
      </c>
      <c r="J41">
        <v>80</v>
      </c>
      <c r="K41" s="34">
        <f>F41+G41-I41</f>
        <v>165</v>
      </c>
      <c r="L41" s="34">
        <f>J41-K41</f>
        <v>-85</v>
      </c>
      <c r="M41" s="32">
        <f>I41/((F41+J41)/2)</f>
        <v>3.9030303030303028</v>
      </c>
      <c r="N41">
        <v>21</v>
      </c>
      <c r="O41">
        <v>0.96301037030394199</v>
      </c>
      <c r="P41" s="2">
        <v>139.027825302389</v>
      </c>
    </row>
    <row r="42" spans="1:16" x14ac:dyDescent="0.2">
      <c r="A42">
        <v>5</v>
      </c>
      <c r="B42" t="s">
        <v>14</v>
      </c>
      <c r="C42" s="7" t="str">
        <f>IF(B42="Smartphone", "Electronics", IF(B42="Laptop", "Computing", IF(B42="Tablet", "Mobile", IF(B42="Smartwatch", "Wearables", IF(B42="Headphones", "Audio", "Photography")))))</f>
        <v>Audio</v>
      </c>
      <c r="D42" s="1">
        <v>43647</v>
      </c>
      <c r="E42" s="13" t="str">
        <f t="shared" si="0"/>
        <v>Winter</v>
      </c>
      <c r="F42">
        <v>12</v>
      </c>
      <c r="G42">
        <v>428</v>
      </c>
      <c r="H42" s="7">
        <f>F42+G42</f>
        <v>440</v>
      </c>
      <c r="I42">
        <v>394</v>
      </c>
      <c r="J42">
        <v>34</v>
      </c>
      <c r="K42" s="34">
        <f>F42+G42-I42</f>
        <v>46</v>
      </c>
      <c r="L42" s="34">
        <f>J42-K42</f>
        <v>-12</v>
      </c>
      <c r="M42" s="32">
        <f>I42/((F42+J42)/2)</f>
        <v>17.130434782608695</v>
      </c>
      <c r="N42">
        <v>15</v>
      </c>
      <c r="O42">
        <v>0.91466310516233895</v>
      </c>
      <c r="P42" s="2">
        <v>37.906821649754797</v>
      </c>
    </row>
    <row r="43" spans="1:16" x14ac:dyDescent="0.2">
      <c r="A43">
        <v>6</v>
      </c>
      <c r="B43" t="s">
        <v>15</v>
      </c>
      <c r="C43" s="7" t="str">
        <f>IF(B43="Smartphone", "Electronics", IF(B43="Laptop", "Computing", IF(B43="Tablet", "Mobile", IF(B43="Smartwatch", "Wearables", IF(B43="Headphones", "Audio", "Photography")))))</f>
        <v>Photography</v>
      </c>
      <c r="D43" s="1">
        <v>43647</v>
      </c>
      <c r="E43" s="13" t="str">
        <f t="shared" si="0"/>
        <v>Winter</v>
      </c>
      <c r="F43">
        <v>52</v>
      </c>
      <c r="G43">
        <v>119</v>
      </c>
      <c r="H43" s="7">
        <f>F43+G43</f>
        <v>171</v>
      </c>
      <c r="I43">
        <v>23</v>
      </c>
      <c r="J43">
        <v>96</v>
      </c>
      <c r="K43" s="34">
        <f>F43+G43-I43</f>
        <v>148</v>
      </c>
      <c r="L43" s="34">
        <f>J43-K43</f>
        <v>-52</v>
      </c>
      <c r="M43" s="32">
        <f>I43/((F43+J43)/2)</f>
        <v>0.3108108108108108</v>
      </c>
      <c r="N43">
        <v>20</v>
      </c>
      <c r="O43">
        <v>0.84084925033339297</v>
      </c>
      <c r="P43" s="2">
        <v>212.61822426308501</v>
      </c>
    </row>
    <row r="44" spans="1:16" x14ac:dyDescent="0.2">
      <c r="A44">
        <v>1</v>
      </c>
      <c r="B44" t="s">
        <v>10</v>
      </c>
      <c r="C44" s="7" t="str">
        <f>IF(B44="Smartphone", "Electronics", IF(B44="Laptop", "Computing", IF(B44="Tablet", "Mobile", IF(B44="Smartwatch", "Wearables", IF(B44="Headphones", "Audio", "Photography")))))</f>
        <v>Electronics</v>
      </c>
      <c r="D44" s="1">
        <v>43678</v>
      </c>
      <c r="E44" s="13" t="str">
        <f t="shared" si="0"/>
        <v>Winter</v>
      </c>
      <c r="F44">
        <v>239</v>
      </c>
      <c r="G44">
        <v>474</v>
      </c>
      <c r="H44" s="7">
        <f>F44+G44</f>
        <v>713</v>
      </c>
      <c r="I44">
        <v>458</v>
      </c>
      <c r="J44">
        <v>16</v>
      </c>
      <c r="K44" s="34">
        <f>F44+G44-I44</f>
        <v>255</v>
      </c>
      <c r="L44" s="34">
        <f>J44-K44</f>
        <v>-239</v>
      </c>
      <c r="M44" s="32">
        <f>I44/((F44+J44)/2)</f>
        <v>3.5921568627450982</v>
      </c>
      <c r="N44">
        <v>27</v>
      </c>
      <c r="O44">
        <v>0.87390490929084197</v>
      </c>
      <c r="P44" s="2">
        <v>13.7404866068554</v>
      </c>
    </row>
    <row r="45" spans="1:16" x14ac:dyDescent="0.2">
      <c r="A45">
        <v>2</v>
      </c>
      <c r="B45" t="s">
        <v>11</v>
      </c>
      <c r="C45" s="7" t="str">
        <f>IF(B45="Smartphone", "Electronics", IF(B45="Laptop", "Computing", IF(B45="Tablet", "Mobile", IF(B45="Smartwatch", "Wearables", IF(B45="Headphones", "Audio", "Photography")))))</f>
        <v>Computing</v>
      </c>
      <c r="D45" s="1">
        <v>43678</v>
      </c>
      <c r="E45" s="13" t="str">
        <f t="shared" si="0"/>
        <v>Winter</v>
      </c>
      <c r="F45">
        <v>42</v>
      </c>
      <c r="G45">
        <v>245</v>
      </c>
      <c r="H45" s="7">
        <f>F45+G45</f>
        <v>287</v>
      </c>
      <c r="I45">
        <v>153</v>
      </c>
      <c r="J45">
        <v>92</v>
      </c>
      <c r="K45" s="34">
        <f>F45+G45-I45</f>
        <v>134</v>
      </c>
      <c r="L45" s="34">
        <f>J45-K45</f>
        <v>-42</v>
      </c>
      <c r="M45" s="32">
        <f>I45/((F45+J45)/2)</f>
        <v>2.283582089552239</v>
      </c>
      <c r="N45">
        <v>18</v>
      </c>
      <c r="O45">
        <v>0.928240707484146</v>
      </c>
      <c r="P45" s="2">
        <v>81.439143182314993</v>
      </c>
    </row>
    <row r="46" spans="1:16" x14ac:dyDescent="0.2">
      <c r="A46">
        <v>3</v>
      </c>
      <c r="B46" t="s">
        <v>12</v>
      </c>
      <c r="C46" s="7" t="str">
        <f>IF(B46="Smartphone", "Electronics", IF(B46="Laptop", "Computing", IF(B46="Tablet", "Mobile", IF(B46="Smartwatch", "Wearables", IF(B46="Headphones", "Audio", "Photography")))))</f>
        <v>Mobile</v>
      </c>
      <c r="D46" s="1">
        <v>43678</v>
      </c>
      <c r="E46" s="13" t="str">
        <f t="shared" si="0"/>
        <v>Winter</v>
      </c>
      <c r="F46">
        <v>14</v>
      </c>
      <c r="G46">
        <v>318</v>
      </c>
      <c r="H46" s="7">
        <f>F46+G46</f>
        <v>332</v>
      </c>
      <c r="I46">
        <v>309</v>
      </c>
      <c r="J46">
        <v>9</v>
      </c>
      <c r="K46" s="34">
        <f>F46+G46-I46</f>
        <v>23</v>
      </c>
      <c r="L46" s="34">
        <f>J46-K46</f>
        <v>-14</v>
      </c>
      <c r="M46" s="32">
        <f>I46/((F46+J46)/2)</f>
        <v>26.869565217391305</v>
      </c>
      <c r="N46">
        <v>15</v>
      </c>
      <c r="O46">
        <v>0.93551662481193099</v>
      </c>
      <c r="P46" s="2">
        <v>100.182315049064</v>
      </c>
    </row>
    <row r="47" spans="1:16" x14ac:dyDescent="0.2">
      <c r="A47">
        <v>4</v>
      </c>
      <c r="B47" t="s">
        <v>13</v>
      </c>
      <c r="C47" s="7" t="str">
        <f>IF(B47="Smartphone", "Electronics", IF(B47="Laptop", "Computing", IF(B47="Tablet", "Mobile", IF(B47="Smartwatch", "Wearables", IF(B47="Headphones", "Audio", "Photography")))))</f>
        <v>Wearables</v>
      </c>
      <c r="D47" s="1">
        <v>43678</v>
      </c>
      <c r="E47" s="13" t="str">
        <f t="shared" si="0"/>
        <v>Winter</v>
      </c>
      <c r="F47">
        <v>63</v>
      </c>
      <c r="G47">
        <v>98</v>
      </c>
      <c r="H47" s="7">
        <f>F47+G47</f>
        <v>161</v>
      </c>
      <c r="I47">
        <v>36</v>
      </c>
      <c r="J47">
        <v>62</v>
      </c>
      <c r="K47" s="34">
        <f>F47+G47-I47</f>
        <v>125</v>
      </c>
      <c r="L47" s="34">
        <f>J47-K47</f>
        <v>-63</v>
      </c>
      <c r="M47" s="32">
        <f>I47/((F47+J47)/2)</f>
        <v>0.57599999999999996</v>
      </c>
      <c r="N47">
        <v>19</v>
      </c>
      <c r="O47">
        <v>0.94275543160773401</v>
      </c>
      <c r="P47" s="2">
        <v>148.74410115507101</v>
      </c>
    </row>
    <row r="48" spans="1:16" x14ac:dyDescent="0.2">
      <c r="A48">
        <v>5</v>
      </c>
      <c r="B48" t="s">
        <v>14</v>
      </c>
      <c r="C48" s="7" t="str">
        <f>IF(B48="Smartphone", "Electronics", IF(B48="Laptop", "Computing", IF(B48="Tablet", "Mobile", IF(B48="Smartwatch", "Wearables", IF(B48="Headphones", "Audio", "Photography")))))</f>
        <v>Audio</v>
      </c>
      <c r="D48" s="1">
        <v>43678</v>
      </c>
      <c r="E48" s="13" t="str">
        <f t="shared" si="0"/>
        <v>Winter</v>
      </c>
      <c r="F48">
        <v>11</v>
      </c>
      <c r="G48">
        <v>365</v>
      </c>
      <c r="H48" s="7">
        <f>F48+G48</f>
        <v>376</v>
      </c>
      <c r="I48">
        <v>284</v>
      </c>
      <c r="J48">
        <v>81</v>
      </c>
      <c r="K48" s="34">
        <f>F48+G48-I48</f>
        <v>92</v>
      </c>
      <c r="L48" s="34">
        <f>J48-K48</f>
        <v>-11</v>
      </c>
      <c r="M48" s="32">
        <f>I48/((F48+J48)/2)</f>
        <v>6.1739130434782608</v>
      </c>
      <c r="N48">
        <v>23</v>
      </c>
      <c r="O48">
        <v>0.84757379433974001</v>
      </c>
      <c r="P48" s="2">
        <v>58.756055775779501</v>
      </c>
    </row>
    <row r="49" spans="1:16" x14ac:dyDescent="0.2">
      <c r="A49">
        <v>6</v>
      </c>
      <c r="B49" t="s">
        <v>15</v>
      </c>
      <c r="C49" s="7" t="str">
        <f>IF(B49="Smartphone", "Electronics", IF(B49="Laptop", "Computing", IF(B49="Tablet", "Mobile", IF(B49="Smartwatch", "Wearables", IF(B49="Headphones", "Audio", "Photography")))))</f>
        <v>Photography</v>
      </c>
      <c r="D49" s="1">
        <v>43678</v>
      </c>
      <c r="E49" s="13" t="str">
        <f t="shared" si="0"/>
        <v>Winter</v>
      </c>
      <c r="F49">
        <v>17</v>
      </c>
      <c r="G49">
        <v>179</v>
      </c>
      <c r="H49" s="7">
        <f>F49+G49</f>
        <v>196</v>
      </c>
      <c r="I49">
        <v>188</v>
      </c>
      <c r="J49">
        <v>79</v>
      </c>
      <c r="K49" s="34">
        <f>F49+G49-I49</f>
        <v>8</v>
      </c>
      <c r="L49" s="34">
        <f>J49-K49</f>
        <v>71</v>
      </c>
      <c r="M49" s="32">
        <f>I49/((F49+J49)/2)</f>
        <v>3.9166666666666665</v>
      </c>
      <c r="N49">
        <v>24</v>
      </c>
      <c r="O49">
        <v>0.83994849169615304</v>
      </c>
      <c r="P49" s="2">
        <v>76.789055354760805</v>
      </c>
    </row>
    <row r="50" spans="1:16" x14ac:dyDescent="0.2">
      <c r="A50">
        <v>1</v>
      </c>
      <c r="B50" t="s">
        <v>10</v>
      </c>
      <c r="C50" s="7" t="str">
        <f>IF(B50="Smartphone", "Electronics", IF(B50="Laptop", "Computing", IF(B50="Tablet", "Mobile", IF(B50="Smartwatch", "Wearables", IF(B50="Headphones", "Audio", "Photography")))))</f>
        <v>Electronics</v>
      </c>
      <c r="D50" s="1">
        <v>43709</v>
      </c>
      <c r="E50" s="13" t="str">
        <f t="shared" si="0"/>
        <v>Spring</v>
      </c>
      <c r="F50">
        <v>22</v>
      </c>
      <c r="G50">
        <v>493</v>
      </c>
      <c r="H50" s="7">
        <f>F50+G50</f>
        <v>515</v>
      </c>
      <c r="I50">
        <v>337</v>
      </c>
      <c r="J50">
        <v>156</v>
      </c>
      <c r="K50" s="34">
        <f>F50+G50-I50</f>
        <v>178</v>
      </c>
      <c r="L50" s="34">
        <f>J50-K50</f>
        <v>-22</v>
      </c>
      <c r="M50" s="32">
        <f>I50/((F50+J50)/2)</f>
        <v>3.7865168539325844</v>
      </c>
      <c r="N50">
        <v>12</v>
      </c>
      <c r="O50">
        <v>0.89050987401262804</v>
      </c>
      <c r="P50" s="2">
        <v>45.398052272973104</v>
      </c>
    </row>
    <row r="51" spans="1:16" x14ac:dyDescent="0.2">
      <c r="A51">
        <v>2</v>
      </c>
      <c r="B51" t="s">
        <v>11</v>
      </c>
      <c r="C51" s="7" t="str">
        <f>IF(B51="Smartphone", "Electronics", IF(B51="Laptop", "Computing", IF(B51="Tablet", "Mobile", IF(B51="Smartwatch", "Wearables", IF(B51="Headphones", "Audio", "Photography")))))</f>
        <v>Computing</v>
      </c>
      <c r="D51" s="1">
        <v>43709</v>
      </c>
      <c r="E51" s="13" t="str">
        <f t="shared" si="0"/>
        <v>Spring</v>
      </c>
      <c r="F51">
        <v>92</v>
      </c>
      <c r="G51">
        <v>54</v>
      </c>
      <c r="H51" s="7">
        <f>F51+G51</f>
        <v>146</v>
      </c>
      <c r="I51">
        <v>36</v>
      </c>
      <c r="J51">
        <v>18</v>
      </c>
      <c r="K51" s="34">
        <f>F51+G51-I51</f>
        <v>110</v>
      </c>
      <c r="L51" s="34">
        <f>J51-K51</f>
        <v>-92</v>
      </c>
      <c r="M51" s="32">
        <f>I51/((F51+J51)/2)</f>
        <v>0.65454545454545454</v>
      </c>
      <c r="N51">
        <v>13</v>
      </c>
      <c r="O51">
        <v>0.97200367582667202</v>
      </c>
      <c r="P51" s="2">
        <v>62.7494016295759</v>
      </c>
    </row>
    <row r="52" spans="1:16" x14ac:dyDescent="0.2">
      <c r="A52">
        <v>3</v>
      </c>
      <c r="B52" t="s">
        <v>12</v>
      </c>
      <c r="C52" s="7" t="str">
        <f>IF(B52="Smartphone", "Electronics", IF(B52="Laptop", "Computing", IF(B52="Tablet", "Mobile", IF(B52="Smartwatch", "Wearables", IF(B52="Headphones", "Audio", "Photography")))))</f>
        <v>Mobile</v>
      </c>
      <c r="D52" s="1">
        <v>43709</v>
      </c>
      <c r="E52" s="13" t="str">
        <f t="shared" si="0"/>
        <v>Spring</v>
      </c>
      <c r="F52">
        <v>93</v>
      </c>
      <c r="G52">
        <v>477</v>
      </c>
      <c r="H52" s="7">
        <f>F52+G52</f>
        <v>570</v>
      </c>
      <c r="I52">
        <v>414</v>
      </c>
      <c r="J52">
        <v>63</v>
      </c>
      <c r="K52" s="34">
        <f>F52+G52-I52</f>
        <v>156</v>
      </c>
      <c r="L52" s="34">
        <f>J52-K52</f>
        <v>-93</v>
      </c>
      <c r="M52" s="32">
        <f>I52/((F52+J52)/2)</f>
        <v>5.3076923076923075</v>
      </c>
      <c r="N52">
        <v>22</v>
      </c>
      <c r="O52">
        <v>0.86530658395959903</v>
      </c>
      <c r="P52" s="2">
        <v>34.881387035624201</v>
      </c>
    </row>
    <row r="53" spans="1:16" x14ac:dyDescent="0.2">
      <c r="A53">
        <v>4</v>
      </c>
      <c r="B53" t="s">
        <v>13</v>
      </c>
      <c r="C53" s="7" t="str">
        <f>IF(B53="Smartphone", "Electronics", IF(B53="Laptop", "Computing", IF(B53="Tablet", "Mobile", IF(B53="Smartwatch", "Wearables", IF(B53="Headphones", "Audio", "Photography")))))</f>
        <v>Wearables</v>
      </c>
      <c r="D53" s="1">
        <v>43709</v>
      </c>
      <c r="E53" s="13" t="str">
        <f t="shared" si="0"/>
        <v>Spring</v>
      </c>
      <c r="F53">
        <v>129</v>
      </c>
      <c r="G53">
        <v>76</v>
      </c>
      <c r="H53" s="7">
        <f>F53+G53</f>
        <v>205</v>
      </c>
      <c r="I53">
        <v>213</v>
      </c>
      <c r="J53">
        <v>88</v>
      </c>
      <c r="K53" s="34">
        <f>F53+G53-I53</f>
        <v>-8</v>
      </c>
      <c r="L53" s="34">
        <f>J53-K53</f>
        <v>96</v>
      </c>
      <c r="M53" s="32">
        <f>I53/((F53+J53)/2)</f>
        <v>1.9631336405529953</v>
      </c>
      <c r="N53">
        <v>11</v>
      </c>
      <c r="O53">
        <v>0.92274859453004798</v>
      </c>
      <c r="P53" s="2">
        <v>112.790270212506</v>
      </c>
    </row>
    <row r="54" spans="1:16" x14ac:dyDescent="0.2">
      <c r="A54">
        <v>5</v>
      </c>
      <c r="B54" t="s">
        <v>14</v>
      </c>
      <c r="C54" s="7" t="str">
        <f>IF(B54="Smartphone", "Electronics", IF(B54="Laptop", "Computing", IF(B54="Tablet", "Mobile", IF(B54="Smartwatch", "Wearables", IF(B54="Headphones", "Audio", "Photography")))))</f>
        <v>Audio</v>
      </c>
      <c r="D54" s="1">
        <v>43709</v>
      </c>
      <c r="E54" s="13" t="str">
        <f t="shared" si="0"/>
        <v>Spring</v>
      </c>
      <c r="F54">
        <v>1</v>
      </c>
      <c r="G54">
        <v>209</v>
      </c>
      <c r="H54" s="7">
        <f>F54+G54</f>
        <v>210</v>
      </c>
      <c r="I54">
        <v>204</v>
      </c>
      <c r="J54">
        <v>5</v>
      </c>
      <c r="K54" s="34">
        <f>F54+G54-I54</f>
        <v>6</v>
      </c>
      <c r="L54" s="34">
        <f>J54-K54</f>
        <v>-1</v>
      </c>
      <c r="M54" s="32">
        <f>I54/((F54+J54)/2)</f>
        <v>68</v>
      </c>
      <c r="N54">
        <v>5</v>
      </c>
      <c r="O54">
        <v>0.92275305694694798</v>
      </c>
      <c r="P54" s="2">
        <v>62.744973437706101</v>
      </c>
    </row>
    <row r="55" spans="1:16" x14ac:dyDescent="0.2">
      <c r="A55">
        <v>6</v>
      </c>
      <c r="B55" t="s">
        <v>15</v>
      </c>
      <c r="C55" s="7" t="str">
        <f>IF(B55="Smartphone", "Electronics", IF(B55="Laptop", "Computing", IF(B55="Tablet", "Mobile", IF(B55="Smartwatch", "Wearables", IF(B55="Headphones", "Audio", "Photography")))))</f>
        <v>Photography</v>
      </c>
      <c r="D55" s="1">
        <v>43709</v>
      </c>
      <c r="E55" s="13" t="str">
        <f t="shared" si="0"/>
        <v>Spring</v>
      </c>
      <c r="F55">
        <v>71</v>
      </c>
      <c r="G55">
        <v>198</v>
      </c>
      <c r="H55" s="7">
        <f>F55+G55</f>
        <v>269</v>
      </c>
      <c r="I55">
        <v>139</v>
      </c>
      <c r="J55">
        <v>59</v>
      </c>
      <c r="K55" s="34">
        <f>F55+G55-I55</f>
        <v>130</v>
      </c>
      <c r="L55" s="34">
        <f>J55-K55</f>
        <v>-71</v>
      </c>
      <c r="M55" s="32">
        <f>I55/((F55+J55)/2)</f>
        <v>2.1384615384615384</v>
      </c>
      <c r="N55">
        <v>29</v>
      </c>
      <c r="O55">
        <v>0.93803863748353</v>
      </c>
      <c r="P55" s="2">
        <v>174.401532044649</v>
      </c>
    </row>
    <row r="56" spans="1:16" x14ac:dyDescent="0.2">
      <c r="A56">
        <v>1</v>
      </c>
      <c r="B56" t="s">
        <v>10</v>
      </c>
      <c r="C56" s="7" t="str">
        <f>IF(B56="Smartphone", "Electronics", IF(B56="Laptop", "Computing", IF(B56="Tablet", "Mobile", IF(B56="Smartwatch", "Wearables", IF(B56="Headphones", "Audio", "Photography")))))</f>
        <v>Electronics</v>
      </c>
      <c r="D56" s="1">
        <v>43739</v>
      </c>
      <c r="E56" s="13" t="str">
        <f t="shared" si="0"/>
        <v>Spring</v>
      </c>
      <c r="F56">
        <v>33</v>
      </c>
      <c r="G56">
        <v>313</v>
      </c>
      <c r="H56" s="7">
        <f>F56+G56</f>
        <v>346</v>
      </c>
      <c r="I56">
        <v>237</v>
      </c>
      <c r="J56">
        <v>76</v>
      </c>
      <c r="K56" s="34">
        <f>F56+G56-I56</f>
        <v>109</v>
      </c>
      <c r="L56" s="34">
        <f>J56-K56</f>
        <v>-33</v>
      </c>
      <c r="M56" s="32">
        <f>I56/((F56+J56)/2)</f>
        <v>4.3486238532110093</v>
      </c>
      <c r="N56">
        <v>1</v>
      </c>
      <c r="O56">
        <v>0.98322201269741005</v>
      </c>
      <c r="P56" s="2">
        <v>53.169953297047101</v>
      </c>
    </row>
    <row r="57" spans="1:16" x14ac:dyDescent="0.2">
      <c r="A57">
        <v>2</v>
      </c>
      <c r="B57" t="s">
        <v>11</v>
      </c>
      <c r="C57" s="7" t="str">
        <f>IF(B57="Smartphone", "Electronics", IF(B57="Laptop", "Computing", IF(B57="Tablet", "Mobile", IF(B57="Smartwatch", "Wearables", IF(B57="Headphones", "Audio", "Photography")))))</f>
        <v>Computing</v>
      </c>
      <c r="D57" s="1">
        <v>43739</v>
      </c>
      <c r="E57" s="13" t="str">
        <f t="shared" si="0"/>
        <v>Spring</v>
      </c>
      <c r="F57">
        <v>73</v>
      </c>
      <c r="G57">
        <v>279</v>
      </c>
      <c r="H57" s="7">
        <f>F57+G57</f>
        <v>352</v>
      </c>
      <c r="I57">
        <v>240</v>
      </c>
      <c r="J57">
        <v>39</v>
      </c>
      <c r="K57" s="34">
        <f>F57+G57-I57</f>
        <v>112</v>
      </c>
      <c r="L57" s="34">
        <f>J57-K57</f>
        <v>-73</v>
      </c>
      <c r="M57" s="32">
        <f>I57/((F57+J57)/2)</f>
        <v>4.2857142857142856</v>
      </c>
      <c r="N57">
        <v>24</v>
      </c>
      <c r="O57">
        <v>0.978095321238305</v>
      </c>
      <c r="P57" s="2">
        <v>59.074371424336398</v>
      </c>
    </row>
    <row r="58" spans="1:16" x14ac:dyDescent="0.2">
      <c r="A58">
        <v>3</v>
      </c>
      <c r="B58" t="s">
        <v>12</v>
      </c>
      <c r="C58" s="7" t="str">
        <f>IF(B58="Smartphone", "Electronics", IF(B58="Laptop", "Computing", IF(B58="Tablet", "Mobile", IF(B58="Smartwatch", "Wearables", IF(B58="Headphones", "Audio", "Photography")))))</f>
        <v>Mobile</v>
      </c>
      <c r="D58" s="1">
        <v>43739</v>
      </c>
      <c r="E58" s="13" t="str">
        <f t="shared" si="0"/>
        <v>Spring</v>
      </c>
      <c r="F58">
        <v>346</v>
      </c>
      <c r="G58">
        <v>249</v>
      </c>
      <c r="H58" s="7">
        <f>F58+G58</f>
        <v>595</v>
      </c>
      <c r="I58">
        <v>436</v>
      </c>
      <c r="J58">
        <v>179</v>
      </c>
      <c r="K58" s="34">
        <f>F58+G58-I58</f>
        <v>159</v>
      </c>
      <c r="L58" s="34">
        <f>J58-K58</f>
        <v>20</v>
      </c>
      <c r="M58" s="32">
        <f>I58/((F58+J58)/2)</f>
        <v>1.660952380952381</v>
      </c>
      <c r="N58">
        <v>3</v>
      </c>
      <c r="O58">
        <v>0.87026970830802397</v>
      </c>
      <c r="P58" s="2">
        <v>70.2441937418279</v>
      </c>
    </row>
    <row r="59" spans="1:16" x14ac:dyDescent="0.2">
      <c r="A59">
        <v>4</v>
      </c>
      <c r="B59" t="s">
        <v>13</v>
      </c>
      <c r="C59" s="7" t="str">
        <f>IF(B59="Smartphone", "Electronics", IF(B59="Laptop", "Computing", IF(B59="Tablet", "Mobile", IF(B59="Smartwatch", "Wearables", IF(B59="Headphones", "Audio", "Photography")))))</f>
        <v>Wearables</v>
      </c>
      <c r="D59" s="1">
        <v>43739</v>
      </c>
      <c r="E59" s="13" t="str">
        <f t="shared" si="0"/>
        <v>Spring</v>
      </c>
      <c r="F59">
        <v>89</v>
      </c>
      <c r="G59">
        <v>99</v>
      </c>
      <c r="H59" s="7">
        <f>F59+G59</f>
        <v>188</v>
      </c>
      <c r="I59">
        <v>28</v>
      </c>
      <c r="J59">
        <v>71</v>
      </c>
      <c r="K59" s="34">
        <f>F59+G59-I59</f>
        <v>160</v>
      </c>
      <c r="L59" s="34">
        <f>J59-K59</f>
        <v>-89</v>
      </c>
      <c r="M59" s="32">
        <f>I59/((F59+J59)/2)</f>
        <v>0.35</v>
      </c>
      <c r="N59">
        <v>22</v>
      </c>
      <c r="O59">
        <v>0.8</v>
      </c>
      <c r="P59" s="2">
        <v>62.470601819033803</v>
      </c>
    </row>
    <row r="60" spans="1:16" x14ac:dyDescent="0.2">
      <c r="A60">
        <v>5</v>
      </c>
      <c r="B60" t="s">
        <v>14</v>
      </c>
      <c r="C60" s="7" t="str">
        <f>IF(B60="Smartphone", "Electronics", IF(B60="Laptop", "Computing", IF(B60="Tablet", "Mobile", IF(B60="Smartwatch", "Wearables", IF(B60="Headphones", "Audio", "Photography")))))</f>
        <v>Audio</v>
      </c>
      <c r="D60" s="1">
        <v>43739</v>
      </c>
      <c r="E60" s="13" t="str">
        <f t="shared" si="0"/>
        <v>Spring</v>
      </c>
      <c r="F60">
        <v>47</v>
      </c>
      <c r="G60">
        <v>116</v>
      </c>
      <c r="H60" s="7">
        <f>F60+G60</f>
        <v>163</v>
      </c>
      <c r="I60">
        <v>38</v>
      </c>
      <c r="J60">
        <v>78</v>
      </c>
      <c r="K60" s="34">
        <f>F60+G60-I60</f>
        <v>125</v>
      </c>
      <c r="L60" s="34">
        <f>J60-K60</f>
        <v>-47</v>
      </c>
      <c r="M60" s="32">
        <f>I60/((F60+J60)/2)</f>
        <v>0.60799999999999998</v>
      </c>
      <c r="N60">
        <v>19</v>
      </c>
      <c r="O60">
        <v>0.86607353323176195</v>
      </c>
      <c r="P60" s="2">
        <v>72.146257214624598</v>
      </c>
    </row>
    <row r="61" spans="1:16" x14ac:dyDescent="0.2">
      <c r="A61">
        <v>6</v>
      </c>
      <c r="B61" t="s">
        <v>15</v>
      </c>
      <c r="C61" s="7" t="str">
        <f>IF(B61="Smartphone", "Electronics", IF(B61="Laptop", "Computing", IF(B61="Tablet", "Mobile", IF(B61="Smartwatch", "Wearables", IF(B61="Headphones", "Audio", "Photography")))))</f>
        <v>Photography</v>
      </c>
      <c r="D61" s="1">
        <v>43739</v>
      </c>
      <c r="E61" s="13" t="str">
        <f t="shared" si="0"/>
        <v>Spring</v>
      </c>
      <c r="F61">
        <v>13</v>
      </c>
      <c r="G61">
        <v>349</v>
      </c>
      <c r="H61" s="7">
        <f>F61+G61</f>
        <v>362</v>
      </c>
      <c r="I61">
        <v>317</v>
      </c>
      <c r="J61">
        <v>32</v>
      </c>
      <c r="K61" s="34">
        <f>F61+G61-I61</f>
        <v>45</v>
      </c>
      <c r="L61" s="34">
        <f>J61-K61</f>
        <v>-13</v>
      </c>
      <c r="M61" s="32">
        <f>I61/((F61+J61)/2)</f>
        <v>14.088888888888889</v>
      </c>
      <c r="N61">
        <v>23</v>
      </c>
      <c r="O61">
        <v>0.90378361470236102</v>
      </c>
      <c r="P61" s="2">
        <v>67.736387876091698</v>
      </c>
    </row>
    <row r="62" spans="1:16" x14ac:dyDescent="0.2">
      <c r="A62">
        <v>1</v>
      </c>
      <c r="B62" t="s">
        <v>10</v>
      </c>
      <c r="C62" s="7" t="str">
        <f>IF(B62="Smartphone", "Electronics", IF(B62="Laptop", "Computing", IF(B62="Tablet", "Mobile", IF(B62="Smartwatch", "Wearables", IF(B62="Headphones", "Audio", "Photography")))))</f>
        <v>Electronics</v>
      </c>
      <c r="D62" s="1">
        <v>43770</v>
      </c>
      <c r="E62" s="13" t="str">
        <f t="shared" si="0"/>
        <v>Spring</v>
      </c>
      <c r="F62">
        <v>3</v>
      </c>
      <c r="G62">
        <v>430</v>
      </c>
      <c r="H62" s="7">
        <f>F62+G62</f>
        <v>433</v>
      </c>
      <c r="I62">
        <v>443</v>
      </c>
      <c r="J62">
        <v>60</v>
      </c>
      <c r="K62" s="34">
        <f>F62+G62-I62</f>
        <v>-10</v>
      </c>
      <c r="L62" s="34">
        <f>J62-K62</f>
        <v>70</v>
      </c>
      <c r="M62" s="32">
        <f>I62/((F62+J62)/2)</f>
        <v>14.063492063492063</v>
      </c>
      <c r="N62">
        <v>29</v>
      </c>
      <c r="O62">
        <v>0.881917736115717</v>
      </c>
      <c r="P62" s="2">
        <v>52.276153385806701</v>
      </c>
    </row>
    <row r="63" spans="1:16" x14ac:dyDescent="0.2">
      <c r="A63">
        <v>2</v>
      </c>
      <c r="B63" t="s">
        <v>11</v>
      </c>
      <c r="C63" s="7" t="str">
        <f>IF(B63="Smartphone", "Electronics", IF(B63="Laptop", "Computing", IF(B63="Tablet", "Mobile", IF(B63="Smartwatch", "Wearables", IF(B63="Headphones", "Audio", "Photography")))))</f>
        <v>Computing</v>
      </c>
      <c r="D63" s="1">
        <v>43770</v>
      </c>
      <c r="E63" s="13" t="str">
        <f t="shared" si="0"/>
        <v>Spring</v>
      </c>
      <c r="F63">
        <v>21</v>
      </c>
      <c r="G63">
        <v>107</v>
      </c>
      <c r="H63" s="7">
        <f>F63+G63</f>
        <v>128</v>
      </c>
      <c r="I63">
        <v>100</v>
      </c>
      <c r="J63">
        <v>7</v>
      </c>
      <c r="K63" s="34">
        <f>F63+G63-I63</f>
        <v>28</v>
      </c>
      <c r="L63" s="34">
        <f>J63-K63</f>
        <v>-21</v>
      </c>
      <c r="M63" s="32">
        <f>I63/((F63+J63)/2)</f>
        <v>7.1428571428571432</v>
      </c>
      <c r="N63">
        <v>7</v>
      </c>
      <c r="O63">
        <v>0.99839494714640598</v>
      </c>
      <c r="P63" s="2">
        <v>239.57900585900001</v>
      </c>
    </row>
    <row r="64" spans="1:16" x14ac:dyDescent="0.2">
      <c r="A64">
        <v>3</v>
      </c>
      <c r="B64" t="s">
        <v>12</v>
      </c>
      <c r="C64" s="7" t="str">
        <f>IF(B64="Smartphone", "Electronics", IF(B64="Laptop", "Computing", IF(B64="Tablet", "Mobile", IF(B64="Smartwatch", "Wearables", IF(B64="Headphones", "Audio", "Photography")))))</f>
        <v>Mobile</v>
      </c>
      <c r="D64" s="1">
        <v>43770</v>
      </c>
      <c r="E64" s="13" t="str">
        <f t="shared" si="0"/>
        <v>Spring</v>
      </c>
      <c r="F64">
        <v>6</v>
      </c>
      <c r="G64">
        <v>308</v>
      </c>
      <c r="H64" s="7">
        <f>F64+G64</f>
        <v>314</v>
      </c>
      <c r="I64">
        <v>254</v>
      </c>
      <c r="J64">
        <v>54</v>
      </c>
      <c r="K64" s="34">
        <f>F64+G64-I64</f>
        <v>60</v>
      </c>
      <c r="L64" s="34">
        <f>J64-K64</f>
        <v>-6</v>
      </c>
      <c r="M64" s="32">
        <f>I64/((F64+J64)/2)</f>
        <v>8.4666666666666668</v>
      </c>
      <c r="N64">
        <v>12</v>
      </c>
      <c r="O64">
        <v>0.90093901521582198</v>
      </c>
      <c r="P64" s="2">
        <v>89.556977912926797</v>
      </c>
    </row>
    <row r="65" spans="1:16" x14ac:dyDescent="0.2">
      <c r="A65">
        <v>4</v>
      </c>
      <c r="B65" t="s">
        <v>13</v>
      </c>
      <c r="C65" s="7" t="str">
        <f>IF(B65="Smartphone", "Electronics", IF(B65="Laptop", "Computing", IF(B65="Tablet", "Mobile", IF(B65="Smartwatch", "Wearables", IF(B65="Headphones", "Audio", "Photography")))))</f>
        <v>Wearables</v>
      </c>
      <c r="D65" s="1">
        <v>43770</v>
      </c>
      <c r="E65" s="13" t="str">
        <f t="shared" si="0"/>
        <v>Spring</v>
      </c>
      <c r="F65">
        <v>45</v>
      </c>
      <c r="G65">
        <v>391</v>
      </c>
      <c r="H65" s="7">
        <f>F65+G65</f>
        <v>436</v>
      </c>
      <c r="I65">
        <v>326</v>
      </c>
      <c r="J65">
        <v>65</v>
      </c>
      <c r="K65" s="34">
        <f>F65+G65-I65</f>
        <v>110</v>
      </c>
      <c r="L65" s="34">
        <f>J65-K65</f>
        <v>-45</v>
      </c>
      <c r="M65" s="32">
        <f>I65/((F65+J65)/2)</f>
        <v>5.9272727272727277</v>
      </c>
      <c r="N65">
        <v>15</v>
      </c>
      <c r="O65">
        <v>0.93268559401280904</v>
      </c>
      <c r="P65" s="2">
        <v>76.312615294337704</v>
      </c>
    </row>
    <row r="66" spans="1:16" x14ac:dyDescent="0.2">
      <c r="A66">
        <v>5</v>
      </c>
      <c r="B66" t="s">
        <v>14</v>
      </c>
      <c r="C66" s="7" t="str">
        <f>IF(B66="Smartphone", "Electronics", IF(B66="Laptop", "Computing", IF(B66="Tablet", "Mobile", IF(B66="Smartwatch", "Wearables", IF(B66="Headphones", "Audio", "Photography")))))</f>
        <v>Audio</v>
      </c>
      <c r="D66" s="1">
        <v>43770</v>
      </c>
      <c r="E66" s="13" t="str">
        <f t="shared" si="0"/>
        <v>Spring</v>
      </c>
      <c r="F66">
        <v>35</v>
      </c>
      <c r="G66">
        <v>375</v>
      </c>
      <c r="H66" s="7">
        <f>F66+G66</f>
        <v>410</v>
      </c>
      <c r="I66">
        <v>310</v>
      </c>
      <c r="J66">
        <v>65</v>
      </c>
      <c r="K66" s="34">
        <f>F66+G66-I66</f>
        <v>100</v>
      </c>
      <c r="L66" s="34">
        <f>J66-K66</f>
        <v>-35</v>
      </c>
      <c r="M66" s="32">
        <f>I66/((F66+J66)/2)</f>
        <v>6.2</v>
      </c>
      <c r="N66">
        <v>25</v>
      </c>
      <c r="O66">
        <v>0.91086071548236702</v>
      </c>
      <c r="P66" s="2">
        <v>55.032914307840002</v>
      </c>
    </row>
    <row r="67" spans="1:16" x14ac:dyDescent="0.2">
      <c r="A67">
        <v>6</v>
      </c>
      <c r="B67" t="s">
        <v>15</v>
      </c>
      <c r="C67" s="7" t="str">
        <f>IF(B67="Smartphone", "Electronics", IF(B67="Laptop", "Computing", IF(B67="Tablet", "Mobile", IF(B67="Smartwatch", "Wearables", IF(B67="Headphones", "Audio", "Photography")))))</f>
        <v>Photography</v>
      </c>
      <c r="D67" s="1">
        <v>43770</v>
      </c>
      <c r="E67" s="13" t="str">
        <f t="shared" ref="E67:E130" si="1">IF(OR(MONTH(D67)=9, MONTH(D67)=10, MONTH(D67)=11), "Spring",
 IF(OR(MONTH(D67)=12, MONTH(D67)=1, MONTH(D67)=2), "Summer",
 IF(OR(MONTH(D67)=3, MONTH(D67)=4, MONTH(D67)=5), "Autumn",
 IF(OR(MONTH(D67)=6, MONTH(D67)=7, MONTH(D67)=8), "Winter", "Unknown"
))))</f>
        <v>Spring</v>
      </c>
      <c r="F67">
        <v>341</v>
      </c>
      <c r="G67">
        <v>179</v>
      </c>
      <c r="H67" s="7">
        <f>F67+G67</f>
        <v>520</v>
      </c>
      <c r="I67">
        <v>489</v>
      </c>
      <c r="J67">
        <v>2</v>
      </c>
      <c r="K67" s="34">
        <f>F67+G67-I67</f>
        <v>31</v>
      </c>
      <c r="L67" s="34">
        <f>J67-K67</f>
        <v>-29</v>
      </c>
      <c r="M67" s="32">
        <f>I67/((F67+J67)/2)</f>
        <v>2.8513119533527695</v>
      </c>
      <c r="N67">
        <v>5</v>
      </c>
      <c r="O67">
        <v>0.88266834082545798</v>
      </c>
      <c r="P67" s="2">
        <v>117.479174643319</v>
      </c>
    </row>
    <row r="68" spans="1:16" x14ac:dyDescent="0.2">
      <c r="A68">
        <v>1</v>
      </c>
      <c r="B68" t="s">
        <v>10</v>
      </c>
      <c r="C68" s="7" t="str">
        <f>IF(B68="Smartphone", "Electronics", IF(B68="Laptop", "Computing", IF(B68="Tablet", "Mobile", IF(B68="Smartwatch", "Wearables", IF(B68="Headphones", "Audio", "Photography")))))</f>
        <v>Electronics</v>
      </c>
      <c r="D68" s="1">
        <v>43800</v>
      </c>
      <c r="E68" s="13" t="str">
        <f t="shared" si="1"/>
        <v>Summer</v>
      </c>
      <c r="F68">
        <v>15</v>
      </c>
      <c r="G68">
        <v>264</v>
      </c>
      <c r="H68" s="7">
        <f>F68+G68</f>
        <v>279</v>
      </c>
      <c r="I68">
        <v>192</v>
      </c>
      <c r="J68">
        <v>72</v>
      </c>
      <c r="K68" s="34">
        <f>F68+G68-I68</f>
        <v>87</v>
      </c>
      <c r="L68" s="34">
        <f>J68-K68</f>
        <v>-15</v>
      </c>
      <c r="M68" s="32">
        <f>I68/((F68+J68)/2)</f>
        <v>4.4137931034482758</v>
      </c>
      <c r="N68">
        <v>15</v>
      </c>
      <c r="O68">
        <v>0.80375941610186596</v>
      </c>
      <c r="P68" s="2">
        <v>40.453491693959698</v>
      </c>
    </row>
    <row r="69" spans="1:16" x14ac:dyDescent="0.2">
      <c r="A69">
        <v>2</v>
      </c>
      <c r="B69" t="s">
        <v>11</v>
      </c>
      <c r="C69" s="7" t="str">
        <f>IF(B69="Smartphone", "Electronics", IF(B69="Laptop", "Computing", IF(B69="Tablet", "Mobile", IF(B69="Smartwatch", "Wearables", IF(B69="Headphones", "Audio", "Photography")))))</f>
        <v>Computing</v>
      </c>
      <c r="D69" s="1">
        <v>43800</v>
      </c>
      <c r="E69" s="13" t="str">
        <f t="shared" si="1"/>
        <v>Summer</v>
      </c>
      <c r="F69">
        <v>80</v>
      </c>
      <c r="G69">
        <v>221</v>
      </c>
      <c r="H69" s="7">
        <f>F69+G69</f>
        <v>301</v>
      </c>
      <c r="I69">
        <v>206</v>
      </c>
      <c r="J69">
        <v>15</v>
      </c>
      <c r="K69" s="34">
        <f>F69+G69-I69</f>
        <v>95</v>
      </c>
      <c r="L69" s="34">
        <f>J69-K69</f>
        <v>-80</v>
      </c>
      <c r="M69" s="32">
        <f>I69/((F69+J69)/2)</f>
        <v>4.3368421052631581</v>
      </c>
      <c r="N69">
        <v>8</v>
      </c>
      <c r="O69">
        <v>0.896069118072925</v>
      </c>
      <c r="P69" s="2">
        <v>37.307139158770198</v>
      </c>
    </row>
    <row r="70" spans="1:16" x14ac:dyDescent="0.2">
      <c r="A70">
        <v>3</v>
      </c>
      <c r="B70" t="s">
        <v>12</v>
      </c>
      <c r="C70" s="7" t="str">
        <f>IF(B70="Smartphone", "Electronics", IF(B70="Laptop", "Computing", IF(B70="Tablet", "Mobile", IF(B70="Smartwatch", "Wearables", IF(B70="Headphones", "Audio", "Photography")))))</f>
        <v>Mobile</v>
      </c>
      <c r="D70" s="1">
        <v>43800</v>
      </c>
      <c r="E70" s="13" t="str">
        <f t="shared" si="1"/>
        <v>Summer</v>
      </c>
      <c r="F70">
        <v>115</v>
      </c>
      <c r="G70">
        <v>307</v>
      </c>
      <c r="H70" s="7">
        <f>F70+G70</f>
        <v>422</v>
      </c>
      <c r="I70">
        <v>217</v>
      </c>
      <c r="J70">
        <v>90</v>
      </c>
      <c r="K70" s="34">
        <f>F70+G70-I70</f>
        <v>205</v>
      </c>
      <c r="L70" s="34">
        <f>J70-K70</f>
        <v>-115</v>
      </c>
      <c r="M70" s="32">
        <f>I70/((F70+J70)/2)</f>
        <v>2.1170731707317074</v>
      </c>
      <c r="N70">
        <v>10</v>
      </c>
      <c r="O70">
        <v>1</v>
      </c>
      <c r="P70" s="2">
        <v>81.655166828979404</v>
      </c>
    </row>
    <row r="71" spans="1:16" x14ac:dyDescent="0.2">
      <c r="A71">
        <v>4</v>
      </c>
      <c r="B71" t="s">
        <v>13</v>
      </c>
      <c r="C71" s="7" t="str">
        <f>IF(B71="Smartphone", "Electronics", IF(B71="Laptop", "Computing", IF(B71="Tablet", "Mobile", IF(B71="Smartwatch", "Wearables", IF(B71="Headphones", "Audio", "Photography")))))</f>
        <v>Wearables</v>
      </c>
      <c r="D71" s="1">
        <v>43800</v>
      </c>
      <c r="E71" s="13" t="str">
        <f t="shared" si="1"/>
        <v>Summer</v>
      </c>
      <c r="F71">
        <v>95</v>
      </c>
      <c r="G71">
        <v>151</v>
      </c>
      <c r="H71" s="7">
        <f>F71+G71</f>
        <v>246</v>
      </c>
      <c r="I71">
        <v>103</v>
      </c>
      <c r="J71">
        <v>48</v>
      </c>
      <c r="K71" s="34">
        <f>F71+G71-I71</f>
        <v>143</v>
      </c>
      <c r="L71" s="34">
        <f>J71-K71</f>
        <v>-95</v>
      </c>
      <c r="M71" s="32">
        <f>I71/((F71+J71)/2)</f>
        <v>1.4405594405594406</v>
      </c>
      <c r="N71">
        <v>26</v>
      </c>
      <c r="O71">
        <v>0.83777708000810802</v>
      </c>
      <c r="P71" s="2">
        <v>96.285501756584594</v>
      </c>
    </row>
    <row r="72" spans="1:16" x14ac:dyDescent="0.2">
      <c r="A72">
        <v>5</v>
      </c>
      <c r="B72" t="s">
        <v>14</v>
      </c>
      <c r="C72" s="7" t="str">
        <f>IF(B72="Smartphone", "Electronics", IF(B72="Laptop", "Computing", IF(B72="Tablet", "Mobile", IF(B72="Smartwatch", "Wearables", IF(B72="Headphones", "Audio", "Photography")))))</f>
        <v>Audio</v>
      </c>
      <c r="D72" s="1">
        <v>43800</v>
      </c>
      <c r="E72" s="13" t="str">
        <f t="shared" si="1"/>
        <v>Summer</v>
      </c>
      <c r="F72">
        <v>35</v>
      </c>
      <c r="G72">
        <v>258</v>
      </c>
      <c r="H72" s="7">
        <f>F72+G72</f>
        <v>293</v>
      </c>
      <c r="I72">
        <v>223</v>
      </c>
      <c r="J72">
        <v>35</v>
      </c>
      <c r="K72" s="34">
        <f>F72+G72-I72</f>
        <v>70</v>
      </c>
      <c r="L72" s="34">
        <f>J72-K72</f>
        <v>-35</v>
      </c>
      <c r="M72" s="32">
        <f>I72/((F72+J72)/2)</f>
        <v>6.371428571428571</v>
      </c>
      <c r="N72">
        <v>16</v>
      </c>
      <c r="O72">
        <v>0.80925634778128797</v>
      </c>
      <c r="P72" s="2">
        <v>117.370677901858</v>
      </c>
    </row>
    <row r="73" spans="1:16" x14ac:dyDescent="0.2">
      <c r="A73">
        <v>6</v>
      </c>
      <c r="B73" t="s">
        <v>15</v>
      </c>
      <c r="C73" s="7" t="str">
        <f>IF(B73="Smartphone", "Electronics", IF(B73="Laptop", "Computing", IF(B73="Tablet", "Mobile", IF(B73="Smartwatch", "Wearables", IF(B73="Headphones", "Audio", "Photography")))))</f>
        <v>Photography</v>
      </c>
      <c r="D73" s="1">
        <v>43800</v>
      </c>
      <c r="E73" s="13" t="str">
        <f t="shared" si="1"/>
        <v>Summer</v>
      </c>
      <c r="F73">
        <v>90</v>
      </c>
      <c r="G73">
        <v>340</v>
      </c>
      <c r="H73" s="7">
        <f>F73+G73</f>
        <v>430</v>
      </c>
      <c r="I73">
        <v>298</v>
      </c>
      <c r="J73">
        <v>42</v>
      </c>
      <c r="K73" s="34">
        <f>F73+G73-I73</f>
        <v>132</v>
      </c>
      <c r="L73" s="34">
        <f>J73-K73</f>
        <v>-90</v>
      </c>
      <c r="M73" s="32">
        <f>I73/((F73+J73)/2)</f>
        <v>4.5151515151515156</v>
      </c>
      <c r="N73">
        <v>8</v>
      </c>
      <c r="O73">
        <v>0.99681946512844499</v>
      </c>
      <c r="P73" s="2">
        <v>83.574056140398596</v>
      </c>
    </row>
    <row r="74" spans="1:16" x14ac:dyDescent="0.2">
      <c r="A74">
        <v>1</v>
      </c>
      <c r="B74" t="s">
        <v>10</v>
      </c>
      <c r="C74" s="7" t="str">
        <f>IF(B74="Smartphone", "Electronics", IF(B74="Laptop", "Computing", IF(B74="Tablet", "Mobile", IF(B74="Smartwatch", "Wearables", IF(B74="Headphones", "Audio", "Photography")))))</f>
        <v>Electronics</v>
      </c>
      <c r="D74" s="1">
        <v>43831</v>
      </c>
      <c r="E74" s="13" t="str">
        <f t="shared" si="1"/>
        <v>Summer</v>
      </c>
      <c r="F74">
        <v>60</v>
      </c>
      <c r="G74">
        <v>403</v>
      </c>
      <c r="H74" s="7">
        <f>F74+G74</f>
        <v>463</v>
      </c>
      <c r="I74">
        <v>315</v>
      </c>
      <c r="J74">
        <v>88</v>
      </c>
      <c r="K74" s="34">
        <f>F74+G74-I74</f>
        <v>148</v>
      </c>
      <c r="L74" s="34">
        <f>J74-K74</f>
        <v>-60</v>
      </c>
      <c r="M74" s="32">
        <f>I74/((F74+J74)/2)</f>
        <v>4.256756756756757</v>
      </c>
      <c r="N74">
        <v>1</v>
      </c>
      <c r="O74">
        <v>0.93710414849346602</v>
      </c>
      <c r="P74" s="2">
        <v>73.449654170874396</v>
      </c>
    </row>
    <row r="75" spans="1:16" x14ac:dyDescent="0.2">
      <c r="A75">
        <v>2</v>
      </c>
      <c r="B75" t="s">
        <v>11</v>
      </c>
      <c r="C75" s="7" t="str">
        <f>IF(B75="Smartphone", "Electronics", IF(B75="Laptop", "Computing", IF(B75="Tablet", "Mobile", IF(B75="Smartwatch", "Wearables", IF(B75="Headphones", "Audio", "Photography")))))</f>
        <v>Computing</v>
      </c>
      <c r="D75" s="1">
        <v>43831</v>
      </c>
      <c r="E75" s="13" t="str">
        <f t="shared" si="1"/>
        <v>Summer</v>
      </c>
      <c r="F75">
        <v>70</v>
      </c>
      <c r="G75">
        <v>335</v>
      </c>
      <c r="H75" s="7">
        <f>F75+G75</f>
        <v>405</v>
      </c>
      <c r="I75">
        <v>379</v>
      </c>
      <c r="J75">
        <v>118</v>
      </c>
      <c r="K75" s="34">
        <f>F75+G75-I75</f>
        <v>26</v>
      </c>
      <c r="L75" s="34">
        <f>J75-K75</f>
        <v>92</v>
      </c>
      <c r="M75" s="32">
        <f>I75/((F75+J75)/2)</f>
        <v>4.0319148936170217</v>
      </c>
      <c r="N75">
        <v>12</v>
      </c>
      <c r="O75">
        <v>0.90937099402617105</v>
      </c>
      <c r="P75" s="2">
        <v>124.67498077203599</v>
      </c>
    </row>
    <row r="76" spans="1:16" x14ac:dyDescent="0.2">
      <c r="A76">
        <v>3</v>
      </c>
      <c r="B76" t="s">
        <v>12</v>
      </c>
      <c r="C76" s="7" t="str">
        <f>IF(B76="Smartphone", "Electronics", IF(B76="Laptop", "Computing", IF(B76="Tablet", "Mobile", IF(B76="Smartwatch", "Wearables", IF(B76="Headphones", "Audio", "Photography")))))</f>
        <v>Mobile</v>
      </c>
      <c r="D76" s="1">
        <v>43831</v>
      </c>
      <c r="E76" s="13" t="str">
        <f t="shared" si="1"/>
        <v>Summer</v>
      </c>
      <c r="F76">
        <v>60</v>
      </c>
      <c r="G76">
        <v>165</v>
      </c>
      <c r="H76" s="7">
        <f>F76+G76</f>
        <v>225</v>
      </c>
      <c r="I76">
        <v>94</v>
      </c>
      <c r="J76">
        <v>71</v>
      </c>
      <c r="K76" s="34">
        <f>F76+G76-I76</f>
        <v>131</v>
      </c>
      <c r="L76" s="34">
        <f>J76-K76</f>
        <v>-60</v>
      </c>
      <c r="M76" s="32">
        <f>I76/((F76+J76)/2)</f>
        <v>1.4351145038167938</v>
      </c>
      <c r="N76">
        <v>5</v>
      </c>
      <c r="O76">
        <v>0.96813369311835296</v>
      </c>
      <c r="P76" s="2">
        <v>72.333283560589905</v>
      </c>
    </row>
    <row r="77" spans="1:16" x14ac:dyDescent="0.2">
      <c r="A77">
        <v>4</v>
      </c>
      <c r="B77" t="s">
        <v>13</v>
      </c>
      <c r="C77" s="7" t="str">
        <f>IF(B77="Smartphone", "Electronics", IF(B77="Laptop", "Computing", IF(B77="Tablet", "Mobile", IF(B77="Smartwatch", "Wearables", IF(B77="Headphones", "Audio", "Photography")))))</f>
        <v>Wearables</v>
      </c>
      <c r="D77" s="1">
        <v>43831</v>
      </c>
      <c r="E77" s="13" t="str">
        <f t="shared" si="1"/>
        <v>Summer</v>
      </c>
      <c r="F77">
        <v>62</v>
      </c>
      <c r="G77">
        <v>313</v>
      </c>
      <c r="H77" s="7">
        <f>F77+G77</f>
        <v>375</v>
      </c>
      <c r="I77">
        <v>273</v>
      </c>
      <c r="J77">
        <v>40</v>
      </c>
      <c r="K77" s="34">
        <f>F77+G77-I77</f>
        <v>102</v>
      </c>
      <c r="L77" s="34">
        <f>J77-K77</f>
        <v>-62</v>
      </c>
      <c r="M77" s="32">
        <f>I77/((F77+J77)/2)</f>
        <v>5.3529411764705879</v>
      </c>
      <c r="N77">
        <v>3</v>
      </c>
      <c r="O77">
        <v>0.85842490285219497</v>
      </c>
      <c r="P77" s="2">
        <v>64.091805424332406</v>
      </c>
    </row>
    <row r="78" spans="1:16" x14ac:dyDescent="0.2">
      <c r="A78">
        <v>5</v>
      </c>
      <c r="B78" t="s">
        <v>14</v>
      </c>
      <c r="C78" s="7" t="str">
        <f>IF(B78="Smartphone", "Electronics", IF(B78="Laptop", "Computing", IF(B78="Tablet", "Mobile", IF(B78="Smartwatch", "Wearables", IF(B78="Headphones", "Audio", "Photography")))))</f>
        <v>Audio</v>
      </c>
      <c r="D78" s="1">
        <v>43831</v>
      </c>
      <c r="E78" s="13" t="str">
        <f t="shared" si="1"/>
        <v>Summer</v>
      </c>
      <c r="F78">
        <v>73</v>
      </c>
      <c r="G78">
        <v>199</v>
      </c>
      <c r="H78" s="7">
        <f>F78+G78</f>
        <v>272</v>
      </c>
      <c r="I78">
        <v>127</v>
      </c>
      <c r="J78">
        <v>72</v>
      </c>
      <c r="K78" s="34">
        <f>F78+G78-I78</f>
        <v>145</v>
      </c>
      <c r="L78" s="34">
        <f>J78-K78</f>
        <v>-73</v>
      </c>
      <c r="M78" s="32">
        <f>I78/((F78+J78)/2)</f>
        <v>1.7517241379310344</v>
      </c>
      <c r="N78">
        <v>1</v>
      </c>
      <c r="O78">
        <v>0.89467026195426702</v>
      </c>
      <c r="P78" s="2">
        <v>92.921740974054003</v>
      </c>
    </row>
    <row r="79" spans="1:16" x14ac:dyDescent="0.2">
      <c r="A79">
        <v>6</v>
      </c>
      <c r="B79" t="s">
        <v>15</v>
      </c>
      <c r="C79" s="7" t="str">
        <f>IF(B79="Smartphone", "Electronics", IF(B79="Laptop", "Computing", IF(B79="Tablet", "Mobile", IF(B79="Smartwatch", "Wearables", IF(B79="Headphones", "Audio", "Photography")))))</f>
        <v>Photography</v>
      </c>
      <c r="D79" s="1">
        <v>43831</v>
      </c>
      <c r="E79" s="13" t="str">
        <f t="shared" si="1"/>
        <v>Summer</v>
      </c>
      <c r="F79">
        <v>63</v>
      </c>
      <c r="G79">
        <v>349</v>
      </c>
      <c r="H79" s="7">
        <f>F79+G79</f>
        <v>412</v>
      </c>
      <c r="I79">
        <v>253</v>
      </c>
      <c r="J79">
        <v>96</v>
      </c>
      <c r="K79" s="34">
        <f>F79+G79-I79</f>
        <v>159</v>
      </c>
      <c r="L79" s="34">
        <f>J79-K79</f>
        <v>-63</v>
      </c>
      <c r="M79" s="32">
        <f>I79/((F79+J79)/2)</f>
        <v>3.1823899371069184</v>
      </c>
      <c r="N79">
        <v>4</v>
      </c>
      <c r="O79">
        <v>0.94775770584504104</v>
      </c>
      <c r="P79" s="2">
        <v>34.434849234606098</v>
      </c>
    </row>
    <row r="80" spans="1:16" x14ac:dyDescent="0.2">
      <c r="A80">
        <v>1</v>
      </c>
      <c r="B80" t="s">
        <v>10</v>
      </c>
      <c r="C80" s="7" t="str">
        <f>IF(B80="Smartphone", "Electronics", IF(B80="Laptop", "Computing", IF(B80="Tablet", "Mobile", IF(B80="Smartwatch", "Wearables", IF(B80="Headphones", "Audio", "Photography")))))</f>
        <v>Electronics</v>
      </c>
      <c r="D80" s="1">
        <v>43862</v>
      </c>
      <c r="E80" s="13" t="str">
        <f t="shared" si="1"/>
        <v>Summer</v>
      </c>
      <c r="F80">
        <v>83</v>
      </c>
      <c r="G80">
        <v>491</v>
      </c>
      <c r="H80" s="7">
        <f>F80+G80</f>
        <v>574</v>
      </c>
      <c r="I80">
        <v>404</v>
      </c>
      <c r="J80">
        <v>87</v>
      </c>
      <c r="K80" s="34">
        <f>F80+G80-I80</f>
        <v>170</v>
      </c>
      <c r="L80" s="34">
        <f>J80-K80</f>
        <v>-83</v>
      </c>
      <c r="M80" s="32">
        <f>I80/((F80+J80)/2)</f>
        <v>4.7529411764705882</v>
      </c>
      <c r="N80">
        <v>8</v>
      </c>
      <c r="O80">
        <v>1</v>
      </c>
      <c r="P80" s="2">
        <v>8.49615763598357</v>
      </c>
    </row>
    <row r="81" spans="1:16" x14ac:dyDescent="0.2">
      <c r="A81">
        <v>2</v>
      </c>
      <c r="B81" t="s">
        <v>11</v>
      </c>
      <c r="C81" s="7" t="str">
        <f>IF(B81="Smartphone", "Electronics", IF(B81="Laptop", "Computing", IF(B81="Tablet", "Mobile", IF(B81="Smartwatch", "Wearables", IF(B81="Headphones", "Audio", "Photography")))))</f>
        <v>Computing</v>
      </c>
      <c r="D81" s="1">
        <v>43862</v>
      </c>
      <c r="E81" s="13" t="str">
        <f t="shared" si="1"/>
        <v>Summer</v>
      </c>
      <c r="F81">
        <v>126</v>
      </c>
      <c r="G81">
        <v>85</v>
      </c>
      <c r="H81" s="7">
        <f>F81+G81</f>
        <v>211</v>
      </c>
      <c r="I81">
        <v>188</v>
      </c>
      <c r="J81">
        <v>80</v>
      </c>
      <c r="K81" s="34">
        <f>F81+G81-I81</f>
        <v>23</v>
      </c>
      <c r="L81" s="34">
        <f>J81-K81</f>
        <v>57</v>
      </c>
      <c r="M81" s="32">
        <f>I81/((F81+J81)/2)</f>
        <v>1.825242718446602</v>
      </c>
      <c r="N81">
        <v>3</v>
      </c>
      <c r="O81">
        <v>0.84157278426716897</v>
      </c>
      <c r="P81" s="2">
        <v>38.253515381567901</v>
      </c>
    </row>
    <row r="82" spans="1:16" x14ac:dyDescent="0.2">
      <c r="A82">
        <v>3</v>
      </c>
      <c r="B82" t="s">
        <v>12</v>
      </c>
      <c r="C82" s="7" t="str">
        <f>IF(B82="Smartphone", "Electronics", IF(B82="Laptop", "Computing", IF(B82="Tablet", "Mobile", IF(B82="Smartwatch", "Wearables", IF(B82="Headphones", "Audio", "Photography")))))</f>
        <v>Mobile</v>
      </c>
      <c r="D82" s="1">
        <v>43862</v>
      </c>
      <c r="E82" s="13" t="str">
        <f t="shared" si="1"/>
        <v>Summer</v>
      </c>
      <c r="F82">
        <v>2</v>
      </c>
      <c r="G82">
        <v>382</v>
      </c>
      <c r="H82" s="7">
        <f>F82+G82</f>
        <v>384</v>
      </c>
      <c r="I82">
        <v>298</v>
      </c>
      <c r="J82">
        <v>84</v>
      </c>
      <c r="K82" s="34">
        <f>F82+G82-I82</f>
        <v>86</v>
      </c>
      <c r="L82" s="34">
        <f>J82-K82</f>
        <v>-2</v>
      </c>
      <c r="M82" s="32">
        <f>I82/((F82+J82)/2)</f>
        <v>6.9302325581395348</v>
      </c>
      <c r="N82">
        <v>10</v>
      </c>
      <c r="O82">
        <v>0.96403672292801901</v>
      </c>
      <c r="P82" s="2">
        <v>40.052292062218903</v>
      </c>
    </row>
    <row r="83" spans="1:16" x14ac:dyDescent="0.2">
      <c r="A83">
        <v>4</v>
      </c>
      <c r="B83" t="s">
        <v>13</v>
      </c>
      <c r="C83" s="7" t="str">
        <f>IF(B83="Smartphone", "Electronics", IF(B83="Laptop", "Computing", IF(B83="Tablet", "Mobile", IF(B83="Smartwatch", "Wearables", IF(B83="Headphones", "Audio", "Photography")))))</f>
        <v>Wearables</v>
      </c>
      <c r="D83" s="1">
        <v>43862</v>
      </c>
      <c r="E83" s="13" t="str">
        <f t="shared" si="1"/>
        <v>Summer</v>
      </c>
      <c r="F83">
        <v>78</v>
      </c>
      <c r="G83">
        <v>336</v>
      </c>
      <c r="H83" s="7">
        <f>F83+G83</f>
        <v>414</v>
      </c>
      <c r="I83">
        <v>261</v>
      </c>
      <c r="J83">
        <v>75</v>
      </c>
      <c r="K83" s="34">
        <f>F83+G83-I83</f>
        <v>153</v>
      </c>
      <c r="L83" s="34">
        <f>J83-K83</f>
        <v>-78</v>
      </c>
      <c r="M83" s="32">
        <f>I83/((F83+J83)/2)</f>
        <v>3.4117647058823528</v>
      </c>
      <c r="N83">
        <v>2</v>
      </c>
      <c r="O83">
        <v>0.91909195304204905</v>
      </c>
      <c r="P83" s="2">
        <v>115.83798136334001</v>
      </c>
    </row>
    <row r="84" spans="1:16" x14ac:dyDescent="0.2">
      <c r="A84">
        <v>5</v>
      </c>
      <c r="B84" t="s">
        <v>14</v>
      </c>
      <c r="C84" s="7" t="str">
        <f>IF(B84="Smartphone", "Electronics", IF(B84="Laptop", "Computing", IF(B84="Tablet", "Mobile", IF(B84="Smartwatch", "Wearables", IF(B84="Headphones", "Audio", "Photography")))))</f>
        <v>Audio</v>
      </c>
      <c r="D84" s="1">
        <v>43862</v>
      </c>
      <c r="E84" s="13" t="str">
        <f t="shared" si="1"/>
        <v>Summer</v>
      </c>
      <c r="F84">
        <v>41</v>
      </c>
      <c r="G84">
        <v>352</v>
      </c>
      <c r="H84" s="7">
        <f>F84+G84</f>
        <v>393</v>
      </c>
      <c r="I84">
        <v>324</v>
      </c>
      <c r="J84">
        <v>28</v>
      </c>
      <c r="K84" s="34">
        <f>F84+G84-I84</f>
        <v>69</v>
      </c>
      <c r="L84" s="34">
        <f>J84-K84</f>
        <v>-41</v>
      </c>
      <c r="M84" s="32">
        <f>I84/((F84+J84)/2)</f>
        <v>9.3913043478260878</v>
      </c>
      <c r="N84">
        <v>11</v>
      </c>
      <c r="O84">
        <v>0.90815305337147001</v>
      </c>
      <c r="P84" s="2">
        <v>23.413711494751901</v>
      </c>
    </row>
    <row r="85" spans="1:16" x14ac:dyDescent="0.2">
      <c r="A85">
        <v>6</v>
      </c>
      <c r="B85" t="s">
        <v>15</v>
      </c>
      <c r="C85" s="7" t="str">
        <f>IF(B85="Smartphone", "Electronics", IF(B85="Laptop", "Computing", IF(B85="Tablet", "Mobile", IF(B85="Smartwatch", "Wearables", IF(B85="Headphones", "Audio", "Photography")))))</f>
        <v>Photography</v>
      </c>
      <c r="D85" s="1">
        <v>43862</v>
      </c>
      <c r="E85" s="13" t="str">
        <f t="shared" si="1"/>
        <v>Summer</v>
      </c>
      <c r="F85">
        <v>77</v>
      </c>
      <c r="G85">
        <v>360</v>
      </c>
      <c r="H85" s="7">
        <f>F85+G85</f>
        <v>437</v>
      </c>
      <c r="I85">
        <v>309</v>
      </c>
      <c r="J85">
        <v>51</v>
      </c>
      <c r="K85" s="34">
        <f>F85+G85-I85</f>
        <v>128</v>
      </c>
      <c r="L85" s="34">
        <f>J85-K85</f>
        <v>-77</v>
      </c>
      <c r="M85" s="32">
        <f>I85/((F85+J85)/2)</f>
        <v>4.828125</v>
      </c>
      <c r="N85">
        <v>25</v>
      </c>
      <c r="O85">
        <v>0.89961353888726303</v>
      </c>
      <c r="P85" s="2">
        <v>32.029173284210998</v>
      </c>
    </row>
    <row r="86" spans="1:16" x14ac:dyDescent="0.2">
      <c r="A86">
        <v>1</v>
      </c>
      <c r="B86" t="s">
        <v>10</v>
      </c>
      <c r="C86" s="7" t="str">
        <f>IF(B86="Smartphone", "Electronics", IF(B86="Laptop", "Computing", IF(B86="Tablet", "Mobile", IF(B86="Smartwatch", "Wearables", IF(B86="Headphones", "Audio", "Photography")))))</f>
        <v>Electronics</v>
      </c>
      <c r="D86" s="1">
        <v>43891</v>
      </c>
      <c r="E86" s="13" t="str">
        <f t="shared" si="1"/>
        <v>Autumn</v>
      </c>
      <c r="F86">
        <v>95</v>
      </c>
      <c r="G86">
        <v>257</v>
      </c>
      <c r="H86" s="7">
        <f>F86+G86</f>
        <v>352</v>
      </c>
      <c r="I86">
        <v>446</v>
      </c>
      <c r="J86">
        <v>44</v>
      </c>
      <c r="K86" s="34">
        <f>F86+G86-I86</f>
        <v>-94</v>
      </c>
      <c r="L86" s="34">
        <f>J86-K86</f>
        <v>138</v>
      </c>
      <c r="M86" s="32">
        <f>I86/((F86+J86)/2)</f>
        <v>6.4172661870503598</v>
      </c>
      <c r="N86">
        <v>10</v>
      </c>
      <c r="O86">
        <v>0.83076766896526899</v>
      </c>
      <c r="P86" s="2">
        <v>45.626086306082797</v>
      </c>
    </row>
    <row r="87" spans="1:16" x14ac:dyDescent="0.2">
      <c r="A87">
        <v>2</v>
      </c>
      <c r="B87" t="s">
        <v>11</v>
      </c>
      <c r="C87" s="7" t="str">
        <f>IF(B87="Smartphone", "Electronics", IF(B87="Laptop", "Computing", IF(B87="Tablet", "Mobile", IF(B87="Smartwatch", "Wearables", IF(B87="Headphones", "Audio", "Photography")))))</f>
        <v>Computing</v>
      </c>
      <c r="D87" s="1">
        <v>43891</v>
      </c>
      <c r="E87" s="13" t="str">
        <f t="shared" si="1"/>
        <v>Autumn</v>
      </c>
      <c r="F87">
        <v>14</v>
      </c>
      <c r="G87">
        <v>155</v>
      </c>
      <c r="H87" s="7">
        <f>F87+G87</f>
        <v>169</v>
      </c>
      <c r="I87">
        <v>152</v>
      </c>
      <c r="J87">
        <v>3</v>
      </c>
      <c r="K87" s="34">
        <f>F87+G87-I87</f>
        <v>17</v>
      </c>
      <c r="L87" s="34">
        <f>J87-K87</f>
        <v>-14</v>
      </c>
      <c r="M87" s="32">
        <f>I87/((F87+J87)/2)</f>
        <v>17.882352941176471</v>
      </c>
      <c r="N87">
        <v>21</v>
      </c>
      <c r="O87">
        <v>0.94815444991065101</v>
      </c>
      <c r="P87" s="2">
        <v>63.643639385103498</v>
      </c>
    </row>
    <row r="88" spans="1:16" x14ac:dyDescent="0.2">
      <c r="A88">
        <v>3</v>
      </c>
      <c r="B88" t="s">
        <v>12</v>
      </c>
      <c r="C88" s="7" t="str">
        <f>IF(B88="Smartphone", "Electronics", IF(B88="Laptop", "Computing", IF(B88="Tablet", "Mobile", IF(B88="Smartwatch", "Wearables", IF(B88="Headphones", "Audio", "Photography")))))</f>
        <v>Mobile</v>
      </c>
      <c r="D88" s="1">
        <v>43891</v>
      </c>
      <c r="E88" s="13" t="str">
        <f t="shared" si="1"/>
        <v>Autumn</v>
      </c>
      <c r="F88">
        <v>36</v>
      </c>
      <c r="G88">
        <v>495</v>
      </c>
      <c r="H88" s="7">
        <f>F88+G88</f>
        <v>531</v>
      </c>
      <c r="I88">
        <v>343</v>
      </c>
      <c r="J88">
        <v>152</v>
      </c>
      <c r="K88" s="34">
        <f>F88+G88-I88</f>
        <v>188</v>
      </c>
      <c r="L88" s="34">
        <f>J88-K88</f>
        <v>-36</v>
      </c>
      <c r="M88" s="32">
        <f>I88/((F88+J88)/2)</f>
        <v>3.6489361702127661</v>
      </c>
      <c r="N88">
        <v>14</v>
      </c>
      <c r="O88">
        <v>0.860886548983683</v>
      </c>
      <c r="P88" s="2">
        <v>92.544620080080904</v>
      </c>
    </row>
    <row r="89" spans="1:16" x14ac:dyDescent="0.2">
      <c r="A89">
        <v>4</v>
      </c>
      <c r="B89" t="s">
        <v>13</v>
      </c>
      <c r="C89" s="7" t="str">
        <f>IF(B89="Smartphone", "Electronics", IF(B89="Laptop", "Computing", IF(B89="Tablet", "Mobile", IF(B89="Smartwatch", "Wearables", IF(B89="Headphones", "Audio", "Photography")))))</f>
        <v>Wearables</v>
      </c>
      <c r="D89" s="1">
        <v>43891</v>
      </c>
      <c r="E89" s="13" t="str">
        <f t="shared" si="1"/>
        <v>Autumn</v>
      </c>
      <c r="F89">
        <v>60</v>
      </c>
      <c r="G89">
        <v>207</v>
      </c>
      <c r="H89" s="7">
        <f>F89+G89</f>
        <v>267</v>
      </c>
      <c r="I89">
        <v>166</v>
      </c>
      <c r="J89">
        <v>41</v>
      </c>
      <c r="K89" s="34">
        <f>F89+G89-I89</f>
        <v>101</v>
      </c>
      <c r="L89" s="34">
        <f>J89-K89</f>
        <v>-60</v>
      </c>
      <c r="M89" s="32">
        <f>I89/((F89+J89)/2)</f>
        <v>3.2871287128712869</v>
      </c>
      <c r="N89">
        <v>7</v>
      </c>
      <c r="O89">
        <v>0.84601546487488199</v>
      </c>
      <c r="P89" s="2">
        <v>30.783134313186601</v>
      </c>
    </row>
    <row r="90" spans="1:16" x14ac:dyDescent="0.2">
      <c r="A90">
        <v>5</v>
      </c>
      <c r="B90" t="s">
        <v>14</v>
      </c>
      <c r="C90" s="7" t="str">
        <f>IF(B90="Smartphone", "Electronics", IF(B90="Laptop", "Computing", IF(B90="Tablet", "Mobile", IF(B90="Smartwatch", "Wearables", IF(B90="Headphones", "Audio", "Photography")))))</f>
        <v>Audio</v>
      </c>
      <c r="D90" s="1">
        <v>43891</v>
      </c>
      <c r="E90" s="13" t="str">
        <f t="shared" si="1"/>
        <v>Autumn</v>
      </c>
      <c r="F90">
        <v>37</v>
      </c>
      <c r="G90">
        <v>170</v>
      </c>
      <c r="H90" s="7">
        <f>F90+G90</f>
        <v>207</v>
      </c>
      <c r="I90">
        <v>71</v>
      </c>
      <c r="J90">
        <v>99</v>
      </c>
      <c r="K90" s="34">
        <f>F90+G90-I90</f>
        <v>136</v>
      </c>
      <c r="L90" s="34">
        <f>J90-K90</f>
        <v>-37</v>
      </c>
      <c r="M90" s="32">
        <f>I90/((F90+J90)/2)</f>
        <v>1.0441176470588236</v>
      </c>
      <c r="N90">
        <v>27</v>
      </c>
      <c r="O90">
        <v>0.94427294794501604</v>
      </c>
      <c r="P90" s="2">
        <v>81.901975536303794</v>
      </c>
    </row>
    <row r="91" spans="1:16" x14ac:dyDescent="0.2">
      <c r="A91">
        <v>6</v>
      </c>
      <c r="B91" t="s">
        <v>15</v>
      </c>
      <c r="C91" s="7" t="str">
        <f>IF(B91="Smartphone", "Electronics", IF(B91="Laptop", "Computing", IF(B91="Tablet", "Mobile", IF(B91="Smartwatch", "Wearables", IF(B91="Headphones", "Audio", "Photography")))))</f>
        <v>Photography</v>
      </c>
      <c r="D91" s="1">
        <v>43891</v>
      </c>
      <c r="E91" s="13" t="str">
        <f t="shared" si="1"/>
        <v>Autumn</v>
      </c>
      <c r="F91">
        <v>126</v>
      </c>
      <c r="G91">
        <v>104</v>
      </c>
      <c r="H91" s="7">
        <f>F91+G91</f>
        <v>230</v>
      </c>
      <c r="I91">
        <v>220</v>
      </c>
      <c r="J91">
        <v>15</v>
      </c>
      <c r="K91" s="34">
        <f>F91+G91-I91</f>
        <v>10</v>
      </c>
      <c r="L91" s="34">
        <f>J91-K91</f>
        <v>5</v>
      </c>
      <c r="M91" s="32">
        <f>I91/((F91+J91)/2)</f>
        <v>3.1205673758865249</v>
      </c>
      <c r="N91">
        <v>27</v>
      </c>
      <c r="O91">
        <v>0.93945670125733405</v>
      </c>
      <c r="P91" s="2">
        <v>66.044668473207295</v>
      </c>
    </row>
    <row r="92" spans="1:16" x14ac:dyDescent="0.2">
      <c r="A92">
        <v>1</v>
      </c>
      <c r="B92" t="s">
        <v>10</v>
      </c>
      <c r="C92" s="7" t="str">
        <f>IF(B92="Smartphone", "Electronics", IF(B92="Laptop", "Computing", IF(B92="Tablet", "Mobile", IF(B92="Smartwatch", "Wearables", IF(B92="Headphones", "Audio", "Photography")))))</f>
        <v>Electronics</v>
      </c>
      <c r="D92" s="1">
        <v>43922</v>
      </c>
      <c r="E92" s="13" t="str">
        <f t="shared" si="1"/>
        <v>Autumn</v>
      </c>
      <c r="F92">
        <v>52</v>
      </c>
      <c r="G92">
        <v>449</v>
      </c>
      <c r="H92" s="7">
        <f>F92+G92</f>
        <v>501</v>
      </c>
      <c r="I92">
        <v>264</v>
      </c>
      <c r="J92">
        <v>185</v>
      </c>
      <c r="K92" s="34">
        <f>F92+G92-I92</f>
        <v>237</v>
      </c>
      <c r="L92" s="34">
        <f>J92-K92</f>
        <v>-52</v>
      </c>
      <c r="M92" s="32">
        <f>I92/((F92+J92)/2)</f>
        <v>2.2278481012658227</v>
      </c>
      <c r="N92">
        <v>2</v>
      </c>
      <c r="O92">
        <v>0.90395000418055305</v>
      </c>
      <c r="P92" s="2">
        <v>142.77522615215301</v>
      </c>
    </row>
    <row r="93" spans="1:16" x14ac:dyDescent="0.2">
      <c r="A93">
        <v>2</v>
      </c>
      <c r="B93" t="s">
        <v>11</v>
      </c>
      <c r="C93" s="7" t="str">
        <f>IF(B93="Smartphone", "Electronics", IF(B93="Laptop", "Computing", IF(B93="Tablet", "Mobile", IF(B93="Smartwatch", "Wearables", IF(B93="Headphones", "Audio", "Photography")))))</f>
        <v>Computing</v>
      </c>
      <c r="D93" s="1">
        <v>43922</v>
      </c>
      <c r="E93" s="13" t="str">
        <f t="shared" si="1"/>
        <v>Autumn</v>
      </c>
      <c r="F93">
        <v>91</v>
      </c>
      <c r="G93">
        <v>61</v>
      </c>
      <c r="H93" s="7">
        <f>F93+G93</f>
        <v>152</v>
      </c>
      <c r="I93">
        <v>2</v>
      </c>
      <c r="J93">
        <v>59</v>
      </c>
      <c r="K93" s="34">
        <f>F93+G93-I93</f>
        <v>150</v>
      </c>
      <c r="L93" s="34">
        <f>J93-K93</f>
        <v>-91</v>
      </c>
      <c r="M93" s="32">
        <f>I93/((F93+J93)/2)</f>
        <v>2.6666666666666668E-2</v>
      </c>
      <c r="N93">
        <v>9</v>
      </c>
      <c r="O93">
        <v>0.95397718104058205</v>
      </c>
      <c r="P93" s="2">
        <v>80.017560849593806</v>
      </c>
    </row>
    <row r="94" spans="1:16" x14ac:dyDescent="0.2">
      <c r="A94">
        <v>3</v>
      </c>
      <c r="B94" t="s">
        <v>12</v>
      </c>
      <c r="C94" s="7" t="str">
        <f>IF(B94="Smartphone", "Electronics", IF(B94="Laptop", "Computing", IF(B94="Tablet", "Mobile", IF(B94="Smartwatch", "Wearables", IF(B94="Headphones", "Audio", "Photography")))))</f>
        <v>Mobile</v>
      </c>
      <c r="D94" s="1">
        <v>43922</v>
      </c>
      <c r="E94" s="13" t="str">
        <f t="shared" si="1"/>
        <v>Autumn</v>
      </c>
      <c r="F94">
        <v>89</v>
      </c>
      <c r="G94">
        <v>194</v>
      </c>
      <c r="H94" s="7">
        <f>F94+G94</f>
        <v>283</v>
      </c>
      <c r="I94">
        <v>134</v>
      </c>
      <c r="J94">
        <v>60</v>
      </c>
      <c r="K94" s="34">
        <f>F94+G94-I94</f>
        <v>149</v>
      </c>
      <c r="L94" s="34">
        <f>J94-K94</f>
        <v>-89</v>
      </c>
      <c r="M94" s="32">
        <f>I94/((F94+J94)/2)</f>
        <v>1.7986577181208054</v>
      </c>
      <c r="N94">
        <v>16</v>
      </c>
      <c r="O94">
        <v>0.97129682907395498</v>
      </c>
      <c r="P94" s="2">
        <v>231.70100700918999</v>
      </c>
    </row>
    <row r="95" spans="1:16" x14ac:dyDescent="0.2">
      <c r="A95">
        <v>4</v>
      </c>
      <c r="B95" t="s">
        <v>13</v>
      </c>
      <c r="C95" s="7" t="str">
        <f>IF(B95="Smartphone", "Electronics", IF(B95="Laptop", "Computing", IF(B95="Tablet", "Mobile", IF(B95="Smartwatch", "Wearables", IF(B95="Headphones", "Audio", "Photography")))))</f>
        <v>Wearables</v>
      </c>
      <c r="D95" s="1">
        <v>43922</v>
      </c>
      <c r="E95" s="13" t="str">
        <f t="shared" si="1"/>
        <v>Autumn</v>
      </c>
      <c r="F95">
        <v>44</v>
      </c>
      <c r="G95">
        <v>449</v>
      </c>
      <c r="H95" s="7">
        <f>F95+G95</f>
        <v>493</v>
      </c>
      <c r="I95">
        <v>415</v>
      </c>
      <c r="J95">
        <v>34</v>
      </c>
      <c r="K95" s="34">
        <f>F95+G95-I95</f>
        <v>78</v>
      </c>
      <c r="L95" s="34">
        <f>J95-K95</f>
        <v>-44</v>
      </c>
      <c r="M95" s="32">
        <f>I95/((F95+J95)/2)</f>
        <v>10.641025641025641</v>
      </c>
      <c r="N95">
        <v>13</v>
      </c>
      <c r="O95">
        <v>0.96541120389127699</v>
      </c>
      <c r="P95" s="2">
        <v>9.2572260359371104</v>
      </c>
    </row>
    <row r="96" spans="1:16" x14ac:dyDescent="0.2">
      <c r="A96">
        <v>5</v>
      </c>
      <c r="B96" t="s">
        <v>14</v>
      </c>
      <c r="C96" s="7" t="str">
        <f>IF(B96="Smartphone", "Electronics", IF(B96="Laptop", "Computing", IF(B96="Tablet", "Mobile", IF(B96="Smartwatch", "Wearables", IF(B96="Headphones", "Audio", "Photography")))))</f>
        <v>Audio</v>
      </c>
      <c r="D96" s="1">
        <v>43922</v>
      </c>
      <c r="E96" s="13" t="str">
        <f t="shared" si="1"/>
        <v>Autumn</v>
      </c>
      <c r="F96">
        <v>88</v>
      </c>
      <c r="G96">
        <v>445</v>
      </c>
      <c r="H96" s="7">
        <f>F96+G96</f>
        <v>533</v>
      </c>
      <c r="I96">
        <v>382</v>
      </c>
      <c r="J96">
        <v>63</v>
      </c>
      <c r="K96" s="34">
        <f>F96+G96-I96</f>
        <v>151</v>
      </c>
      <c r="L96" s="34">
        <f>J96-K96</f>
        <v>-88</v>
      </c>
      <c r="M96" s="32">
        <f>I96/((F96+J96)/2)</f>
        <v>5.0596026490066226</v>
      </c>
      <c r="N96">
        <v>9</v>
      </c>
      <c r="O96">
        <v>0.87358605132990097</v>
      </c>
      <c r="P96" s="2">
        <v>51.269356376127497</v>
      </c>
    </row>
    <row r="97" spans="1:16" x14ac:dyDescent="0.2">
      <c r="A97">
        <v>6</v>
      </c>
      <c r="B97" t="s">
        <v>15</v>
      </c>
      <c r="C97" s="7" t="str">
        <f>IF(B97="Smartphone", "Electronics", IF(B97="Laptop", "Computing", IF(B97="Tablet", "Mobile", IF(B97="Smartwatch", "Wearables", IF(B97="Headphones", "Audio", "Photography")))))</f>
        <v>Photography</v>
      </c>
      <c r="D97" s="1">
        <v>43922</v>
      </c>
      <c r="E97" s="13" t="str">
        <f t="shared" si="1"/>
        <v>Autumn</v>
      </c>
      <c r="F97">
        <v>27</v>
      </c>
      <c r="G97">
        <v>185</v>
      </c>
      <c r="H97" s="7">
        <f>F97+G97</f>
        <v>212</v>
      </c>
      <c r="I97">
        <v>176</v>
      </c>
      <c r="J97">
        <v>9</v>
      </c>
      <c r="K97" s="34">
        <f>F97+G97-I97</f>
        <v>36</v>
      </c>
      <c r="L97" s="34">
        <f>J97-K97</f>
        <v>-27</v>
      </c>
      <c r="M97" s="32">
        <f>I97/((F97+J97)/2)</f>
        <v>9.7777777777777786</v>
      </c>
      <c r="N97">
        <v>20</v>
      </c>
      <c r="O97">
        <v>0.95070524656398503</v>
      </c>
      <c r="P97" s="2">
        <v>49.6869904073558</v>
      </c>
    </row>
    <row r="98" spans="1:16" x14ac:dyDescent="0.2">
      <c r="A98">
        <v>1</v>
      </c>
      <c r="B98" t="s">
        <v>10</v>
      </c>
      <c r="C98" s="7" t="str">
        <f>IF(B98="Smartphone", "Electronics", IF(B98="Laptop", "Computing", IF(B98="Tablet", "Mobile", IF(B98="Smartwatch", "Wearables", IF(B98="Headphones", "Audio", "Photography")))))</f>
        <v>Electronics</v>
      </c>
      <c r="D98" s="1">
        <v>43952</v>
      </c>
      <c r="E98" s="13" t="str">
        <f t="shared" si="1"/>
        <v>Autumn</v>
      </c>
      <c r="F98">
        <v>2</v>
      </c>
      <c r="G98">
        <v>52</v>
      </c>
      <c r="H98" s="7">
        <f>F98+G98</f>
        <v>54</v>
      </c>
      <c r="I98">
        <v>0</v>
      </c>
      <c r="J98">
        <v>52</v>
      </c>
      <c r="K98" s="34">
        <f>F98+G98-I98</f>
        <v>54</v>
      </c>
      <c r="L98" s="34">
        <f>J98-K98</f>
        <v>-2</v>
      </c>
      <c r="M98" s="32">
        <f>I98/((F98+J98)/2)</f>
        <v>0</v>
      </c>
      <c r="N98">
        <v>4</v>
      </c>
      <c r="O98">
        <v>0.91058204887543204</v>
      </c>
      <c r="P98" s="2">
        <v>71.755905806463005</v>
      </c>
    </row>
    <row r="99" spans="1:16" x14ac:dyDescent="0.2">
      <c r="A99">
        <v>2</v>
      </c>
      <c r="B99" t="s">
        <v>11</v>
      </c>
      <c r="C99" s="7" t="str">
        <f>IF(B99="Smartphone", "Electronics", IF(B99="Laptop", "Computing", IF(B99="Tablet", "Mobile", IF(B99="Smartwatch", "Wearables", IF(B99="Headphones", "Audio", "Photography")))))</f>
        <v>Computing</v>
      </c>
      <c r="D99" s="1">
        <v>43952</v>
      </c>
      <c r="E99" s="13" t="str">
        <f t="shared" si="1"/>
        <v>Autumn</v>
      </c>
      <c r="F99">
        <v>7</v>
      </c>
      <c r="G99">
        <v>193</v>
      </c>
      <c r="H99" s="7">
        <f>F99+G99</f>
        <v>200</v>
      </c>
      <c r="I99">
        <v>161</v>
      </c>
      <c r="J99">
        <v>32</v>
      </c>
      <c r="K99" s="34">
        <f>F99+G99-I99</f>
        <v>39</v>
      </c>
      <c r="L99" s="34">
        <f>J99-K99</f>
        <v>-7</v>
      </c>
      <c r="M99" s="32">
        <f>I99/((F99+J99)/2)</f>
        <v>8.2564102564102573</v>
      </c>
      <c r="N99">
        <v>22</v>
      </c>
      <c r="O99">
        <v>0.986295388517618</v>
      </c>
      <c r="P99" s="2">
        <v>137.48359877874699</v>
      </c>
    </row>
    <row r="100" spans="1:16" x14ac:dyDescent="0.2">
      <c r="A100">
        <v>3</v>
      </c>
      <c r="B100" t="s">
        <v>12</v>
      </c>
      <c r="C100" s="7" t="str">
        <f>IF(B100="Smartphone", "Electronics", IF(B100="Laptop", "Computing", IF(B100="Tablet", "Mobile", IF(B100="Smartwatch", "Wearables", IF(B100="Headphones", "Audio", "Photography")))))</f>
        <v>Mobile</v>
      </c>
      <c r="D100" s="1">
        <v>43952</v>
      </c>
      <c r="E100" s="13" t="str">
        <f t="shared" si="1"/>
        <v>Autumn</v>
      </c>
      <c r="F100">
        <v>4</v>
      </c>
      <c r="G100">
        <v>79</v>
      </c>
      <c r="H100" s="7">
        <f>F100+G100</f>
        <v>83</v>
      </c>
      <c r="I100">
        <v>126</v>
      </c>
      <c r="J100">
        <v>5</v>
      </c>
      <c r="K100" s="34">
        <f>F100+G100-I100</f>
        <v>-43</v>
      </c>
      <c r="L100" s="34">
        <f>J100-K100</f>
        <v>48</v>
      </c>
      <c r="M100" s="32">
        <f>I100/((F100+J100)/2)</f>
        <v>28</v>
      </c>
      <c r="N100">
        <v>10</v>
      </c>
      <c r="O100">
        <v>0.89381358318664095</v>
      </c>
      <c r="P100" s="2">
        <v>333.69087311309602</v>
      </c>
    </row>
    <row r="101" spans="1:16" x14ac:dyDescent="0.2">
      <c r="A101">
        <v>4</v>
      </c>
      <c r="B101" t="s">
        <v>13</v>
      </c>
      <c r="C101" s="7" t="str">
        <f>IF(B101="Smartphone", "Electronics", IF(B101="Laptop", "Computing", IF(B101="Tablet", "Mobile", IF(B101="Smartwatch", "Wearables", IF(B101="Headphones", "Audio", "Photography")))))</f>
        <v>Wearables</v>
      </c>
      <c r="D101" s="1">
        <v>43952</v>
      </c>
      <c r="E101" s="13" t="str">
        <f t="shared" si="1"/>
        <v>Autumn</v>
      </c>
      <c r="F101">
        <v>15</v>
      </c>
      <c r="G101">
        <v>286</v>
      </c>
      <c r="H101" s="7">
        <f>F101+G101</f>
        <v>301</v>
      </c>
      <c r="I101">
        <v>200</v>
      </c>
      <c r="J101">
        <v>86</v>
      </c>
      <c r="K101" s="34">
        <f>F101+G101-I101</f>
        <v>101</v>
      </c>
      <c r="L101" s="34">
        <f>J101-K101</f>
        <v>-15</v>
      </c>
      <c r="M101" s="32">
        <f>I101/((F101+J101)/2)</f>
        <v>3.9603960396039604</v>
      </c>
      <c r="N101">
        <v>26</v>
      </c>
      <c r="O101">
        <v>0.88217641813158298</v>
      </c>
      <c r="P101" s="2">
        <v>233.903699161758</v>
      </c>
    </row>
    <row r="102" spans="1:16" x14ac:dyDescent="0.2">
      <c r="A102">
        <v>5</v>
      </c>
      <c r="B102" t="s">
        <v>14</v>
      </c>
      <c r="C102" s="7" t="str">
        <f>IF(B102="Smartphone", "Electronics", IF(B102="Laptop", "Computing", IF(B102="Tablet", "Mobile", IF(B102="Smartwatch", "Wearables", IF(B102="Headphones", "Audio", "Photography")))))</f>
        <v>Audio</v>
      </c>
      <c r="D102" s="1">
        <v>43952</v>
      </c>
      <c r="E102" s="13" t="str">
        <f t="shared" si="1"/>
        <v>Autumn</v>
      </c>
      <c r="F102">
        <v>86</v>
      </c>
      <c r="G102">
        <v>328</v>
      </c>
      <c r="H102" s="7">
        <f>F102+G102</f>
        <v>414</v>
      </c>
      <c r="I102">
        <v>237</v>
      </c>
      <c r="J102">
        <v>91</v>
      </c>
      <c r="K102" s="34">
        <f>F102+G102-I102</f>
        <v>177</v>
      </c>
      <c r="L102" s="34">
        <f>J102-K102</f>
        <v>-86</v>
      </c>
      <c r="M102" s="32">
        <f>I102/((F102+J102)/2)</f>
        <v>2.6779661016949152</v>
      </c>
      <c r="N102">
        <v>26</v>
      </c>
      <c r="O102">
        <v>0.86931015615785601</v>
      </c>
      <c r="P102" s="2">
        <v>167.07415842139099</v>
      </c>
    </row>
    <row r="103" spans="1:16" x14ac:dyDescent="0.2">
      <c r="A103">
        <v>6</v>
      </c>
      <c r="B103" t="s">
        <v>15</v>
      </c>
      <c r="C103" s="7" t="str">
        <f>IF(B103="Smartphone", "Electronics", IF(B103="Laptop", "Computing", IF(B103="Tablet", "Mobile", IF(B103="Smartwatch", "Wearables", IF(B103="Headphones", "Audio", "Photography")))))</f>
        <v>Photography</v>
      </c>
      <c r="D103" s="1">
        <v>43952</v>
      </c>
      <c r="E103" s="13" t="str">
        <f t="shared" si="1"/>
        <v>Autumn</v>
      </c>
      <c r="F103">
        <v>29</v>
      </c>
      <c r="G103">
        <v>397</v>
      </c>
      <c r="H103" s="7">
        <f>F103+G103</f>
        <v>426</v>
      </c>
      <c r="I103">
        <v>374</v>
      </c>
      <c r="J103">
        <v>23</v>
      </c>
      <c r="K103" s="34">
        <f>F103+G103-I103</f>
        <v>52</v>
      </c>
      <c r="L103" s="34">
        <f>J103-K103</f>
        <v>-29</v>
      </c>
      <c r="M103" s="32">
        <f>I103/((F103+J103)/2)</f>
        <v>14.384615384615385</v>
      </c>
      <c r="N103">
        <v>22</v>
      </c>
      <c r="O103">
        <v>0.90946439471177698</v>
      </c>
      <c r="P103" s="2">
        <v>155.67122555973901</v>
      </c>
    </row>
    <row r="104" spans="1:16" x14ac:dyDescent="0.2">
      <c r="A104">
        <v>1</v>
      </c>
      <c r="B104" t="s">
        <v>10</v>
      </c>
      <c r="C104" s="7" t="str">
        <f>IF(B104="Smartphone", "Electronics", IF(B104="Laptop", "Computing", IF(B104="Tablet", "Mobile", IF(B104="Smartwatch", "Wearables", IF(B104="Headphones", "Audio", "Photography")))))</f>
        <v>Electronics</v>
      </c>
      <c r="D104" s="1">
        <v>43983</v>
      </c>
      <c r="E104" s="13" t="str">
        <f t="shared" si="1"/>
        <v>Winter</v>
      </c>
      <c r="F104">
        <v>2</v>
      </c>
      <c r="G104">
        <v>164</v>
      </c>
      <c r="H104" s="7">
        <f>F104+G104</f>
        <v>166</v>
      </c>
      <c r="I104">
        <v>76</v>
      </c>
      <c r="J104">
        <v>88</v>
      </c>
      <c r="K104" s="34">
        <f>F104+G104-I104</f>
        <v>90</v>
      </c>
      <c r="L104" s="34">
        <f>J104-K104</f>
        <v>-2</v>
      </c>
      <c r="M104" s="32">
        <f>I104/((F104+J104)/2)</f>
        <v>1.6888888888888889</v>
      </c>
      <c r="N104">
        <v>12</v>
      </c>
      <c r="O104">
        <v>0.923336273379605</v>
      </c>
      <c r="P104" s="2">
        <v>59.493305043019099</v>
      </c>
    </row>
    <row r="105" spans="1:16" x14ac:dyDescent="0.2">
      <c r="A105">
        <v>2</v>
      </c>
      <c r="B105" t="s">
        <v>11</v>
      </c>
      <c r="C105" s="7" t="str">
        <f>IF(B105="Smartphone", "Electronics", IF(B105="Laptop", "Computing", IF(B105="Tablet", "Mobile", IF(B105="Smartwatch", "Wearables", IF(B105="Headphones", "Audio", "Photography")))))</f>
        <v>Computing</v>
      </c>
      <c r="D105" s="1">
        <v>43983</v>
      </c>
      <c r="E105" s="13" t="str">
        <f t="shared" si="1"/>
        <v>Winter</v>
      </c>
      <c r="F105">
        <v>55</v>
      </c>
      <c r="G105">
        <v>153</v>
      </c>
      <c r="H105" s="7">
        <f>F105+G105</f>
        <v>208</v>
      </c>
      <c r="I105">
        <v>89</v>
      </c>
      <c r="J105">
        <v>64</v>
      </c>
      <c r="K105" s="34">
        <f>F105+G105-I105</f>
        <v>119</v>
      </c>
      <c r="L105" s="34">
        <f>J105-K105</f>
        <v>-55</v>
      </c>
      <c r="M105" s="32">
        <f>I105/((F105+J105)/2)</f>
        <v>1.4957983193277311</v>
      </c>
      <c r="N105">
        <v>17</v>
      </c>
      <c r="O105">
        <v>0.92429811414636298</v>
      </c>
      <c r="P105" s="2">
        <v>6.28795822700486</v>
      </c>
    </row>
    <row r="106" spans="1:16" x14ac:dyDescent="0.2">
      <c r="A106">
        <v>3</v>
      </c>
      <c r="B106" t="s">
        <v>12</v>
      </c>
      <c r="C106" s="7" t="str">
        <f>IF(B106="Smartphone", "Electronics", IF(B106="Laptop", "Computing", IF(B106="Tablet", "Mobile", IF(B106="Smartwatch", "Wearables", IF(B106="Headphones", "Audio", "Photography")))))</f>
        <v>Mobile</v>
      </c>
      <c r="D106" s="1">
        <v>43983</v>
      </c>
      <c r="E106" s="13" t="str">
        <f t="shared" si="1"/>
        <v>Winter</v>
      </c>
      <c r="F106">
        <v>35</v>
      </c>
      <c r="G106">
        <v>167</v>
      </c>
      <c r="H106" s="7">
        <f>F106+G106</f>
        <v>202</v>
      </c>
      <c r="I106">
        <v>89</v>
      </c>
      <c r="J106">
        <v>78</v>
      </c>
      <c r="K106" s="34">
        <f>F106+G106-I106</f>
        <v>113</v>
      </c>
      <c r="L106" s="34">
        <f>J106-K106</f>
        <v>-35</v>
      </c>
      <c r="M106" s="32">
        <f>I106/((F106+J106)/2)</f>
        <v>1.5752212389380531</v>
      </c>
      <c r="N106">
        <v>14</v>
      </c>
      <c r="O106">
        <v>0.917458627015592</v>
      </c>
      <c r="P106" s="2">
        <v>212.249850327274</v>
      </c>
    </row>
    <row r="107" spans="1:16" x14ac:dyDescent="0.2">
      <c r="A107">
        <v>4</v>
      </c>
      <c r="B107" t="s">
        <v>13</v>
      </c>
      <c r="C107" s="7" t="str">
        <f>IF(B107="Smartphone", "Electronics", IF(B107="Laptop", "Computing", IF(B107="Tablet", "Mobile", IF(B107="Smartwatch", "Wearables", IF(B107="Headphones", "Audio", "Photography")))))</f>
        <v>Wearables</v>
      </c>
      <c r="D107" s="1">
        <v>43983</v>
      </c>
      <c r="E107" s="13" t="str">
        <f t="shared" si="1"/>
        <v>Winter</v>
      </c>
      <c r="F107">
        <v>24</v>
      </c>
      <c r="G107">
        <v>54</v>
      </c>
      <c r="H107" s="7">
        <f>F107+G107</f>
        <v>78</v>
      </c>
      <c r="I107">
        <v>28</v>
      </c>
      <c r="J107">
        <v>26</v>
      </c>
      <c r="K107" s="34">
        <f>F107+G107-I107</f>
        <v>50</v>
      </c>
      <c r="L107" s="34">
        <f>J107-K107</f>
        <v>-24</v>
      </c>
      <c r="M107" s="32">
        <f>I107/((F107+J107)/2)</f>
        <v>1.1200000000000001</v>
      </c>
      <c r="N107">
        <v>14</v>
      </c>
      <c r="O107">
        <v>0.93355185063399004</v>
      </c>
      <c r="P107" s="2">
        <v>107.670401316786</v>
      </c>
    </row>
    <row r="108" spans="1:16" x14ac:dyDescent="0.2">
      <c r="A108">
        <v>5</v>
      </c>
      <c r="B108" t="s">
        <v>14</v>
      </c>
      <c r="C108" s="7" t="str">
        <f>IF(B108="Smartphone", "Electronics", IF(B108="Laptop", "Computing", IF(B108="Tablet", "Mobile", IF(B108="Smartwatch", "Wearables", IF(B108="Headphones", "Audio", "Photography")))))</f>
        <v>Audio</v>
      </c>
      <c r="D108" s="1">
        <v>43983</v>
      </c>
      <c r="E108" s="13" t="str">
        <f t="shared" si="1"/>
        <v>Winter</v>
      </c>
      <c r="F108">
        <v>23</v>
      </c>
      <c r="G108">
        <v>409</v>
      </c>
      <c r="H108" s="7">
        <f>F108+G108</f>
        <v>432</v>
      </c>
      <c r="I108">
        <v>347</v>
      </c>
      <c r="J108">
        <v>62</v>
      </c>
      <c r="K108" s="34">
        <f>F108+G108-I108</f>
        <v>85</v>
      </c>
      <c r="L108" s="34">
        <f>J108-K108</f>
        <v>-23</v>
      </c>
      <c r="M108" s="32">
        <f>I108/((F108+J108)/2)</f>
        <v>8.1647058823529406</v>
      </c>
      <c r="N108">
        <v>25</v>
      </c>
      <c r="O108">
        <v>0.88887290820428</v>
      </c>
      <c r="P108" s="2">
        <v>66.993160202438503</v>
      </c>
    </row>
    <row r="109" spans="1:16" x14ac:dyDescent="0.2">
      <c r="A109">
        <v>6</v>
      </c>
      <c r="B109" t="s">
        <v>15</v>
      </c>
      <c r="C109" s="7" t="str">
        <f>IF(B109="Smartphone", "Electronics", IF(B109="Laptop", "Computing", IF(B109="Tablet", "Mobile", IF(B109="Smartwatch", "Wearables", IF(B109="Headphones", "Audio", "Photography")))))</f>
        <v>Photography</v>
      </c>
      <c r="D109" s="1">
        <v>43983</v>
      </c>
      <c r="E109" s="13" t="str">
        <f t="shared" si="1"/>
        <v>Winter</v>
      </c>
      <c r="F109">
        <v>23</v>
      </c>
      <c r="G109">
        <v>297</v>
      </c>
      <c r="H109" s="7">
        <f>F109+G109</f>
        <v>320</v>
      </c>
      <c r="I109">
        <v>100</v>
      </c>
      <c r="J109">
        <v>197</v>
      </c>
      <c r="K109" s="34">
        <f>F109+G109-I109</f>
        <v>220</v>
      </c>
      <c r="L109" s="34">
        <f>J109-K109</f>
        <v>-23</v>
      </c>
      <c r="M109" s="32">
        <f>I109/((F109+J109)/2)</f>
        <v>0.90909090909090906</v>
      </c>
      <c r="N109">
        <v>2</v>
      </c>
      <c r="O109">
        <v>0.85637423422040604</v>
      </c>
      <c r="P109" s="2">
        <v>609.98941973681099</v>
      </c>
    </row>
    <row r="110" spans="1:16" x14ac:dyDescent="0.2">
      <c r="A110">
        <v>1</v>
      </c>
      <c r="B110" t="s">
        <v>10</v>
      </c>
      <c r="C110" s="7" t="str">
        <f>IF(B110="Smartphone", "Electronics", IF(B110="Laptop", "Computing", IF(B110="Tablet", "Mobile", IF(B110="Smartwatch", "Wearables", IF(B110="Headphones", "Audio", "Photography")))))</f>
        <v>Electronics</v>
      </c>
      <c r="D110" s="1">
        <v>44013</v>
      </c>
      <c r="E110" s="13" t="str">
        <f t="shared" si="1"/>
        <v>Winter</v>
      </c>
      <c r="F110">
        <v>3</v>
      </c>
      <c r="G110">
        <v>268</v>
      </c>
      <c r="H110" s="7">
        <f>F110+G110</f>
        <v>271</v>
      </c>
      <c r="I110">
        <v>435</v>
      </c>
      <c r="J110">
        <v>22</v>
      </c>
      <c r="K110" s="34">
        <f>F110+G110-I110</f>
        <v>-164</v>
      </c>
      <c r="L110" s="34">
        <f>J110-K110</f>
        <v>186</v>
      </c>
      <c r="M110" s="32">
        <f>I110/((F110+J110)/2)</f>
        <v>34.799999999999997</v>
      </c>
      <c r="N110">
        <v>21</v>
      </c>
      <c r="O110">
        <v>0.85200860015431701</v>
      </c>
      <c r="P110" s="2">
        <v>67.090763794273002</v>
      </c>
    </row>
    <row r="111" spans="1:16" x14ac:dyDescent="0.2">
      <c r="A111">
        <v>2</v>
      </c>
      <c r="B111" t="s">
        <v>11</v>
      </c>
      <c r="C111" s="7" t="str">
        <f>IF(B111="Smartphone", "Electronics", IF(B111="Laptop", "Computing", IF(B111="Tablet", "Mobile", IF(B111="Smartwatch", "Wearables", IF(B111="Headphones", "Audio", "Photography")))))</f>
        <v>Computing</v>
      </c>
      <c r="D111" s="1">
        <v>44013</v>
      </c>
      <c r="E111" s="13" t="str">
        <f t="shared" si="1"/>
        <v>Winter</v>
      </c>
      <c r="F111">
        <v>56</v>
      </c>
      <c r="G111">
        <v>370</v>
      </c>
      <c r="H111" s="7">
        <f>F111+G111</f>
        <v>426</v>
      </c>
      <c r="I111">
        <v>308</v>
      </c>
      <c r="J111">
        <v>62</v>
      </c>
      <c r="K111" s="34">
        <f>F111+G111-I111</f>
        <v>118</v>
      </c>
      <c r="L111" s="34">
        <f>J111-K111</f>
        <v>-56</v>
      </c>
      <c r="M111" s="32">
        <f>I111/((F111+J111)/2)</f>
        <v>5.2203389830508478</v>
      </c>
      <c r="N111">
        <v>25</v>
      </c>
      <c r="O111">
        <v>0.94875255476517295</v>
      </c>
      <c r="P111" s="2">
        <v>51.244305208049497</v>
      </c>
    </row>
    <row r="112" spans="1:16" x14ac:dyDescent="0.2">
      <c r="A112">
        <v>3</v>
      </c>
      <c r="B112" t="s">
        <v>12</v>
      </c>
      <c r="C112" s="7" t="str">
        <f>IF(B112="Smartphone", "Electronics", IF(B112="Laptop", "Computing", IF(B112="Tablet", "Mobile", IF(B112="Smartwatch", "Wearables", IF(B112="Headphones", "Audio", "Photography")))))</f>
        <v>Mobile</v>
      </c>
      <c r="D112" s="1">
        <v>44013</v>
      </c>
      <c r="E112" s="13" t="str">
        <f t="shared" si="1"/>
        <v>Winter</v>
      </c>
      <c r="F112">
        <v>85</v>
      </c>
      <c r="G112">
        <v>170</v>
      </c>
      <c r="H112" s="7">
        <f>F112+G112</f>
        <v>255</v>
      </c>
      <c r="I112">
        <v>373</v>
      </c>
      <c r="J112">
        <v>8</v>
      </c>
      <c r="K112" s="34">
        <f>F112+G112-I112</f>
        <v>-118</v>
      </c>
      <c r="L112" s="34">
        <f>J112-K112</f>
        <v>126</v>
      </c>
      <c r="M112" s="32">
        <f>I112/((F112+J112)/2)</f>
        <v>8.021505376344086</v>
      </c>
      <c r="N112">
        <v>20</v>
      </c>
      <c r="O112">
        <v>0.92351611552641399</v>
      </c>
      <c r="P112" s="2">
        <v>53.541457254677198</v>
      </c>
    </row>
    <row r="113" spans="1:16" x14ac:dyDescent="0.2">
      <c r="A113">
        <v>4</v>
      </c>
      <c r="B113" t="s">
        <v>13</v>
      </c>
      <c r="C113" s="7" t="str">
        <f>IF(B113="Smartphone", "Electronics", IF(B113="Laptop", "Computing", IF(B113="Tablet", "Mobile", IF(B113="Smartwatch", "Wearables", IF(B113="Headphones", "Audio", "Photography")))))</f>
        <v>Wearables</v>
      </c>
      <c r="D113" s="1">
        <v>44013</v>
      </c>
      <c r="E113" s="13" t="str">
        <f t="shared" si="1"/>
        <v>Winter</v>
      </c>
      <c r="F113">
        <v>80</v>
      </c>
      <c r="G113">
        <v>335</v>
      </c>
      <c r="H113" s="7">
        <f>F113+G113</f>
        <v>415</v>
      </c>
      <c r="I113">
        <v>253</v>
      </c>
      <c r="J113">
        <v>82</v>
      </c>
      <c r="K113" s="34">
        <f>F113+G113-I113</f>
        <v>162</v>
      </c>
      <c r="L113" s="34">
        <f>J113-K113</f>
        <v>-80</v>
      </c>
      <c r="M113" s="32">
        <f>I113/((F113+J113)/2)</f>
        <v>3.1234567901234569</v>
      </c>
      <c r="N113">
        <v>11</v>
      </c>
      <c r="O113">
        <v>0.80720811145248295</v>
      </c>
      <c r="P113" s="2">
        <v>51.8566078897422</v>
      </c>
    </row>
    <row r="114" spans="1:16" x14ac:dyDescent="0.2">
      <c r="A114">
        <v>5</v>
      </c>
      <c r="B114" t="s">
        <v>14</v>
      </c>
      <c r="C114" s="7" t="str">
        <f>IF(B114="Smartphone", "Electronics", IF(B114="Laptop", "Computing", IF(B114="Tablet", "Mobile", IF(B114="Smartwatch", "Wearables", IF(B114="Headphones", "Audio", "Photography")))))</f>
        <v>Audio</v>
      </c>
      <c r="D114" s="1">
        <v>44013</v>
      </c>
      <c r="E114" s="13" t="str">
        <f t="shared" si="1"/>
        <v>Winter</v>
      </c>
      <c r="F114">
        <v>34</v>
      </c>
      <c r="G114">
        <v>198</v>
      </c>
      <c r="H114" s="7">
        <f>F114+G114</f>
        <v>232</v>
      </c>
      <c r="I114">
        <v>165</v>
      </c>
      <c r="J114">
        <v>33</v>
      </c>
      <c r="K114" s="34">
        <f>F114+G114-I114</f>
        <v>67</v>
      </c>
      <c r="L114" s="34">
        <f>J114-K114</f>
        <v>-34</v>
      </c>
      <c r="M114" s="32">
        <f>I114/((F114+J114)/2)</f>
        <v>4.9253731343283578</v>
      </c>
      <c r="N114">
        <v>16</v>
      </c>
      <c r="O114">
        <v>0.95483767133999697</v>
      </c>
      <c r="P114" s="2">
        <v>50.6032694128439</v>
      </c>
    </row>
    <row r="115" spans="1:16" x14ac:dyDescent="0.2">
      <c r="A115">
        <v>6</v>
      </c>
      <c r="B115" t="s">
        <v>15</v>
      </c>
      <c r="C115" s="7" t="str">
        <f>IF(B115="Smartphone", "Electronics", IF(B115="Laptop", "Computing", IF(B115="Tablet", "Mobile", IF(B115="Smartwatch", "Wearables", IF(B115="Headphones", "Audio", "Photography")))))</f>
        <v>Photography</v>
      </c>
      <c r="D115" s="1">
        <v>44013</v>
      </c>
      <c r="E115" s="13" t="str">
        <f t="shared" si="1"/>
        <v>Winter</v>
      </c>
      <c r="F115">
        <v>96</v>
      </c>
      <c r="G115">
        <v>133</v>
      </c>
      <c r="H115" s="7">
        <f>F115+G115</f>
        <v>229</v>
      </c>
      <c r="I115">
        <v>145</v>
      </c>
      <c r="J115">
        <v>4</v>
      </c>
      <c r="K115" s="34">
        <f>F115+G115-I115</f>
        <v>84</v>
      </c>
      <c r="L115" s="34">
        <f>J115-K115</f>
        <v>-80</v>
      </c>
      <c r="M115" s="32">
        <f>I115/((F115+J115)/2)</f>
        <v>2.9</v>
      </c>
      <c r="N115">
        <v>19</v>
      </c>
      <c r="O115">
        <v>0.99402175732013198</v>
      </c>
      <c r="P115" s="2">
        <v>67.736677653765796</v>
      </c>
    </row>
    <row r="116" spans="1:16" x14ac:dyDescent="0.2">
      <c r="A116">
        <v>1</v>
      </c>
      <c r="B116" t="s">
        <v>10</v>
      </c>
      <c r="C116" s="7" t="str">
        <f>IF(B116="Smartphone", "Electronics", IF(B116="Laptop", "Computing", IF(B116="Tablet", "Mobile", IF(B116="Smartwatch", "Wearables", IF(B116="Headphones", "Audio", "Photography")))))</f>
        <v>Electronics</v>
      </c>
      <c r="D116" s="1">
        <v>44044</v>
      </c>
      <c r="E116" s="13" t="str">
        <f t="shared" si="1"/>
        <v>Winter</v>
      </c>
      <c r="F116">
        <v>16</v>
      </c>
      <c r="G116">
        <v>455</v>
      </c>
      <c r="H116" s="7">
        <f>F116+G116</f>
        <v>471</v>
      </c>
      <c r="I116">
        <v>525</v>
      </c>
      <c r="J116">
        <v>93</v>
      </c>
      <c r="K116" s="34">
        <f>F116+G116-I116</f>
        <v>-54</v>
      </c>
      <c r="L116" s="34">
        <f>J116-K116</f>
        <v>147</v>
      </c>
      <c r="M116" s="32">
        <f>I116/((F116+J116)/2)</f>
        <v>9.6330275229357802</v>
      </c>
      <c r="N116">
        <v>23</v>
      </c>
      <c r="O116">
        <v>0.86420415746207302</v>
      </c>
      <c r="P116" s="2">
        <v>36.015415387457402</v>
      </c>
    </row>
    <row r="117" spans="1:16" x14ac:dyDescent="0.2">
      <c r="A117">
        <v>2</v>
      </c>
      <c r="B117" t="s">
        <v>11</v>
      </c>
      <c r="C117" s="7" t="str">
        <f>IF(B117="Smartphone", "Electronics", IF(B117="Laptop", "Computing", IF(B117="Tablet", "Mobile", IF(B117="Smartwatch", "Wearables", IF(B117="Headphones", "Audio", "Photography")))))</f>
        <v>Computing</v>
      </c>
      <c r="D117" s="1">
        <v>44044</v>
      </c>
      <c r="E117" s="13" t="str">
        <f t="shared" si="1"/>
        <v>Winter</v>
      </c>
      <c r="F117">
        <v>92</v>
      </c>
      <c r="G117">
        <v>280</v>
      </c>
      <c r="H117" s="7">
        <f>F117+G117</f>
        <v>372</v>
      </c>
      <c r="I117">
        <v>220</v>
      </c>
      <c r="J117">
        <v>60</v>
      </c>
      <c r="K117" s="34">
        <f>F117+G117-I117</f>
        <v>152</v>
      </c>
      <c r="L117" s="34">
        <f>J117-K117</f>
        <v>-92</v>
      </c>
      <c r="M117" s="32">
        <f>I117/((F117+J117)/2)</f>
        <v>2.8947368421052633</v>
      </c>
      <c r="N117">
        <v>6</v>
      </c>
      <c r="O117">
        <v>0.916808002313802</v>
      </c>
      <c r="P117" s="2">
        <v>39.964661014959503</v>
      </c>
    </row>
    <row r="118" spans="1:16" x14ac:dyDescent="0.2">
      <c r="A118">
        <v>3</v>
      </c>
      <c r="B118" t="s">
        <v>12</v>
      </c>
      <c r="C118" s="7" t="str">
        <f>IF(B118="Smartphone", "Electronics", IF(B118="Laptop", "Computing", IF(B118="Tablet", "Mobile", IF(B118="Smartwatch", "Wearables", IF(B118="Headphones", "Audio", "Photography")))))</f>
        <v>Mobile</v>
      </c>
      <c r="D118" s="1">
        <v>44044</v>
      </c>
      <c r="E118" s="13" t="str">
        <f t="shared" si="1"/>
        <v>Winter</v>
      </c>
      <c r="F118">
        <v>9</v>
      </c>
      <c r="G118">
        <v>337</v>
      </c>
      <c r="H118" s="7">
        <f>F118+G118</f>
        <v>346</v>
      </c>
      <c r="I118">
        <v>188</v>
      </c>
      <c r="J118">
        <v>149</v>
      </c>
      <c r="K118" s="34">
        <f>F118+G118-I118</f>
        <v>158</v>
      </c>
      <c r="L118" s="34">
        <f>J118-K118</f>
        <v>-9</v>
      </c>
      <c r="M118" s="32">
        <f>I118/((F118+J118)/2)</f>
        <v>2.3797468354430378</v>
      </c>
      <c r="N118">
        <v>24</v>
      </c>
      <c r="O118">
        <v>0.87632709531838204</v>
      </c>
      <c r="P118" s="2">
        <v>166.70621480786599</v>
      </c>
    </row>
    <row r="119" spans="1:16" x14ac:dyDescent="0.2">
      <c r="A119">
        <v>4</v>
      </c>
      <c r="B119" t="s">
        <v>13</v>
      </c>
      <c r="C119" s="7" t="str">
        <f>IF(B119="Smartphone", "Electronics", IF(B119="Laptop", "Computing", IF(B119="Tablet", "Mobile", IF(B119="Smartwatch", "Wearables", IF(B119="Headphones", "Audio", "Photography")))))</f>
        <v>Wearables</v>
      </c>
      <c r="D119" s="1">
        <v>44044</v>
      </c>
      <c r="E119" s="13" t="str">
        <f t="shared" si="1"/>
        <v>Winter</v>
      </c>
      <c r="F119">
        <v>62</v>
      </c>
      <c r="G119">
        <v>210</v>
      </c>
      <c r="H119" s="7">
        <f>F119+G119</f>
        <v>272</v>
      </c>
      <c r="I119">
        <v>196</v>
      </c>
      <c r="J119">
        <v>14</v>
      </c>
      <c r="K119" s="34">
        <f>F119+G119-I119</f>
        <v>76</v>
      </c>
      <c r="L119" s="34">
        <f>J119-K119</f>
        <v>-62</v>
      </c>
      <c r="M119" s="32">
        <f>I119/((F119+J119)/2)</f>
        <v>5.1578947368421053</v>
      </c>
      <c r="N119">
        <v>19</v>
      </c>
      <c r="O119">
        <v>0.93141534627355804</v>
      </c>
      <c r="P119" s="2">
        <v>41.263031310170497</v>
      </c>
    </row>
    <row r="120" spans="1:16" x14ac:dyDescent="0.2">
      <c r="A120">
        <v>5</v>
      </c>
      <c r="B120" t="s">
        <v>14</v>
      </c>
      <c r="C120" s="7" t="str">
        <f>IF(B120="Smartphone", "Electronics", IF(B120="Laptop", "Computing", IF(B120="Tablet", "Mobile", IF(B120="Smartwatch", "Wearables", IF(B120="Headphones", "Audio", "Photography")))))</f>
        <v>Audio</v>
      </c>
      <c r="D120" s="1">
        <v>44044</v>
      </c>
      <c r="E120" s="13" t="str">
        <f t="shared" si="1"/>
        <v>Winter</v>
      </c>
      <c r="F120">
        <v>81</v>
      </c>
      <c r="G120">
        <v>321</v>
      </c>
      <c r="H120" s="7">
        <f>F120+G120</f>
        <v>402</v>
      </c>
      <c r="I120">
        <v>313</v>
      </c>
      <c r="J120">
        <v>8</v>
      </c>
      <c r="K120" s="34">
        <f>F120+G120-I120</f>
        <v>89</v>
      </c>
      <c r="L120" s="34">
        <f>J120-K120</f>
        <v>-81</v>
      </c>
      <c r="M120" s="32">
        <f>I120/((F120+J120)/2)</f>
        <v>7.0337078651685392</v>
      </c>
      <c r="N120">
        <v>5</v>
      </c>
      <c r="O120">
        <v>0.84169955554623799</v>
      </c>
      <c r="P120" s="2">
        <v>99.048631314318598</v>
      </c>
    </row>
    <row r="121" spans="1:16" x14ac:dyDescent="0.2">
      <c r="A121">
        <v>6</v>
      </c>
      <c r="B121" t="s">
        <v>15</v>
      </c>
      <c r="C121" s="7" t="str">
        <f>IF(B121="Smartphone", "Electronics", IF(B121="Laptop", "Computing", IF(B121="Tablet", "Mobile", IF(B121="Smartwatch", "Wearables", IF(B121="Headphones", "Audio", "Photography")))))</f>
        <v>Photography</v>
      </c>
      <c r="D121" s="1">
        <v>44044</v>
      </c>
      <c r="E121" s="13" t="str">
        <f t="shared" si="1"/>
        <v>Winter</v>
      </c>
      <c r="F121">
        <v>79</v>
      </c>
      <c r="G121">
        <v>87</v>
      </c>
      <c r="H121" s="7">
        <f>F121+G121</f>
        <v>166</v>
      </c>
      <c r="I121">
        <v>72</v>
      </c>
      <c r="J121">
        <v>15</v>
      </c>
      <c r="K121" s="34">
        <f>F121+G121-I121</f>
        <v>94</v>
      </c>
      <c r="L121" s="34">
        <f>J121-K121</f>
        <v>-79</v>
      </c>
      <c r="M121" s="32">
        <f>I121/((F121+J121)/2)</f>
        <v>1.5319148936170213</v>
      </c>
      <c r="N121">
        <v>26</v>
      </c>
      <c r="O121">
        <v>0.89642771714506098</v>
      </c>
      <c r="P121" s="2">
        <v>63.189353321870001</v>
      </c>
    </row>
    <row r="122" spans="1:16" x14ac:dyDescent="0.2">
      <c r="A122">
        <v>1</v>
      </c>
      <c r="B122" t="s">
        <v>10</v>
      </c>
      <c r="C122" s="7" t="str">
        <f>IF(B122="Smartphone", "Electronics", IF(B122="Laptop", "Computing", IF(B122="Tablet", "Mobile", IF(B122="Smartwatch", "Wearables", IF(B122="Headphones", "Audio", "Photography")))))</f>
        <v>Electronics</v>
      </c>
      <c r="D122" s="1">
        <v>44075</v>
      </c>
      <c r="E122" s="13" t="str">
        <f t="shared" si="1"/>
        <v>Spring</v>
      </c>
      <c r="F122">
        <v>156</v>
      </c>
      <c r="G122">
        <v>275</v>
      </c>
      <c r="H122" s="7">
        <f>F122+G122</f>
        <v>431</v>
      </c>
      <c r="I122">
        <v>404</v>
      </c>
      <c r="J122">
        <v>89</v>
      </c>
      <c r="K122" s="34">
        <f>F122+G122-I122</f>
        <v>27</v>
      </c>
      <c r="L122" s="34">
        <f>J122-K122</f>
        <v>62</v>
      </c>
      <c r="M122" s="32">
        <f>I122/((F122+J122)/2)</f>
        <v>3.2979591836734694</v>
      </c>
      <c r="N122">
        <v>4</v>
      </c>
      <c r="O122">
        <v>0.94906570639993904</v>
      </c>
      <c r="P122" s="2">
        <v>46.117616131499197</v>
      </c>
    </row>
    <row r="123" spans="1:16" x14ac:dyDescent="0.2">
      <c r="A123">
        <v>2</v>
      </c>
      <c r="B123" t="s">
        <v>11</v>
      </c>
      <c r="C123" s="7" t="str">
        <f>IF(B123="Smartphone", "Electronics", IF(B123="Laptop", "Computing", IF(B123="Tablet", "Mobile", IF(B123="Smartwatch", "Wearables", IF(B123="Headphones", "Audio", "Photography")))))</f>
        <v>Computing</v>
      </c>
      <c r="D123" s="1">
        <v>44075</v>
      </c>
      <c r="E123" s="13" t="str">
        <f t="shared" si="1"/>
        <v>Spring</v>
      </c>
      <c r="F123">
        <v>18</v>
      </c>
      <c r="G123">
        <v>191</v>
      </c>
      <c r="H123" s="7">
        <f>F123+G123</f>
        <v>209</v>
      </c>
      <c r="I123">
        <v>167</v>
      </c>
      <c r="J123">
        <v>24</v>
      </c>
      <c r="K123" s="34">
        <f>F123+G123-I123</f>
        <v>42</v>
      </c>
      <c r="L123" s="34">
        <f>J123-K123</f>
        <v>-18</v>
      </c>
      <c r="M123" s="32">
        <f>I123/((F123+J123)/2)</f>
        <v>7.9523809523809526</v>
      </c>
      <c r="N123">
        <v>15</v>
      </c>
      <c r="O123">
        <v>0.96178558696494199</v>
      </c>
      <c r="P123" s="2">
        <v>236.57478931033901</v>
      </c>
    </row>
    <row r="124" spans="1:16" x14ac:dyDescent="0.2">
      <c r="A124">
        <v>3</v>
      </c>
      <c r="B124" t="s">
        <v>12</v>
      </c>
      <c r="C124" s="7" t="str">
        <f>IF(B124="Smartphone", "Electronics", IF(B124="Laptop", "Computing", IF(B124="Tablet", "Mobile", IF(B124="Smartwatch", "Wearables", IF(B124="Headphones", "Audio", "Photography")))))</f>
        <v>Mobile</v>
      </c>
      <c r="D124" s="1">
        <v>44075</v>
      </c>
      <c r="E124" s="13" t="str">
        <f t="shared" si="1"/>
        <v>Spring</v>
      </c>
      <c r="F124">
        <v>63</v>
      </c>
      <c r="G124">
        <v>341</v>
      </c>
      <c r="H124" s="7">
        <f>F124+G124</f>
        <v>404</v>
      </c>
      <c r="I124">
        <v>337</v>
      </c>
      <c r="J124">
        <v>18</v>
      </c>
      <c r="K124" s="34">
        <f>F124+G124-I124</f>
        <v>67</v>
      </c>
      <c r="L124" s="34">
        <f>J124-K124</f>
        <v>-49</v>
      </c>
      <c r="M124" s="32">
        <f>I124/((F124+J124)/2)</f>
        <v>8.3209876543209873</v>
      </c>
      <c r="N124">
        <v>29</v>
      </c>
      <c r="O124">
        <v>0.92132479094598396</v>
      </c>
      <c r="P124" s="2">
        <v>131.604111548693</v>
      </c>
    </row>
    <row r="125" spans="1:16" x14ac:dyDescent="0.2">
      <c r="A125">
        <v>4</v>
      </c>
      <c r="B125" t="s">
        <v>13</v>
      </c>
      <c r="C125" s="7" t="str">
        <f>IF(B125="Smartphone", "Electronics", IF(B125="Laptop", "Computing", IF(B125="Tablet", "Mobile", IF(B125="Smartwatch", "Wearables", IF(B125="Headphones", "Audio", "Photography")))))</f>
        <v>Wearables</v>
      </c>
      <c r="D125" s="1">
        <v>44075</v>
      </c>
      <c r="E125" s="13" t="str">
        <f t="shared" si="1"/>
        <v>Spring</v>
      </c>
      <c r="F125">
        <v>88</v>
      </c>
      <c r="G125">
        <v>200</v>
      </c>
      <c r="H125" s="7">
        <f>F125+G125</f>
        <v>288</v>
      </c>
      <c r="I125">
        <v>199</v>
      </c>
      <c r="J125">
        <v>1</v>
      </c>
      <c r="K125" s="34">
        <f>F125+G125-I125</f>
        <v>89</v>
      </c>
      <c r="L125" s="34">
        <f>J125-K125</f>
        <v>-88</v>
      </c>
      <c r="M125" s="32">
        <f>I125/((F125+J125)/2)</f>
        <v>4.4719101123595504</v>
      </c>
      <c r="N125">
        <v>4</v>
      </c>
      <c r="O125">
        <v>0.88304773483951304</v>
      </c>
      <c r="P125" s="2">
        <v>45.156800021512403</v>
      </c>
    </row>
    <row r="126" spans="1:16" x14ac:dyDescent="0.2">
      <c r="A126">
        <v>5</v>
      </c>
      <c r="B126" t="s">
        <v>14</v>
      </c>
      <c r="C126" s="7" t="str">
        <f>IF(B126="Smartphone", "Electronics", IF(B126="Laptop", "Computing", IF(B126="Tablet", "Mobile", IF(B126="Smartwatch", "Wearables", IF(B126="Headphones", "Audio", "Photography")))))</f>
        <v>Audio</v>
      </c>
      <c r="D126" s="1">
        <v>44075</v>
      </c>
      <c r="E126" s="13" t="str">
        <f t="shared" si="1"/>
        <v>Spring</v>
      </c>
      <c r="F126">
        <v>5</v>
      </c>
      <c r="G126">
        <v>163</v>
      </c>
      <c r="H126" s="7">
        <f>F126+G126</f>
        <v>168</v>
      </c>
      <c r="I126">
        <v>73</v>
      </c>
      <c r="J126">
        <v>90</v>
      </c>
      <c r="K126" s="34">
        <f>F126+G126-I126</f>
        <v>95</v>
      </c>
      <c r="L126" s="34">
        <f>J126-K126</f>
        <v>-5</v>
      </c>
      <c r="M126" s="32">
        <f>I126/((F126+J126)/2)</f>
        <v>1.5368421052631578</v>
      </c>
      <c r="N126">
        <v>20</v>
      </c>
      <c r="O126">
        <v>0.82036994578281897</v>
      </c>
      <c r="P126" s="2">
        <v>53.157847709232797</v>
      </c>
    </row>
    <row r="127" spans="1:16" x14ac:dyDescent="0.2">
      <c r="A127">
        <v>6</v>
      </c>
      <c r="B127" t="s">
        <v>15</v>
      </c>
      <c r="C127" s="7" t="str">
        <f>IF(B127="Smartphone", "Electronics", IF(B127="Laptop", "Computing", IF(B127="Tablet", "Mobile", IF(B127="Smartwatch", "Wearables", IF(B127="Headphones", "Audio", "Photography")))))</f>
        <v>Photography</v>
      </c>
      <c r="D127" s="1">
        <v>44075</v>
      </c>
      <c r="E127" s="13" t="str">
        <f t="shared" si="1"/>
        <v>Spring</v>
      </c>
      <c r="F127">
        <v>59</v>
      </c>
      <c r="G127">
        <v>286</v>
      </c>
      <c r="H127" s="7">
        <f>F127+G127</f>
        <v>345</v>
      </c>
      <c r="I127">
        <v>200</v>
      </c>
      <c r="J127">
        <v>86</v>
      </c>
      <c r="K127" s="34">
        <f>F127+G127-I127</f>
        <v>145</v>
      </c>
      <c r="L127" s="34">
        <f>J127-K127</f>
        <v>-59</v>
      </c>
      <c r="M127" s="32">
        <f>I127/((F127+J127)/2)</f>
        <v>2.7586206896551726</v>
      </c>
      <c r="N127">
        <v>10</v>
      </c>
      <c r="O127">
        <v>0.862122514438035</v>
      </c>
      <c r="P127" s="2">
        <v>37.435082527065099</v>
      </c>
    </row>
    <row r="128" spans="1:16" x14ac:dyDescent="0.2">
      <c r="A128">
        <v>1</v>
      </c>
      <c r="B128" t="s">
        <v>10</v>
      </c>
      <c r="C128" s="7" t="str">
        <f>IF(B128="Smartphone", "Electronics", IF(B128="Laptop", "Computing", IF(B128="Tablet", "Mobile", IF(B128="Smartwatch", "Wearables", IF(B128="Headphones", "Audio", "Photography")))))</f>
        <v>Electronics</v>
      </c>
      <c r="D128" s="1">
        <v>44105</v>
      </c>
      <c r="E128" s="13" t="str">
        <f t="shared" si="1"/>
        <v>Spring</v>
      </c>
      <c r="F128">
        <v>76</v>
      </c>
      <c r="G128">
        <v>115</v>
      </c>
      <c r="H128" s="7">
        <f>F128+G128</f>
        <v>191</v>
      </c>
      <c r="I128">
        <v>57</v>
      </c>
      <c r="J128">
        <v>58</v>
      </c>
      <c r="K128" s="34">
        <f>F128+G128-I128</f>
        <v>134</v>
      </c>
      <c r="L128" s="34">
        <f>J128-K128</f>
        <v>-76</v>
      </c>
      <c r="M128" s="32">
        <f>I128/((F128+J128)/2)</f>
        <v>0.85074626865671643</v>
      </c>
      <c r="N128">
        <v>24</v>
      </c>
      <c r="O128">
        <v>0.87653632976226104</v>
      </c>
      <c r="P128" s="2">
        <v>83.6425321996565</v>
      </c>
    </row>
    <row r="129" spans="1:16" x14ac:dyDescent="0.2">
      <c r="A129">
        <v>2</v>
      </c>
      <c r="B129" t="s">
        <v>11</v>
      </c>
      <c r="C129" s="7" t="str">
        <f>IF(B129="Smartphone", "Electronics", IF(B129="Laptop", "Computing", IF(B129="Tablet", "Mobile", IF(B129="Smartwatch", "Wearables", IF(B129="Headphones", "Audio", "Photography")))))</f>
        <v>Computing</v>
      </c>
      <c r="D129" s="1">
        <v>44105</v>
      </c>
      <c r="E129" s="13" t="str">
        <f t="shared" si="1"/>
        <v>Spring</v>
      </c>
      <c r="F129">
        <v>39</v>
      </c>
      <c r="G129">
        <v>410</v>
      </c>
      <c r="H129" s="7">
        <f>F129+G129</f>
        <v>449</v>
      </c>
      <c r="I129">
        <v>100</v>
      </c>
      <c r="J129">
        <v>310</v>
      </c>
      <c r="K129" s="34">
        <f>F129+G129-I129</f>
        <v>349</v>
      </c>
      <c r="L129" s="34">
        <f>J129-K129</f>
        <v>-39</v>
      </c>
      <c r="M129" s="32">
        <f>I129/((F129+J129)/2)</f>
        <v>0.57306590257879653</v>
      </c>
      <c r="N129">
        <v>22</v>
      </c>
      <c r="O129">
        <v>0.86511331083491905</v>
      </c>
      <c r="P129" s="2">
        <v>515.20202377693397</v>
      </c>
    </row>
    <row r="130" spans="1:16" x14ac:dyDescent="0.2">
      <c r="A130">
        <v>3</v>
      </c>
      <c r="B130" t="s">
        <v>12</v>
      </c>
      <c r="C130" s="7" t="str">
        <f>IF(B130="Smartphone", "Electronics", IF(B130="Laptop", "Computing", IF(B130="Tablet", "Mobile", IF(B130="Smartwatch", "Wearables", IF(B130="Headphones", "Audio", "Photography")))))</f>
        <v>Mobile</v>
      </c>
      <c r="D130" s="1">
        <v>44105</v>
      </c>
      <c r="E130" s="13" t="str">
        <f t="shared" si="1"/>
        <v>Spring</v>
      </c>
      <c r="F130">
        <v>179</v>
      </c>
      <c r="G130">
        <v>390</v>
      </c>
      <c r="H130" s="7">
        <f>F130+G130</f>
        <v>569</v>
      </c>
      <c r="I130">
        <v>336</v>
      </c>
      <c r="J130">
        <v>54</v>
      </c>
      <c r="K130" s="34">
        <f>F130+G130-I130</f>
        <v>233</v>
      </c>
      <c r="L130" s="34">
        <f>J130-K130</f>
        <v>-179</v>
      </c>
      <c r="M130" s="32">
        <f>I130/((F130+J130)/2)</f>
        <v>2.8841201716738198</v>
      </c>
      <c r="N130">
        <v>3</v>
      </c>
      <c r="O130">
        <v>0.90297764841567996</v>
      </c>
      <c r="P130" s="2">
        <v>13.7048162501011</v>
      </c>
    </row>
    <row r="131" spans="1:16" x14ac:dyDescent="0.2">
      <c r="A131">
        <v>4</v>
      </c>
      <c r="B131" t="s">
        <v>13</v>
      </c>
      <c r="C131" s="7" t="str">
        <f>IF(B131="Smartphone", "Electronics", IF(B131="Laptop", "Computing", IF(B131="Tablet", "Mobile", IF(B131="Smartwatch", "Wearables", IF(B131="Headphones", "Audio", "Photography")))))</f>
        <v>Wearables</v>
      </c>
      <c r="D131" s="1">
        <v>44105</v>
      </c>
      <c r="E131" s="13" t="str">
        <f t="shared" ref="E131:E194" si="2">IF(OR(MONTH(D131)=9, MONTH(D131)=10, MONTH(D131)=11), "Spring",
 IF(OR(MONTH(D131)=12, MONTH(D131)=1, MONTH(D131)=2), "Summer",
 IF(OR(MONTH(D131)=3, MONTH(D131)=4, MONTH(D131)=5), "Autumn",
 IF(OR(MONTH(D131)=6, MONTH(D131)=7, MONTH(D131)=8), "Winter", "Unknown"
))))</f>
        <v>Spring</v>
      </c>
      <c r="F131">
        <v>71</v>
      </c>
      <c r="G131">
        <v>307</v>
      </c>
      <c r="H131" s="7">
        <f>F131+G131</f>
        <v>378</v>
      </c>
      <c r="I131">
        <v>298</v>
      </c>
      <c r="J131">
        <v>9</v>
      </c>
      <c r="K131" s="34">
        <f>F131+G131-I131</f>
        <v>80</v>
      </c>
      <c r="L131" s="34">
        <f>J131-K131</f>
        <v>-71</v>
      </c>
      <c r="M131" s="32">
        <f>I131/((F131+J131)/2)</f>
        <v>7.45</v>
      </c>
      <c r="N131">
        <v>26</v>
      </c>
      <c r="O131">
        <v>0.88290561319143501</v>
      </c>
      <c r="P131" s="2">
        <v>121.309993057863</v>
      </c>
    </row>
    <row r="132" spans="1:16" x14ac:dyDescent="0.2">
      <c r="A132">
        <v>5</v>
      </c>
      <c r="B132" t="s">
        <v>14</v>
      </c>
      <c r="C132" s="7" t="str">
        <f>IF(B132="Smartphone", "Electronics", IF(B132="Laptop", "Computing", IF(B132="Tablet", "Mobile", IF(B132="Smartwatch", "Wearables", IF(B132="Headphones", "Audio", "Photography")))))</f>
        <v>Audio</v>
      </c>
      <c r="D132" s="1">
        <v>44105</v>
      </c>
      <c r="E132" s="13" t="str">
        <f t="shared" si="2"/>
        <v>Spring</v>
      </c>
      <c r="F132">
        <v>78</v>
      </c>
      <c r="G132">
        <v>268</v>
      </c>
      <c r="H132" s="7">
        <f>F132+G132</f>
        <v>346</v>
      </c>
      <c r="I132">
        <v>295</v>
      </c>
      <c r="J132">
        <v>3</v>
      </c>
      <c r="K132" s="34">
        <f>F132+G132-I132</f>
        <v>51</v>
      </c>
      <c r="L132" s="34">
        <f>J132-K132</f>
        <v>-48</v>
      </c>
      <c r="M132" s="32">
        <f>I132/((F132+J132)/2)</f>
        <v>7.283950617283951</v>
      </c>
      <c r="N132">
        <v>5</v>
      </c>
      <c r="O132">
        <v>0.90860606861677196</v>
      </c>
      <c r="P132" s="2">
        <v>57.736836990382699</v>
      </c>
    </row>
    <row r="133" spans="1:16" x14ac:dyDescent="0.2">
      <c r="A133">
        <v>6</v>
      </c>
      <c r="B133" t="s">
        <v>15</v>
      </c>
      <c r="C133" s="7" t="str">
        <f>IF(B133="Smartphone", "Electronics", IF(B133="Laptop", "Computing", IF(B133="Tablet", "Mobile", IF(B133="Smartwatch", "Wearables", IF(B133="Headphones", "Audio", "Photography")))))</f>
        <v>Photography</v>
      </c>
      <c r="D133" s="1">
        <v>44105</v>
      </c>
      <c r="E133" s="13" t="str">
        <f t="shared" si="2"/>
        <v>Spring</v>
      </c>
      <c r="F133">
        <v>32</v>
      </c>
      <c r="G133">
        <v>498</v>
      </c>
      <c r="H133" s="7">
        <f>F133+G133</f>
        <v>530</v>
      </c>
      <c r="I133">
        <v>369</v>
      </c>
      <c r="J133">
        <v>129</v>
      </c>
      <c r="K133" s="34">
        <f>F133+G133-I133</f>
        <v>161</v>
      </c>
      <c r="L133" s="34">
        <f>J133-K133</f>
        <v>-32</v>
      </c>
      <c r="M133" s="32">
        <f>I133/((F133+J133)/2)</f>
        <v>4.5838509316770191</v>
      </c>
      <c r="N133">
        <v>6</v>
      </c>
      <c r="O133">
        <v>0.96013136505238295</v>
      </c>
      <c r="P133" s="2">
        <v>100.219389199962</v>
      </c>
    </row>
    <row r="134" spans="1:16" x14ac:dyDescent="0.2">
      <c r="A134">
        <v>1</v>
      </c>
      <c r="B134" t="s">
        <v>10</v>
      </c>
      <c r="C134" s="7" t="str">
        <f>IF(B134="Smartphone", "Electronics", IF(B134="Laptop", "Computing", IF(B134="Tablet", "Mobile", IF(B134="Smartwatch", "Wearables", IF(B134="Headphones", "Audio", "Photography")))))</f>
        <v>Electronics</v>
      </c>
      <c r="D134" s="1">
        <v>44136</v>
      </c>
      <c r="E134" s="13" t="str">
        <f t="shared" si="2"/>
        <v>Spring</v>
      </c>
      <c r="F134">
        <v>60</v>
      </c>
      <c r="G134">
        <v>380</v>
      </c>
      <c r="H134" s="7">
        <f>F134+G134</f>
        <v>440</v>
      </c>
      <c r="I134">
        <v>359</v>
      </c>
      <c r="J134">
        <v>21</v>
      </c>
      <c r="K134" s="34">
        <f>F134+G134-I134</f>
        <v>81</v>
      </c>
      <c r="L134" s="34">
        <f>J134-K134</f>
        <v>-60</v>
      </c>
      <c r="M134" s="32">
        <f>I134/((F134+J134)/2)</f>
        <v>8.8641975308641978</v>
      </c>
      <c r="N134">
        <v>21</v>
      </c>
      <c r="O134">
        <v>0.87967688893853102</v>
      </c>
      <c r="P134" s="2">
        <v>10.1358394126928</v>
      </c>
    </row>
    <row r="135" spans="1:16" x14ac:dyDescent="0.2">
      <c r="A135">
        <v>2</v>
      </c>
      <c r="B135" t="s">
        <v>11</v>
      </c>
      <c r="C135" s="7" t="str">
        <f>IF(B135="Smartphone", "Electronics", IF(B135="Laptop", "Computing", IF(B135="Tablet", "Mobile", IF(B135="Smartwatch", "Wearables", IF(B135="Headphones", "Audio", "Photography")))))</f>
        <v>Computing</v>
      </c>
      <c r="D135" s="1">
        <v>44136</v>
      </c>
      <c r="E135" s="13" t="str">
        <f t="shared" si="2"/>
        <v>Spring</v>
      </c>
      <c r="F135">
        <v>7</v>
      </c>
      <c r="G135">
        <v>372</v>
      </c>
      <c r="H135" s="7">
        <f>F135+G135</f>
        <v>379</v>
      </c>
      <c r="I135">
        <v>440</v>
      </c>
      <c r="J135">
        <v>59</v>
      </c>
      <c r="K135" s="34">
        <f>F135+G135-I135</f>
        <v>-61</v>
      </c>
      <c r="L135" s="34">
        <f>J135-K135</f>
        <v>120</v>
      </c>
      <c r="M135" s="32">
        <f>I135/((F135+J135)/2)</f>
        <v>13.333333333333334</v>
      </c>
      <c r="N135">
        <v>22</v>
      </c>
      <c r="O135">
        <v>0.83085665113728802</v>
      </c>
      <c r="P135" s="2">
        <v>18.642116854687298</v>
      </c>
    </row>
    <row r="136" spans="1:16" x14ac:dyDescent="0.2">
      <c r="A136">
        <v>3</v>
      </c>
      <c r="B136" t="s">
        <v>12</v>
      </c>
      <c r="C136" s="7" t="str">
        <f>IF(B136="Smartphone", "Electronics", IF(B136="Laptop", "Computing", IF(B136="Tablet", "Mobile", IF(B136="Smartwatch", "Wearables", IF(B136="Headphones", "Audio", "Photography")))))</f>
        <v>Mobile</v>
      </c>
      <c r="D136" s="1">
        <v>44136</v>
      </c>
      <c r="E136" s="13" t="str">
        <f t="shared" si="2"/>
        <v>Spring</v>
      </c>
      <c r="F136">
        <v>54</v>
      </c>
      <c r="G136">
        <v>229</v>
      </c>
      <c r="H136" s="7">
        <f>F136+G136</f>
        <v>283</v>
      </c>
      <c r="I136">
        <v>225</v>
      </c>
      <c r="J136">
        <v>4</v>
      </c>
      <c r="K136" s="34">
        <f>F136+G136-I136</f>
        <v>58</v>
      </c>
      <c r="L136" s="34">
        <f>J136-K136</f>
        <v>-54</v>
      </c>
      <c r="M136" s="32">
        <f>I136/((F136+J136)/2)</f>
        <v>7.7586206896551726</v>
      </c>
      <c r="N136">
        <v>8</v>
      </c>
      <c r="O136">
        <v>0.86491462009375597</v>
      </c>
      <c r="P136" s="2">
        <v>125.735896970879</v>
      </c>
    </row>
    <row r="137" spans="1:16" x14ac:dyDescent="0.2">
      <c r="A137">
        <v>4</v>
      </c>
      <c r="B137" t="s">
        <v>13</v>
      </c>
      <c r="C137" s="7" t="str">
        <f>IF(B137="Smartphone", "Electronics", IF(B137="Laptop", "Computing", IF(B137="Tablet", "Mobile", IF(B137="Smartwatch", "Wearables", IF(B137="Headphones", "Audio", "Photography")))))</f>
        <v>Wearables</v>
      </c>
      <c r="D137" s="1">
        <v>44136</v>
      </c>
      <c r="E137" s="13" t="str">
        <f t="shared" si="2"/>
        <v>Spring</v>
      </c>
      <c r="F137">
        <v>65</v>
      </c>
      <c r="G137">
        <v>239</v>
      </c>
      <c r="H137" s="7">
        <f>F137+G137</f>
        <v>304</v>
      </c>
      <c r="I137">
        <v>193</v>
      </c>
      <c r="J137">
        <v>46</v>
      </c>
      <c r="K137" s="34">
        <f>F137+G137-I137</f>
        <v>111</v>
      </c>
      <c r="L137" s="34">
        <f>J137-K137</f>
        <v>-65</v>
      </c>
      <c r="M137" s="32">
        <f>I137/((F137+J137)/2)</f>
        <v>3.4774774774774775</v>
      </c>
      <c r="N137">
        <v>7</v>
      </c>
      <c r="O137">
        <v>0.929179423498663</v>
      </c>
      <c r="P137" s="2">
        <v>167.02903323545701</v>
      </c>
    </row>
    <row r="138" spans="1:16" x14ac:dyDescent="0.2">
      <c r="A138">
        <v>5</v>
      </c>
      <c r="B138" t="s">
        <v>14</v>
      </c>
      <c r="C138" s="7" t="str">
        <f>IF(B138="Smartphone", "Electronics", IF(B138="Laptop", "Computing", IF(B138="Tablet", "Mobile", IF(B138="Smartwatch", "Wearables", IF(B138="Headphones", "Audio", "Photography")))))</f>
        <v>Audio</v>
      </c>
      <c r="D138" s="1">
        <v>44136</v>
      </c>
      <c r="E138" s="13" t="str">
        <f t="shared" si="2"/>
        <v>Spring</v>
      </c>
      <c r="F138">
        <v>65</v>
      </c>
      <c r="G138">
        <v>456</v>
      </c>
      <c r="H138" s="7">
        <f>F138+G138</f>
        <v>521</v>
      </c>
      <c r="I138">
        <v>357</v>
      </c>
      <c r="J138">
        <v>99</v>
      </c>
      <c r="K138" s="34">
        <f>F138+G138-I138</f>
        <v>164</v>
      </c>
      <c r="L138" s="34">
        <f>J138-K138</f>
        <v>-65</v>
      </c>
      <c r="M138" s="32">
        <f>I138/((F138+J138)/2)</f>
        <v>4.3536585365853657</v>
      </c>
      <c r="N138">
        <v>21</v>
      </c>
      <c r="O138">
        <v>0.93389718924763299</v>
      </c>
      <c r="P138" s="2">
        <v>54.5520939956142</v>
      </c>
    </row>
    <row r="139" spans="1:16" x14ac:dyDescent="0.2">
      <c r="A139">
        <v>6</v>
      </c>
      <c r="B139" t="s">
        <v>15</v>
      </c>
      <c r="C139" s="7" t="str">
        <f>IF(B139="Smartphone", "Electronics", IF(B139="Laptop", "Computing", IF(B139="Tablet", "Mobile", IF(B139="Smartwatch", "Wearables", IF(B139="Headphones", "Audio", "Photography")))))</f>
        <v>Photography</v>
      </c>
      <c r="D139" s="1">
        <v>44136</v>
      </c>
      <c r="E139" s="13" t="str">
        <f t="shared" si="2"/>
        <v>Spring</v>
      </c>
      <c r="F139">
        <v>2</v>
      </c>
      <c r="G139">
        <v>203</v>
      </c>
      <c r="H139" s="7">
        <f>F139+G139</f>
        <v>205</v>
      </c>
      <c r="I139">
        <v>167</v>
      </c>
      <c r="J139">
        <v>36</v>
      </c>
      <c r="K139" s="34">
        <f>F139+G139-I139</f>
        <v>38</v>
      </c>
      <c r="L139" s="34">
        <f>J139-K139</f>
        <v>-2</v>
      </c>
      <c r="M139" s="32">
        <f>I139/((F139+J139)/2)</f>
        <v>8.7894736842105257</v>
      </c>
      <c r="N139">
        <v>10</v>
      </c>
      <c r="O139">
        <v>0.92030425985081099</v>
      </c>
      <c r="P139" s="2">
        <v>32.5805222479609</v>
      </c>
    </row>
    <row r="140" spans="1:16" x14ac:dyDescent="0.2">
      <c r="A140">
        <v>1</v>
      </c>
      <c r="B140" t="s">
        <v>10</v>
      </c>
      <c r="C140" s="7" t="str">
        <f>IF(B140="Smartphone", "Electronics", IF(B140="Laptop", "Computing", IF(B140="Tablet", "Mobile", IF(B140="Smartwatch", "Wearables", IF(B140="Headphones", "Audio", "Photography")))))</f>
        <v>Electronics</v>
      </c>
      <c r="D140" s="1">
        <v>44166</v>
      </c>
      <c r="E140" s="13" t="str">
        <f t="shared" si="2"/>
        <v>Summer</v>
      </c>
      <c r="F140">
        <v>72</v>
      </c>
      <c r="G140">
        <v>245</v>
      </c>
      <c r="H140" s="7">
        <f>F140+G140</f>
        <v>317</v>
      </c>
      <c r="I140">
        <v>184</v>
      </c>
      <c r="J140">
        <v>61</v>
      </c>
      <c r="K140" s="34">
        <f>F140+G140-I140</f>
        <v>133</v>
      </c>
      <c r="L140" s="34">
        <f>J140-K140</f>
        <v>-72</v>
      </c>
      <c r="M140" s="32">
        <f>I140/((F140+J140)/2)</f>
        <v>2.7669172932330826</v>
      </c>
      <c r="N140">
        <v>6</v>
      </c>
      <c r="O140">
        <v>0.96503686529440003</v>
      </c>
      <c r="P140" s="2">
        <v>78.022831992084207</v>
      </c>
    </row>
    <row r="141" spans="1:16" x14ac:dyDescent="0.2">
      <c r="A141">
        <v>2</v>
      </c>
      <c r="B141" t="s">
        <v>11</v>
      </c>
      <c r="C141" s="7" t="str">
        <f>IF(B141="Smartphone", "Electronics", IF(B141="Laptop", "Computing", IF(B141="Tablet", "Mobile", IF(B141="Smartwatch", "Wearables", IF(B141="Headphones", "Audio", "Photography")))))</f>
        <v>Computing</v>
      </c>
      <c r="D141" s="1">
        <v>44166</v>
      </c>
      <c r="E141" s="13" t="str">
        <f t="shared" si="2"/>
        <v>Summer</v>
      </c>
      <c r="F141">
        <v>15</v>
      </c>
      <c r="G141">
        <v>360</v>
      </c>
      <c r="H141" s="7">
        <f>F141+G141</f>
        <v>375</v>
      </c>
      <c r="I141">
        <v>298</v>
      </c>
      <c r="J141">
        <v>62</v>
      </c>
      <c r="K141" s="34">
        <f>F141+G141-I141</f>
        <v>77</v>
      </c>
      <c r="L141" s="34">
        <f>J141-K141</f>
        <v>-15</v>
      </c>
      <c r="M141" s="32">
        <f>I141/((F141+J141)/2)</f>
        <v>7.7402597402597406</v>
      </c>
      <c r="N141">
        <v>14</v>
      </c>
      <c r="O141">
        <v>0.89068184650615001</v>
      </c>
      <c r="P141" s="2">
        <v>68.242828477636195</v>
      </c>
    </row>
    <row r="142" spans="1:16" x14ac:dyDescent="0.2">
      <c r="A142">
        <v>3</v>
      </c>
      <c r="B142" t="s">
        <v>12</v>
      </c>
      <c r="C142" s="7" t="str">
        <f>IF(B142="Smartphone", "Electronics", IF(B142="Laptop", "Computing", IF(B142="Tablet", "Mobile", IF(B142="Smartwatch", "Wearables", IF(B142="Headphones", "Audio", "Photography")))))</f>
        <v>Mobile</v>
      </c>
      <c r="D142" s="1">
        <v>44166</v>
      </c>
      <c r="E142" s="13" t="str">
        <f t="shared" si="2"/>
        <v>Summer</v>
      </c>
      <c r="F142">
        <v>90</v>
      </c>
      <c r="G142">
        <v>311</v>
      </c>
      <c r="H142" s="7">
        <f>F142+G142</f>
        <v>401</v>
      </c>
      <c r="I142">
        <v>258</v>
      </c>
      <c r="J142">
        <v>53</v>
      </c>
      <c r="K142" s="34">
        <f>F142+G142-I142</f>
        <v>143</v>
      </c>
      <c r="L142" s="34">
        <f>J142-K142</f>
        <v>-90</v>
      </c>
      <c r="M142" s="32">
        <f>I142/((F142+J142)/2)</f>
        <v>3.6083916083916083</v>
      </c>
      <c r="N142">
        <v>4</v>
      </c>
      <c r="O142">
        <v>1</v>
      </c>
      <c r="P142" s="2">
        <v>36.848570779596699</v>
      </c>
    </row>
    <row r="143" spans="1:16" x14ac:dyDescent="0.2">
      <c r="A143">
        <v>4</v>
      </c>
      <c r="B143" t="s">
        <v>13</v>
      </c>
      <c r="C143" s="7" t="str">
        <f>IF(B143="Smartphone", "Electronics", IF(B143="Laptop", "Computing", IF(B143="Tablet", "Mobile", IF(B143="Smartwatch", "Wearables", IF(B143="Headphones", "Audio", "Photography")))))</f>
        <v>Wearables</v>
      </c>
      <c r="D143" s="1">
        <v>44166</v>
      </c>
      <c r="E143" s="13" t="str">
        <f t="shared" si="2"/>
        <v>Summer</v>
      </c>
      <c r="F143">
        <v>48</v>
      </c>
      <c r="G143">
        <v>468</v>
      </c>
      <c r="H143" s="7">
        <f>F143+G143</f>
        <v>516</v>
      </c>
      <c r="I143">
        <v>453</v>
      </c>
      <c r="J143">
        <v>15</v>
      </c>
      <c r="K143" s="34">
        <f>F143+G143-I143</f>
        <v>63</v>
      </c>
      <c r="L143" s="34">
        <f>J143-K143</f>
        <v>-48</v>
      </c>
      <c r="M143" s="32">
        <f>I143/((F143+J143)/2)</f>
        <v>14.380952380952381</v>
      </c>
      <c r="N143">
        <v>28</v>
      </c>
      <c r="O143">
        <v>0.94090935680529497</v>
      </c>
      <c r="P143" s="2">
        <v>109.474317110116</v>
      </c>
    </row>
    <row r="144" spans="1:16" x14ac:dyDescent="0.2">
      <c r="A144">
        <v>5</v>
      </c>
      <c r="B144" t="s">
        <v>14</v>
      </c>
      <c r="C144" s="7" t="str">
        <f>IF(B144="Smartphone", "Electronics", IF(B144="Laptop", "Computing", IF(B144="Tablet", "Mobile", IF(B144="Smartwatch", "Wearables", IF(B144="Headphones", "Audio", "Photography")))))</f>
        <v>Audio</v>
      </c>
      <c r="D144" s="1">
        <v>44166</v>
      </c>
      <c r="E144" s="13" t="str">
        <f t="shared" si="2"/>
        <v>Summer</v>
      </c>
      <c r="F144">
        <v>35</v>
      </c>
      <c r="G144">
        <v>455</v>
      </c>
      <c r="H144" s="7">
        <f>F144+G144</f>
        <v>490</v>
      </c>
      <c r="I144">
        <v>422</v>
      </c>
      <c r="J144">
        <v>33</v>
      </c>
      <c r="K144" s="34">
        <f>F144+G144-I144</f>
        <v>68</v>
      </c>
      <c r="L144" s="34">
        <f>J144-K144</f>
        <v>-35</v>
      </c>
      <c r="M144" s="32">
        <f>I144/((F144+J144)/2)</f>
        <v>12.411764705882353</v>
      </c>
      <c r="N144">
        <v>25</v>
      </c>
      <c r="O144">
        <v>0.8</v>
      </c>
      <c r="P144" s="2">
        <v>55.858679142285503</v>
      </c>
    </row>
    <row r="145" spans="1:16" x14ac:dyDescent="0.2">
      <c r="A145">
        <v>6</v>
      </c>
      <c r="B145" t="s">
        <v>15</v>
      </c>
      <c r="C145" s="7" t="str">
        <f>IF(B145="Smartphone", "Electronics", IF(B145="Laptop", "Computing", IF(B145="Tablet", "Mobile", IF(B145="Smartwatch", "Wearables", IF(B145="Headphones", "Audio", "Photography")))))</f>
        <v>Photography</v>
      </c>
      <c r="D145" s="1">
        <v>44166</v>
      </c>
      <c r="E145" s="13" t="str">
        <f t="shared" si="2"/>
        <v>Summer</v>
      </c>
      <c r="F145">
        <v>42</v>
      </c>
      <c r="G145">
        <v>476</v>
      </c>
      <c r="H145" s="7">
        <f>F145+G145</f>
        <v>518</v>
      </c>
      <c r="I145">
        <v>100</v>
      </c>
      <c r="J145">
        <v>376</v>
      </c>
      <c r="K145" s="34">
        <f>F145+G145-I145</f>
        <v>418</v>
      </c>
      <c r="L145" s="34">
        <f>J145-K145</f>
        <v>-42</v>
      </c>
      <c r="M145" s="32">
        <f>I145/((F145+J145)/2)</f>
        <v>0.4784688995215311</v>
      </c>
      <c r="N145">
        <v>13</v>
      </c>
      <c r="O145">
        <v>0.99003293149817795</v>
      </c>
      <c r="P145" s="2">
        <v>198.97545583846099</v>
      </c>
    </row>
    <row r="146" spans="1:16" x14ac:dyDescent="0.2">
      <c r="A146">
        <v>1</v>
      </c>
      <c r="B146" t="s">
        <v>10</v>
      </c>
      <c r="C146" s="7" t="str">
        <f>IF(B146="Smartphone", "Electronics", IF(B146="Laptop", "Computing", IF(B146="Tablet", "Mobile", IF(B146="Smartwatch", "Wearables", IF(B146="Headphones", "Audio", "Photography")))))</f>
        <v>Electronics</v>
      </c>
      <c r="D146" s="1">
        <v>44197</v>
      </c>
      <c r="E146" s="13" t="str">
        <f t="shared" si="2"/>
        <v>Summer</v>
      </c>
      <c r="F146">
        <v>88</v>
      </c>
      <c r="G146">
        <v>192</v>
      </c>
      <c r="H146" s="7">
        <f>F146+G146</f>
        <v>280</v>
      </c>
      <c r="I146">
        <v>168</v>
      </c>
      <c r="J146">
        <v>24</v>
      </c>
      <c r="K146" s="34">
        <f>F146+G146-I146</f>
        <v>112</v>
      </c>
      <c r="L146" s="34">
        <f>J146-K146</f>
        <v>-88</v>
      </c>
      <c r="M146" s="32">
        <f>I146/((F146+J146)/2)</f>
        <v>3</v>
      </c>
      <c r="N146">
        <v>20</v>
      </c>
      <c r="O146">
        <v>0.86165066949321301</v>
      </c>
      <c r="P146" s="2">
        <v>67.532850004412893</v>
      </c>
    </row>
    <row r="147" spans="1:16" x14ac:dyDescent="0.2">
      <c r="A147">
        <v>2</v>
      </c>
      <c r="B147" t="s">
        <v>11</v>
      </c>
      <c r="C147" s="7" t="str">
        <f>IF(B147="Smartphone", "Electronics", IF(B147="Laptop", "Computing", IF(B147="Tablet", "Mobile", IF(B147="Smartwatch", "Wearables", IF(B147="Headphones", "Audio", "Photography")))))</f>
        <v>Computing</v>
      </c>
      <c r="D147" s="1">
        <v>44197</v>
      </c>
      <c r="E147" s="13" t="str">
        <f t="shared" si="2"/>
        <v>Summer</v>
      </c>
      <c r="F147">
        <v>118</v>
      </c>
      <c r="G147">
        <v>391</v>
      </c>
      <c r="H147" s="7">
        <f>F147+G147</f>
        <v>509</v>
      </c>
      <c r="I147">
        <v>318</v>
      </c>
      <c r="J147">
        <v>168</v>
      </c>
      <c r="K147" s="34">
        <f>F147+G147-I147</f>
        <v>191</v>
      </c>
      <c r="L147" s="34">
        <f>J147-K147</f>
        <v>-23</v>
      </c>
      <c r="M147" s="32">
        <f>I147/((F147+J147)/2)</f>
        <v>2.2237762237762237</v>
      </c>
      <c r="N147">
        <v>17</v>
      </c>
      <c r="O147">
        <v>0.84829494052715304</v>
      </c>
      <c r="P147" s="2">
        <v>121.039390529896</v>
      </c>
    </row>
    <row r="148" spans="1:16" x14ac:dyDescent="0.2">
      <c r="A148">
        <v>3</v>
      </c>
      <c r="B148" t="s">
        <v>12</v>
      </c>
      <c r="C148" s="7" t="str">
        <f>IF(B148="Smartphone", "Electronics", IF(B148="Laptop", "Computing", IF(B148="Tablet", "Mobile", IF(B148="Smartwatch", "Wearables", IF(B148="Headphones", "Audio", "Photography")))))</f>
        <v>Mobile</v>
      </c>
      <c r="D148" s="1">
        <v>44197</v>
      </c>
      <c r="E148" s="13" t="str">
        <f t="shared" si="2"/>
        <v>Summer</v>
      </c>
      <c r="F148">
        <v>71</v>
      </c>
      <c r="G148">
        <v>365</v>
      </c>
      <c r="H148" s="7">
        <f>F148+G148</f>
        <v>436</v>
      </c>
      <c r="I148">
        <v>321</v>
      </c>
      <c r="J148">
        <v>44</v>
      </c>
      <c r="K148" s="34">
        <f>F148+G148-I148</f>
        <v>115</v>
      </c>
      <c r="L148" s="34">
        <f>J148-K148</f>
        <v>-71</v>
      </c>
      <c r="M148" s="32">
        <f>I148/((F148+J148)/2)</f>
        <v>5.5826086956521737</v>
      </c>
      <c r="N148">
        <v>23</v>
      </c>
      <c r="O148">
        <v>0.92618855549164403</v>
      </c>
      <c r="P148" s="2">
        <v>34.3407144615962</v>
      </c>
    </row>
    <row r="149" spans="1:16" x14ac:dyDescent="0.2">
      <c r="A149">
        <v>4</v>
      </c>
      <c r="B149" t="s">
        <v>13</v>
      </c>
      <c r="C149" s="7" t="str">
        <f>IF(B149="Smartphone", "Electronics", IF(B149="Laptop", "Computing", IF(B149="Tablet", "Mobile", IF(B149="Smartwatch", "Wearables", IF(B149="Headphones", "Audio", "Photography")))))</f>
        <v>Wearables</v>
      </c>
      <c r="D149" s="1">
        <v>44197</v>
      </c>
      <c r="E149" s="13" t="str">
        <f t="shared" si="2"/>
        <v>Summer</v>
      </c>
      <c r="F149">
        <v>40</v>
      </c>
      <c r="G149">
        <v>150</v>
      </c>
      <c r="H149" s="7">
        <f>F149+G149</f>
        <v>190</v>
      </c>
      <c r="I149">
        <v>92</v>
      </c>
      <c r="J149">
        <v>85</v>
      </c>
      <c r="K149" s="34">
        <f>F149+G149-I149</f>
        <v>98</v>
      </c>
      <c r="L149" s="34">
        <f>J149-K149</f>
        <v>-13</v>
      </c>
      <c r="M149" s="32">
        <f>I149/((F149+J149)/2)</f>
        <v>1.472</v>
      </c>
      <c r="N149">
        <v>7</v>
      </c>
      <c r="O149">
        <v>0.81309097638317196</v>
      </c>
      <c r="P149" s="2">
        <v>64.809087332883706</v>
      </c>
    </row>
    <row r="150" spans="1:16" x14ac:dyDescent="0.2">
      <c r="A150">
        <v>5</v>
      </c>
      <c r="B150" t="s">
        <v>14</v>
      </c>
      <c r="C150" s="7" t="str">
        <f>IF(B150="Smartphone", "Electronics", IF(B150="Laptop", "Computing", IF(B150="Tablet", "Mobile", IF(B150="Smartwatch", "Wearables", IF(B150="Headphones", "Audio", "Photography")))))</f>
        <v>Audio</v>
      </c>
      <c r="D150" s="1">
        <v>44197</v>
      </c>
      <c r="E150" s="13" t="str">
        <f t="shared" si="2"/>
        <v>Summer</v>
      </c>
      <c r="F150">
        <v>72</v>
      </c>
      <c r="G150">
        <v>293</v>
      </c>
      <c r="H150" s="7">
        <f>F150+G150</f>
        <v>365</v>
      </c>
      <c r="I150">
        <v>281</v>
      </c>
      <c r="J150">
        <v>12</v>
      </c>
      <c r="K150" s="34">
        <f>F150+G150-I150</f>
        <v>84</v>
      </c>
      <c r="L150" s="34">
        <f>J150-K150</f>
        <v>-72</v>
      </c>
      <c r="M150" s="32">
        <f>I150/((F150+J150)/2)</f>
        <v>6.6904761904761907</v>
      </c>
      <c r="N150">
        <v>4</v>
      </c>
      <c r="O150">
        <v>0.86522653843391895</v>
      </c>
      <c r="P150" s="2">
        <v>66.801345449583593</v>
      </c>
    </row>
    <row r="151" spans="1:16" x14ac:dyDescent="0.2">
      <c r="A151">
        <v>6</v>
      </c>
      <c r="B151" t="s">
        <v>15</v>
      </c>
      <c r="C151" s="7" t="str">
        <f>IF(B151="Smartphone", "Electronics", IF(B151="Laptop", "Computing", IF(B151="Tablet", "Mobile", IF(B151="Smartwatch", "Wearables", IF(B151="Headphones", "Audio", "Photography")))))</f>
        <v>Photography</v>
      </c>
      <c r="D151" s="1">
        <v>44197</v>
      </c>
      <c r="E151" s="13" t="str">
        <f t="shared" si="2"/>
        <v>Summer</v>
      </c>
      <c r="F151">
        <v>96</v>
      </c>
      <c r="G151">
        <v>61</v>
      </c>
      <c r="H151" s="7">
        <f>F151+G151</f>
        <v>157</v>
      </c>
      <c r="I151">
        <v>9</v>
      </c>
      <c r="J151">
        <v>52</v>
      </c>
      <c r="K151" s="34">
        <f>F151+G151-I151</f>
        <v>148</v>
      </c>
      <c r="L151" s="34">
        <f>J151-K151</f>
        <v>-96</v>
      </c>
      <c r="M151" s="32">
        <f>I151/((F151+J151)/2)</f>
        <v>0.12162162162162163</v>
      </c>
      <c r="N151">
        <v>29</v>
      </c>
      <c r="O151">
        <v>0.97785492703121002</v>
      </c>
      <c r="P151" s="2">
        <v>44.424320410784397</v>
      </c>
    </row>
    <row r="152" spans="1:16" x14ac:dyDescent="0.2">
      <c r="A152">
        <v>1</v>
      </c>
      <c r="B152" t="s">
        <v>10</v>
      </c>
      <c r="C152" s="7" t="str">
        <f>IF(B152="Smartphone", "Electronics", IF(B152="Laptop", "Computing", IF(B152="Tablet", "Mobile", IF(B152="Smartwatch", "Wearables", IF(B152="Headphones", "Audio", "Photography")))))</f>
        <v>Electronics</v>
      </c>
      <c r="D152" s="1">
        <v>44228</v>
      </c>
      <c r="E152" s="13" t="str">
        <f t="shared" si="2"/>
        <v>Summer</v>
      </c>
      <c r="F152">
        <v>87</v>
      </c>
      <c r="G152">
        <v>288</v>
      </c>
      <c r="H152" s="7">
        <f>F152+G152</f>
        <v>375</v>
      </c>
      <c r="I152">
        <v>213</v>
      </c>
      <c r="J152">
        <v>75</v>
      </c>
      <c r="K152" s="34">
        <f>F152+G152-I152</f>
        <v>162</v>
      </c>
      <c r="L152" s="34">
        <f>J152-K152</f>
        <v>-87</v>
      </c>
      <c r="M152" s="32">
        <f>I152/((F152+J152)/2)</f>
        <v>2.6296296296296298</v>
      </c>
      <c r="N152">
        <v>14</v>
      </c>
      <c r="O152">
        <v>0.92781087894987502</v>
      </c>
      <c r="P152" s="2">
        <v>75.4583143191349</v>
      </c>
    </row>
    <row r="153" spans="1:16" x14ac:dyDescent="0.2">
      <c r="A153">
        <v>2</v>
      </c>
      <c r="B153" t="s">
        <v>11</v>
      </c>
      <c r="C153" s="7" t="str">
        <f>IF(B153="Smartphone", "Electronics", IF(B153="Laptop", "Computing", IF(B153="Tablet", "Mobile", IF(B153="Smartwatch", "Wearables", IF(B153="Headphones", "Audio", "Photography")))))</f>
        <v>Computing</v>
      </c>
      <c r="D153" s="1">
        <v>44228</v>
      </c>
      <c r="E153" s="13" t="str">
        <f t="shared" si="2"/>
        <v>Summer</v>
      </c>
      <c r="F153">
        <v>80</v>
      </c>
      <c r="G153">
        <v>98</v>
      </c>
      <c r="H153" s="7">
        <f>F153+G153</f>
        <v>178</v>
      </c>
      <c r="I153">
        <v>63</v>
      </c>
      <c r="J153">
        <v>47</v>
      </c>
      <c r="K153" s="34">
        <f>F153+G153-I153</f>
        <v>115</v>
      </c>
      <c r="L153" s="34">
        <f>J153-K153</f>
        <v>-68</v>
      </c>
      <c r="M153" s="32">
        <f>I153/((F153+J153)/2)</f>
        <v>0.99212598425196852</v>
      </c>
      <c r="N153">
        <v>3</v>
      </c>
      <c r="O153">
        <v>0.94061198904696097</v>
      </c>
      <c r="P153" s="2">
        <v>141.38193603373</v>
      </c>
    </row>
    <row r="154" spans="1:16" x14ac:dyDescent="0.2">
      <c r="A154">
        <v>3</v>
      </c>
      <c r="B154" t="s">
        <v>12</v>
      </c>
      <c r="C154" s="7" t="str">
        <f>IF(B154="Smartphone", "Electronics", IF(B154="Laptop", "Computing", IF(B154="Tablet", "Mobile", IF(B154="Smartwatch", "Wearables", IF(B154="Headphones", "Audio", "Photography")))))</f>
        <v>Mobile</v>
      </c>
      <c r="D154" s="1">
        <v>44228</v>
      </c>
      <c r="E154" s="13" t="str">
        <f t="shared" si="2"/>
        <v>Summer</v>
      </c>
      <c r="F154">
        <v>84</v>
      </c>
      <c r="G154">
        <v>91</v>
      </c>
      <c r="H154" s="7">
        <f>F154+G154</f>
        <v>175</v>
      </c>
      <c r="I154">
        <v>28</v>
      </c>
      <c r="J154">
        <v>92</v>
      </c>
      <c r="K154" s="34">
        <f>F154+G154-I154</f>
        <v>147</v>
      </c>
      <c r="L154" s="34">
        <f>J154-K154</f>
        <v>-55</v>
      </c>
      <c r="M154" s="32">
        <f>I154/((F154+J154)/2)</f>
        <v>0.31818181818181818</v>
      </c>
      <c r="N154">
        <v>24</v>
      </c>
      <c r="O154">
        <v>0.86715446997512602</v>
      </c>
      <c r="P154" s="2">
        <v>89.501818690247106</v>
      </c>
    </row>
    <row r="155" spans="1:16" x14ac:dyDescent="0.2">
      <c r="A155">
        <v>4</v>
      </c>
      <c r="B155" t="s">
        <v>13</v>
      </c>
      <c r="C155" s="7" t="str">
        <f>IF(B155="Smartphone", "Electronics", IF(B155="Laptop", "Computing", IF(B155="Tablet", "Mobile", IF(B155="Smartwatch", "Wearables", IF(B155="Headphones", "Audio", "Photography")))))</f>
        <v>Wearables</v>
      </c>
      <c r="D155" s="1">
        <v>44228</v>
      </c>
      <c r="E155" s="13" t="str">
        <f t="shared" si="2"/>
        <v>Summer</v>
      </c>
      <c r="F155">
        <v>75</v>
      </c>
      <c r="G155">
        <v>215</v>
      </c>
      <c r="H155" s="7">
        <f>F155+G155</f>
        <v>290</v>
      </c>
      <c r="I155">
        <v>261</v>
      </c>
      <c r="J155">
        <v>87</v>
      </c>
      <c r="K155" s="34">
        <f>F155+G155-I155</f>
        <v>29</v>
      </c>
      <c r="L155" s="34">
        <f>J155-K155</f>
        <v>58</v>
      </c>
      <c r="M155" s="32">
        <f>I155/((F155+J155)/2)</f>
        <v>3.2222222222222223</v>
      </c>
      <c r="N155">
        <v>5</v>
      </c>
      <c r="O155">
        <v>0.82308150005159397</v>
      </c>
      <c r="P155" s="2">
        <v>47.894323331075803</v>
      </c>
    </row>
    <row r="156" spans="1:16" x14ac:dyDescent="0.2">
      <c r="A156">
        <v>5</v>
      </c>
      <c r="B156" t="s">
        <v>14</v>
      </c>
      <c r="C156" s="7" t="str">
        <f>IF(B156="Smartphone", "Electronics", IF(B156="Laptop", "Computing", IF(B156="Tablet", "Mobile", IF(B156="Smartwatch", "Wearables", IF(B156="Headphones", "Audio", "Photography")))))</f>
        <v>Audio</v>
      </c>
      <c r="D156" s="1">
        <v>44228</v>
      </c>
      <c r="E156" s="13" t="str">
        <f t="shared" si="2"/>
        <v>Summer</v>
      </c>
      <c r="F156">
        <v>28</v>
      </c>
      <c r="G156">
        <v>131</v>
      </c>
      <c r="H156" s="7">
        <f>F156+G156</f>
        <v>159</v>
      </c>
      <c r="I156">
        <v>124</v>
      </c>
      <c r="J156">
        <v>7</v>
      </c>
      <c r="K156" s="34">
        <f>F156+G156-I156</f>
        <v>35</v>
      </c>
      <c r="L156" s="34">
        <f>J156-K156</f>
        <v>-28</v>
      </c>
      <c r="M156" s="32">
        <f>I156/((F156+J156)/2)</f>
        <v>7.0857142857142854</v>
      </c>
      <c r="N156">
        <v>16</v>
      </c>
      <c r="O156">
        <v>0.93534087146568601</v>
      </c>
      <c r="P156" s="2">
        <v>29.698729868128002</v>
      </c>
    </row>
    <row r="157" spans="1:16" x14ac:dyDescent="0.2">
      <c r="A157">
        <v>6</v>
      </c>
      <c r="B157" t="s">
        <v>15</v>
      </c>
      <c r="C157" s="7" t="str">
        <f>IF(B157="Smartphone", "Electronics", IF(B157="Laptop", "Computing", IF(B157="Tablet", "Mobile", IF(B157="Smartwatch", "Wearables", IF(B157="Headphones", "Audio", "Photography")))))</f>
        <v>Photography</v>
      </c>
      <c r="D157" s="1">
        <v>44228</v>
      </c>
      <c r="E157" s="13" t="str">
        <f t="shared" si="2"/>
        <v>Summer</v>
      </c>
      <c r="F157">
        <v>51</v>
      </c>
      <c r="G157">
        <v>478</v>
      </c>
      <c r="H157" s="7">
        <f>F157+G157</f>
        <v>529</v>
      </c>
      <c r="I157">
        <v>443</v>
      </c>
      <c r="J157">
        <v>35</v>
      </c>
      <c r="K157" s="34">
        <f>F157+G157-I157</f>
        <v>86</v>
      </c>
      <c r="L157" s="34">
        <f>J157-K157</f>
        <v>-51</v>
      </c>
      <c r="M157" s="32">
        <f>I157/((F157+J157)/2)</f>
        <v>10.302325581395349</v>
      </c>
      <c r="N157">
        <v>26</v>
      </c>
      <c r="O157">
        <v>0.94651280781209701</v>
      </c>
      <c r="P157" s="2">
        <v>59.190266063401303</v>
      </c>
    </row>
    <row r="158" spans="1:16" x14ac:dyDescent="0.2">
      <c r="A158">
        <v>1</v>
      </c>
      <c r="B158" t="s">
        <v>10</v>
      </c>
      <c r="C158" s="7" t="str">
        <f>IF(B158="Smartphone", "Electronics", IF(B158="Laptop", "Computing", IF(B158="Tablet", "Mobile", IF(B158="Smartwatch", "Wearables", IF(B158="Headphones", "Audio", "Photography")))))</f>
        <v>Electronics</v>
      </c>
      <c r="D158" s="1">
        <v>44256</v>
      </c>
      <c r="E158" s="13" t="str">
        <f t="shared" si="2"/>
        <v>Autumn</v>
      </c>
      <c r="F158">
        <v>44</v>
      </c>
      <c r="G158">
        <v>340</v>
      </c>
      <c r="H158" s="7">
        <f>F158+G158</f>
        <v>384</v>
      </c>
      <c r="I158">
        <v>302</v>
      </c>
      <c r="J158">
        <v>38</v>
      </c>
      <c r="K158" s="34">
        <f>F158+G158-I158</f>
        <v>82</v>
      </c>
      <c r="L158" s="34">
        <f>J158-K158</f>
        <v>-44</v>
      </c>
      <c r="M158" s="32">
        <f>I158/((F158+J158)/2)</f>
        <v>7.3658536585365857</v>
      </c>
      <c r="N158">
        <v>23</v>
      </c>
      <c r="O158">
        <v>0.94424966930405496</v>
      </c>
      <c r="P158" s="2">
        <v>95.132957793332494</v>
      </c>
    </row>
    <row r="159" spans="1:16" x14ac:dyDescent="0.2">
      <c r="A159">
        <v>2</v>
      </c>
      <c r="B159" t="s">
        <v>11</v>
      </c>
      <c r="C159" s="7" t="str">
        <f>IF(B159="Smartphone", "Electronics", IF(B159="Laptop", "Computing", IF(B159="Tablet", "Mobile", IF(B159="Smartwatch", "Wearables", IF(B159="Headphones", "Audio", "Photography")))))</f>
        <v>Computing</v>
      </c>
      <c r="D159" s="1">
        <v>44256</v>
      </c>
      <c r="E159" s="13" t="str">
        <f t="shared" si="2"/>
        <v>Autumn</v>
      </c>
      <c r="F159">
        <v>3</v>
      </c>
      <c r="G159">
        <v>207</v>
      </c>
      <c r="H159" s="7">
        <f>F159+G159</f>
        <v>210</v>
      </c>
      <c r="I159">
        <v>156</v>
      </c>
      <c r="J159">
        <v>51</v>
      </c>
      <c r="K159" s="34">
        <f>F159+G159-I159</f>
        <v>54</v>
      </c>
      <c r="L159" s="34">
        <f>J159-K159</f>
        <v>-3</v>
      </c>
      <c r="M159" s="32">
        <f>I159/((F159+J159)/2)</f>
        <v>5.7777777777777777</v>
      </c>
      <c r="N159">
        <v>20</v>
      </c>
      <c r="O159">
        <v>0.91045346150589301</v>
      </c>
      <c r="P159" s="2">
        <v>46.3109528624218</v>
      </c>
    </row>
    <row r="160" spans="1:16" x14ac:dyDescent="0.2">
      <c r="A160">
        <v>3</v>
      </c>
      <c r="B160" t="s">
        <v>12</v>
      </c>
      <c r="C160" s="7" t="str">
        <f>IF(B160="Smartphone", "Electronics", IF(B160="Laptop", "Computing", IF(B160="Tablet", "Mobile", IF(B160="Smartwatch", "Wearables", IF(B160="Headphones", "Audio", "Photography")))))</f>
        <v>Mobile</v>
      </c>
      <c r="D160" s="1">
        <v>44256</v>
      </c>
      <c r="E160" s="13" t="str">
        <f t="shared" si="2"/>
        <v>Autumn</v>
      </c>
      <c r="F160">
        <v>152</v>
      </c>
      <c r="G160">
        <v>265</v>
      </c>
      <c r="H160" s="7">
        <f>F160+G160</f>
        <v>417</v>
      </c>
      <c r="I160">
        <v>464</v>
      </c>
      <c r="J160">
        <v>50</v>
      </c>
      <c r="K160" s="34">
        <f>F160+G160-I160</f>
        <v>-47</v>
      </c>
      <c r="L160" s="34">
        <f>J160-K160</f>
        <v>97</v>
      </c>
      <c r="M160" s="32">
        <f>I160/((F160+J160)/2)</f>
        <v>4.5940594059405937</v>
      </c>
      <c r="N160">
        <v>4</v>
      </c>
      <c r="O160">
        <v>0.85164658782639602</v>
      </c>
      <c r="P160" s="2">
        <v>77.333980467971898</v>
      </c>
    </row>
    <row r="161" spans="1:16" x14ac:dyDescent="0.2">
      <c r="A161">
        <v>4</v>
      </c>
      <c r="B161" t="s">
        <v>13</v>
      </c>
      <c r="C161" s="7" t="str">
        <f>IF(B161="Smartphone", "Electronics", IF(B161="Laptop", "Computing", IF(B161="Tablet", "Mobile", IF(B161="Smartwatch", "Wearables", IF(B161="Headphones", "Audio", "Photography")))))</f>
        <v>Wearables</v>
      </c>
      <c r="D161" s="1">
        <v>44256</v>
      </c>
      <c r="E161" s="13" t="str">
        <f t="shared" si="2"/>
        <v>Autumn</v>
      </c>
      <c r="F161">
        <v>41</v>
      </c>
      <c r="G161">
        <v>207</v>
      </c>
      <c r="H161" s="7">
        <f>F161+G161</f>
        <v>248</v>
      </c>
      <c r="I161">
        <v>178</v>
      </c>
      <c r="J161">
        <v>29</v>
      </c>
      <c r="K161" s="34">
        <f>F161+G161-I161</f>
        <v>70</v>
      </c>
      <c r="L161" s="34">
        <f>J161-K161</f>
        <v>-41</v>
      </c>
      <c r="M161" s="32">
        <f>I161/((F161+J161)/2)</f>
        <v>5.0857142857142854</v>
      </c>
      <c r="N161">
        <v>24</v>
      </c>
      <c r="O161">
        <v>1</v>
      </c>
      <c r="P161" s="2">
        <v>50.6281303575972</v>
      </c>
    </row>
    <row r="162" spans="1:16" x14ac:dyDescent="0.2">
      <c r="A162">
        <v>5</v>
      </c>
      <c r="B162" t="s">
        <v>14</v>
      </c>
      <c r="C162" s="7" t="str">
        <f>IF(B162="Smartphone", "Electronics", IF(B162="Laptop", "Computing", IF(B162="Tablet", "Mobile", IF(B162="Smartwatch", "Wearables", IF(B162="Headphones", "Audio", "Photography")))))</f>
        <v>Audio</v>
      </c>
      <c r="D162" s="1">
        <v>44256</v>
      </c>
      <c r="E162" s="13" t="str">
        <f t="shared" si="2"/>
        <v>Autumn</v>
      </c>
      <c r="F162">
        <v>99</v>
      </c>
      <c r="G162">
        <v>183</v>
      </c>
      <c r="H162" s="7">
        <f>F162+G162</f>
        <v>282</v>
      </c>
      <c r="I162">
        <v>139</v>
      </c>
      <c r="J162">
        <v>44</v>
      </c>
      <c r="K162" s="34">
        <f>F162+G162-I162</f>
        <v>143</v>
      </c>
      <c r="L162" s="34">
        <f>J162-K162</f>
        <v>-99</v>
      </c>
      <c r="M162" s="32">
        <f>I162/((F162+J162)/2)</f>
        <v>1.944055944055944</v>
      </c>
      <c r="N162">
        <v>24</v>
      </c>
      <c r="O162">
        <v>0.92398937214920795</v>
      </c>
      <c r="P162" s="2">
        <v>25.367471795186798</v>
      </c>
    </row>
    <row r="163" spans="1:16" x14ac:dyDescent="0.2">
      <c r="A163">
        <v>6</v>
      </c>
      <c r="B163" t="s">
        <v>15</v>
      </c>
      <c r="C163" s="7" t="str">
        <f>IF(B163="Smartphone", "Electronics", IF(B163="Laptop", "Computing", IF(B163="Tablet", "Mobile", IF(B163="Smartwatch", "Wearables", IF(B163="Headphones", "Audio", "Photography")))))</f>
        <v>Photography</v>
      </c>
      <c r="D163" s="1">
        <v>44256</v>
      </c>
      <c r="E163" s="13" t="str">
        <f t="shared" si="2"/>
        <v>Autumn</v>
      </c>
      <c r="F163">
        <v>15</v>
      </c>
      <c r="G163">
        <v>116</v>
      </c>
      <c r="H163" s="7">
        <f>F163+G163</f>
        <v>131</v>
      </c>
      <c r="I163">
        <v>73</v>
      </c>
      <c r="J163">
        <v>43</v>
      </c>
      <c r="K163" s="34">
        <f>F163+G163-I163</f>
        <v>58</v>
      </c>
      <c r="L163" s="34">
        <f>J163-K163</f>
        <v>-15</v>
      </c>
      <c r="M163" s="32">
        <f>I163/((F163+J163)/2)</f>
        <v>2.5172413793103448</v>
      </c>
      <c r="N163">
        <v>2</v>
      </c>
      <c r="O163">
        <v>0.891305667920541</v>
      </c>
      <c r="P163" s="2">
        <v>24.171766521637501</v>
      </c>
    </row>
    <row r="164" spans="1:16" x14ac:dyDescent="0.2">
      <c r="A164">
        <v>1</v>
      </c>
      <c r="B164" t="s">
        <v>10</v>
      </c>
      <c r="C164" s="7" t="str">
        <f>IF(B164="Smartphone", "Electronics", IF(B164="Laptop", "Computing", IF(B164="Tablet", "Mobile", IF(B164="Smartwatch", "Wearables", IF(B164="Headphones", "Audio", "Photography")))))</f>
        <v>Electronics</v>
      </c>
      <c r="D164" s="1">
        <v>44287</v>
      </c>
      <c r="E164" s="13" t="str">
        <f t="shared" si="2"/>
        <v>Autumn</v>
      </c>
      <c r="F164">
        <v>185</v>
      </c>
      <c r="G164">
        <v>385</v>
      </c>
      <c r="H164" s="7">
        <f>F164+G164</f>
        <v>570</v>
      </c>
      <c r="I164">
        <v>473</v>
      </c>
      <c r="J164">
        <v>239</v>
      </c>
      <c r="K164" s="34">
        <f>F164+G164-I164</f>
        <v>97</v>
      </c>
      <c r="L164" s="34">
        <f>J164-K164</f>
        <v>142</v>
      </c>
      <c r="M164" s="32">
        <f>I164/((F164+J164)/2)</f>
        <v>2.2311320754716979</v>
      </c>
      <c r="N164">
        <v>18</v>
      </c>
      <c r="O164">
        <v>0.89152753812583097</v>
      </c>
      <c r="P164" s="2">
        <v>16.3765348559605</v>
      </c>
    </row>
    <row r="165" spans="1:16" x14ac:dyDescent="0.2">
      <c r="A165">
        <v>2</v>
      </c>
      <c r="B165" t="s">
        <v>11</v>
      </c>
      <c r="C165" s="7" t="str">
        <f>IF(B165="Smartphone", "Electronics", IF(B165="Laptop", "Computing", IF(B165="Tablet", "Mobile", IF(B165="Smartwatch", "Wearables", IF(B165="Headphones", "Audio", "Photography")))))</f>
        <v>Computing</v>
      </c>
      <c r="D165" s="1">
        <v>44287</v>
      </c>
      <c r="E165" s="13" t="str">
        <f t="shared" si="2"/>
        <v>Autumn</v>
      </c>
      <c r="F165">
        <v>59</v>
      </c>
      <c r="G165">
        <v>56</v>
      </c>
      <c r="H165" s="7">
        <f>F165+G165</f>
        <v>115</v>
      </c>
      <c r="I165">
        <v>14</v>
      </c>
      <c r="J165">
        <v>42</v>
      </c>
      <c r="K165" s="34">
        <f>F165+G165-I165</f>
        <v>101</v>
      </c>
      <c r="L165" s="34">
        <f>J165-K165</f>
        <v>-59</v>
      </c>
      <c r="M165" s="32">
        <f>I165/((F165+J165)/2)</f>
        <v>0.27722772277227725</v>
      </c>
      <c r="N165">
        <v>19</v>
      </c>
      <c r="O165">
        <v>0.90747987390367701</v>
      </c>
      <c r="P165" s="2">
        <v>41.509458509858497</v>
      </c>
    </row>
    <row r="166" spans="1:16" x14ac:dyDescent="0.2">
      <c r="A166">
        <v>3</v>
      </c>
      <c r="B166" t="s">
        <v>12</v>
      </c>
      <c r="C166" s="7" t="str">
        <f>IF(B166="Smartphone", "Electronics", IF(B166="Laptop", "Computing", IF(B166="Tablet", "Mobile", IF(B166="Smartwatch", "Wearables", IF(B166="Headphones", "Audio", "Photography")))))</f>
        <v>Mobile</v>
      </c>
      <c r="D166" s="1">
        <v>44287</v>
      </c>
      <c r="E166" s="13" t="str">
        <f t="shared" si="2"/>
        <v>Autumn</v>
      </c>
      <c r="F166">
        <v>60</v>
      </c>
      <c r="G166">
        <v>485</v>
      </c>
      <c r="H166" s="7">
        <f>F166+G166</f>
        <v>545</v>
      </c>
      <c r="I166">
        <v>471</v>
      </c>
      <c r="J166">
        <v>14</v>
      </c>
      <c r="K166" s="34">
        <f>F166+G166-I166</f>
        <v>74</v>
      </c>
      <c r="L166" s="34">
        <f>J166-K166</f>
        <v>-60</v>
      </c>
      <c r="M166" s="32">
        <f>I166/((F166+J166)/2)</f>
        <v>12.72972972972973</v>
      </c>
      <c r="N166">
        <v>28</v>
      </c>
      <c r="O166">
        <v>0.95348041310789899</v>
      </c>
      <c r="P166" s="2">
        <v>48.196564936772702</v>
      </c>
    </row>
    <row r="167" spans="1:16" x14ac:dyDescent="0.2">
      <c r="A167">
        <v>4</v>
      </c>
      <c r="B167" t="s">
        <v>13</v>
      </c>
      <c r="C167" s="7" t="str">
        <f>IF(B167="Smartphone", "Electronics", IF(B167="Laptop", "Computing", IF(B167="Tablet", "Mobile", IF(B167="Smartwatch", "Wearables", IF(B167="Headphones", "Audio", "Photography")))))</f>
        <v>Wearables</v>
      </c>
      <c r="D167" s="1">
        <v>44287</v>
      </c>
      <c r="E167" s="13" t="str">
        <f t="shared" si="2"/>
        <v>Autumn</v>
      </c>
      <c r="F167">
        <v>34</v>
      </c>
      <c r="G167">
        <v>63</v>
      </c>
      <c r="H167" s="7">
        <f>F167+G167</f>
        <v>97</v>
      </c>
      <c r="I167">
        <v>0</v>
      </c>
      <c r="J167">
        <v>63</v>
      </c>
      <c r="K167" s="34">
        <f>F167+G167-I167</f>
        <v>97</v>
      </c>
      <c r="L167" s="34">
        <f>J167-K167</f>
        <v>-34</v>
      </c>
      <c r="M167" s="32">
        <f>I167/((F167+J167)/2)</f>
        <v>0</v>
      </c>
      <c r="N167">
        <v>28</v>
      </c>
      <c r="O167">
        <v>0.90948140616527196</v>
      </c>
      <c r="P167" s="2">
        <v>69.494627002111102</v>
      </c>
    </row>
    <row r="168" spans="1:16" x14ac:dyDescent="0.2">
      <c r="A168">
        <v>5</v>
      </c>
      <c r="B168" t="s">
        <v>14</v>
      </c>
      <c r="C168" s="7" t="str">
        <f>IF(B168="Smartphone", "Electronics", IF(B168="Laptop", "Computing", IF(B168="Tablet", "Mobile", IF(B168="Smartwatch", "Wearables", IF(B168="Headphones", "Audio", "Photography")))))</f>
        <v>Audio</v>
      </c>
      <c r="D168" s="1">
        <v>44287</v>
      </c>
      <c r="E168" s="13" t="str">
        <f t="shared" si="2"/>
        <v>Autumn</v>
      </c>
      <c r="F168">
        <v>63</v>
      </c>
      <c r="G168">
        <v>122</v>
      </c>
      <c r="H168" s="7">
        <f>F168+G168</f>
        <v>185</v>
      </c>
      <c r="I168">
        <v>111</v>
      </c>
      <c r="J168">
        <v>11</v>
      </c>
      <c r="K168" s="34">
        <f>F168+G168-I168</f>
        <v>74</v>
      </c>
      <c r="L168" s="34">
        <f>J168-K168</f>
        <v>-63</v>
      </c>
      <c r="M168" s="32">
        <f>I168/((F168+J168)/2)</f>
        <v>3</v>
      </c>
      <c r="N168">
        <v>19</v>
      </c>
      <c r="O168">
        <v>0.94292565767237402</v>
      </c>
      <c r="P168" s="2">
        <v>39.328348386585198</v>
      </c>
    </row>
    <row r="169" spans="1:16" x14ac:dyDescent="0.2">
      <c r="A169">
        <v>6</v>
      </c>
      <c r="B169" t="s">
        <v>15</v>
      </c>
      <c r="C169" s="7" t="str">
        <f>IF(B169="Smartphone", "Electronics", IF(B169="Laptop", "Computing", IF(B169="Tablet", "Mobile", IF(B169="Smartwatch", "Wearables", IF(B169="Headphones", "Audio", "Photography")))))</f>
        <v>Photography</v>
      </c>
      <c r="D169" s="1">
        <v>44287</v>
      </c>
      <c r="E169" s="13" t="str">
        <f t="shared" si="2"/>
        <v>Autumn</v>
      </c>
      <c r="F169">
        <v>9</v>
      </c>
      <c r="G169">
        <v>448</v>
      </c>
      <c r="H169" s="7">
        <f>F169+G169</f>
        <v>457</v>
      </c>
      <c r="I169">
        <v>431</v>
      </c>
      <c r="J169">
        <v>17</v>
      </c>
      <c r="K169" s="34">
        <f>F169+G169-I169</f>
        <v>26</v>
      </c>
      <c r="L169" s="34">
        <f>J169-K169</f>
        <v>-9</v>
      </c>
      <c r="M169" s="32">
        <f>I169/((F169+J169)/2)</f>
        <v>33.153846153846153</v>
      </c>
      <c r="N169">
        <v>17</v>
      </c>
      <c r="O169">
        <v>0.90756988439466002</v>
      </c>
      <c r="P169" s="2">
        <v>114.03048179450199</v>
      </c>
    </row>
    <row r="170" spans="1:16" x14ac:dyDescent="0.2">
      <c r="A170">
        <v>1</v>
      </c>
      <c r="B170" t="s">
        <v>10</v>
      </c>
      <c r="C170" s="7" t="str">
        <f>IF(B170="Smartphone", "Electronics", IF(B170="Laptop", "Computing", IF(B170="Tablet", "Mobile", IF(B170="Smartwatch", "Wearables", IF(B170="Headphones", "Audio", "Photography")))))</f>
        <v>Electronics</v>
      </c>
      <c r="D170" s="1">
        <v>44317</v>
      </c>
      <c r="E170" s="13" t="str">
        <f t="shared" si="2"/>
        <v>Autumn</v>
      </c>
      <c r="F170">
        <v>52</v>
      </c>
      <c r="G170">
        <v>454</v>
      </c>
      <c r="H170" s="7">
        <f>F170+G170</f>
        <v>506</v>
      </c>
      <c r="I170">
        <v>451</v>
      </c>
      <c r="J170">
        <v>3</v>
      </c>
      <c r="K170" s="34">
        <f>F170+G170-I170</f>
        <v>55</v>
      </c>
      <c r="L170" s="34">
        <f>J170-K170</f>
        <v>-52</v>
      </c>
      <c r="M170" s="32">
        <f>I170/((F170+J170)/2)</f>
        <v>16.399999999999999</v>
      </c>
      <c r="N170">
        <v>14</v>
      </c>
      <c r="O170">
        <v>0.89438230542648101</v>
      </c>
      <c r="P170" s="2">
        <v>87.155573940035794</v>
      </c>
    </row>
    <row r="171" spans="1:16" x14ac:dyDescent="0.2">
      <c r="A171">
        <v>2</v>
      </c>
      <c r="B171" t="s">
        <v>11</v>
      </c>
      <c r="C171" s="7" t="str">
        <f>IF(B171="Smartphone", "Electronics", IF(B171="Laptop", "Computing", IF(B171="Tablet", "Mobile", IF(B171="Smartwatch", "Wearables", IF(B171="Headphones", "Audio", "Photography")))))</f>
        <v>Computing</v>
      </c>
      <c r="D171" s="1">
        <v>44317</v>
      </c>
      <c r="E171" s="13" t="str">
        <f t="shared" si="2"/>
        <v>Autumn</v>
      </c>
      <c r="F171">
        <v>32</v>
      </c>
      <c r="G171">
        <v>212</v>
      </c>
      <c r="H171" s="7">
        <f>F171+G171</f>
        <v>244</v>
      </c>
      <c r="I171">
        <v>309</v>
      </c>
      <c r="J171">
        <v>21</v>
      </c>
      <c r="K171" s="34">
        <f>F171+G171-I171</f>
        <v>-65</v>
      </c>
      <c r="L171" s="34">
        <f>J171-K171</f>
        <v>86</v>
      </c>
      <c r="M171" s="32">
        <f>I171/((F171+J171)/2)</f>
        <v>11.660377358490566</v>
      </c>
      <c r="N171">
        <v>19</v>
      </c>
      <c r="O171">
        <v>0.93206251966641895</v>
      </c>
      <c r="P171" s="2">
        <v>88.369807386620806</v>
      </c>
    </row>
    <row r="172" spans="1:16" x14ac:dyDescent="0.2">
      <c r="A172">
        <v>3</v>
      </c>
      <c r="B172" t="s">
        <v>12</v>
      </c>
      <c r="C172" s="7" t="str">
        <f>IF(B172="Smartphone", "Electronics", IF(B172="Laptop", "Computing", IF(B172="Tablet", "Mobile", IF(B172="Smartwatch", "Wearables", IF(B172="Headphones", "Audio", "Photography")))))</f>
        <v>Mobile</v>
      </c>
      <c r="D172" s="1">
        <v>44317</v>
      </c>
      <c r="E172" s="13" t="str">
        <f t="shared" si="2"/>
        <v>Autumn</v>
      </c>
      <c r="F172">
        <v>2</v>
      </c>
      <c r="G172">
        <v>115</v>
      </c>
      <c r="H172" s="7">
        <f>F172+G172</f>
        <v>117</v>
      </c>
      <c r="I172">
        <v>150</v>
      </c>
      <c r="J172">
        <v>6</v>
      </c>
      <c r="K172" s="34">
        <f>F172+G172-I172</f>
        <v>-33</v>
      </c>
      <c r="L172" s="34">
        <f>J172-K172</f>
        <v>39</v>
      </c>
      <c r="M172" s="32">
        <f>I172/((F172+J172)/2)</f>
        <v>37.5</v>
      </c>
      <c r="N172">
        <v>22</v>
      </c>
      <c r="O172">
        <v>0.93016430168368902</v>
      </c>
      <c r="P172" s="2">
        <v>52.193070106154899</v>
      </c>
    </row>
    <row r="173" spans="1:16" x14ac:dyDescent="0.2">
      <c r="A173">
        <v>4</v>
      </c>
      <c r="B173" t="s">
        <v>13</v>
      </c>
      <c r="C173" s="7" t="str">
        <f>IF(B173="Smartphone", "Electronics", IF(B173="Laptop", "Computing", IF(B173="Tablet", "Mobile", IF(B173="Smartwatch", "Wearables", IF(B173="Headphones", "Audio", "Photography")))))</f>
        <v>Wearables</v>
      </c>
      <c r="D173" s="1">
        <v>44317</v>
      </c>
      <c r="E173" s="13" t="str">
        <f t="shared" si="2"/>
        <v>Autumn</v>
      </c>
      <c r="F173">
        <v>86</v>
      </c>
      <c r="G173">
        <v>396</v>
      </c>
      <c r="H173" s="7">
        <f>F173+G173</f>
        <v>482</v>
      </c>
      <c r="I173">
        <v>530</v>
      </c>
      <c r="J173">
        <v>45</v>
      </c>
      <c r="K173" s="34">
        <f>F173+G173-I173</f>
        <v>-48</v>
      </c>
      <c r="L173" s="34">
        <f>J173-K173</f>
        <v>93</v>
      </c>
      <c r="M173" s="32">
        <f>I173/((F173+J173)/2)</f>
        <v>8.0916030534351151</v>
      </c>
      <c r="N173">
        <v>24</v>
      </c>
      <c r="O173">
        <v>0.89151829404524197</v>
      </c>
      <c r="P173" s="2">
        <v>9.9556138180666505</v>
      </c>
    </row>
    <row r="174" spans="1:16" x14ac:dyDescent="0.2">
      <c r="A174">
        <v>5</v>
      </c>
      <c r="B174" t="s">
        <v>14</v>
      </c>
      <c r="C174" s="7" t="str">
        <f>IF(B174="Smartphone", "Electronics", IF(B174="Laptop", "Computing", IF(B174="Tablet", "Mobile", IF(B174="Smartwatch", "Wearables", IF(B174="Headphones", "Audio", "Photography")))))</f>
        <v>Audio</v>
      </c>
      <c r="D174" s="1">
        <v>44317</v>
      </c>
      <c r="E174" s="13" t="str">
        <f t="shared" si="2"/>
        <v>Autumn</v>
      </c>
      <c r="F174">
        <v>91</v>
      </c>
      <c r="G174">
        <v>179</v>
      </c>
      <c r="H174" s="7">
        <f>F174+G174</f>
        <v>270</v>
      </c>
      <c r="I174">
        <v>144</v>
      </c>
      <c r="J174">
        <v>35</v>
      </c>
      <c r="K174" s="34">
        <f>F174+G174-I174</f>
        <v>126</v>
      </c>
      <c r="L174" s="34">
        <f>J174-K174</f>
        <v>-91</v>
      </c>
      <c r="M174" s="32">
        <f>I174/((F174+J174)/2)</f>
        <v>2.2857142857142856</v>
      </c>
      <c r="N174">
        <v>13</v>
      </c>
      <c r="O174">
        <v>0.86253965211428696</v>
      </c>
      <c r="P174" s="2">
        <v>80.959597461381094</v>
      </c>
    </row>
    <row r="175" spans="1:16" x14ac:dyDescent="0.2">
      <c r="A175">
        <v>6</v>
      </c>
      <c r="B175" t="s">
        <v>15</v>
      </c>
      <c r="C175" s="7" t="str">
        <f>IF(B175="Smartphone", "Electronics", IF(B175="Laptop", "Computing", IF(B175="Tablet", "Mobile", IF(B175="Smartwatch", "Wearables", IF(B175="Headphones", "Audio", "Photography")))))</f>
        <v>Photography</v>
      </c>
      <c r="D175" s="1">
        <v>44317</v>
      </c>
      <c r="E175" s="13" t="str">
        <f t="shared" si="2"/>
        <v>Autumn</v>
      </c>
      <c r="F175">
        <v>23</v>
      </c>
      <c r="G175">
        <v>468</v>
      </c>
      <c r="H175" s="7">
        <f>F175+G175</f>
        <v>491</v>
      </c>
      <c r="I175">
        <v>214</v>
      </c>
      <c r="J175">
        <v>341</v>
      </c>
      <c r="K175" s="34">
        <f>F175+G175-I175</f>
        <v>277</v>
      </c>
      <c r="L175" s="34">
        <f>J175-K175</f>
        <v>64</v>
      </c>
      <c r="M175" s="32">
        <f>I175/((F175+J175)/2)</f>
        <v>1.1758241758241759</v>
      </c>
      <c r="N175">
        <v>12</v>
      </c>
      <c r="O175">
        <v>0.91708644573702103</v>
      </c>
      <c r="P175" s="2">
        <v>241.24697991992301</v>
      </c>
    </row>
    <row r="176" spans="1:16" x14ac:dyDescent="0.2">
      <c r="A176">
        <v>1</v>
      </c>
      <c r="B176" t="s">
        <v>10</v>
      </c>
      <c r="C176" s="7" t="str">
        <f>IF(B176="Smartphone", "Electronics", IF(B176="Laptop", "Computing", IF(B176="Tablet", "Mobile", IF(B176="Smartwatch", "Wearables", IF(B176="Headphones", "Audio", "Photography")))))</f>
        <v>Electronics</v>
      </c>
      <c r="D176" s="1">
        <v>44348</v>
      </c>
      <c r="E176" s="13" t="str">
        <f t="shared" si="2"/>
        <v>Winter</v>
      </c>
      <c r="F176">
        <v>88</v>
      </c>
      <c r="G176">
        <v>255</v>
      </c>
      <c r="H176" s="7">
        <f>F176+G176</f>
        <v>343</v>
      </c>
      <c r="I176">
        <v>225</v>
      </c>
      <c r="J176">
        <v>30</v>
      </c>
      <c r="K176" s="34">
        <f>F176+G176-I176</f>
        <v>118</v>
      </c>
      <c r="L176" s="34">
        <f>J176-K176</f>
        <v>-88</v>
      </c>
      <c r="M176" s="32">
        <f>I176/((F176+J176)/2)</f>
        <v>3.8135593220338984</v>
      </c>
      <c r="N176">
        <v>26</v>
      </c>
      <c r="O176">
        <v>0.90391743344812903</v>
      </c>
      <c r="P176" s="2">
        <v>90.583392352666195</v>
      </c>
    </row>
    <row r="177" spans="1:16" x14ac:dyDescent="0.2">
      <c r="A177">
        <v>2</v>
      </c>
      <c r="B177" t="s">
        <v>11</v>
      </c>
      <c r="C177" s="7" t="str">
        <f>IF(B177="Smartphone", "Electronics", IF(B177="Laptop", "Computing", IF(B177="Tablet", "Mobile", IF(B177="Smartwatch", "Wearables", IF(B177="Headphones", "Audio", "Photography")))))</f>
        <v>Computing</v>
      </c>
      <c r="D177" s="1">
        <v>44348</v>
      </c>
      <c r="E177" s="13" t="str">
        <f t="shared" si="2"/>
        <v>Winter</v>
      </c>
      <c r="F177">
        <v>64</v>
      </c>
      <c r="G177">
        <v>325</v>
      </c>
      <c r="H177" s="7">
        <f>F177+G177</f>
        <v>389</v>
      </c>
      <c r="I177">
        <v>209</v>
      </c>
      <c r="J177">
        <v>116</v>
      </c>
      <c r="K177" s="34">
        <f>F177+G177-I177</f>
        <v>180</v>
      </c>
      <c r="L177" s="34">
        <f>J177-K177</f>
        <v>-64</v>
      </c>
      <c r="M177" s="32">
        <f>I177/((F177+J177)/2)</f>
        <v>2.3222222222222224</v>
      </c>
      <c r="N177">
        <v>6</v>
      </c>
      <c r="O177">
        <v>0.87225641436146195</v>
      </c>
      <c r="P177" s="2">
        <v>297.027193901749</v>
      </c>
    </row>
    <row r="178" spans="1:16" x14ac:dyDescent="0.2">
      <c r="A178">
        <v>3</v>
      </c>
      <c r="B178" t="s">
        <v>12</v>
      </c>
      <c r="C178" s="7" t="str">
        <f>IF(B178="Smartphone", "Electronics", IF(B178="Laptop", "Computing", IF(B178="Tablet", "Mobile", IF(B178="Smartwatch", "Wearables", IF(B178="Headphones", "Audio", "Photography")))))</f>
        <v>Mobile</v>
      </c>
      <c r="D178" s="1">
        <v>44348</v>
      </c>
      <c r="E178" s="13" t="str">
        <f t="shared" si="2"/>
        <v>Winter</v>
      </c>
      <c r="F178">
        <v>78</v>
      </c>
      <c r="G178">
        <v>305</v>
      </c>
      <c r="H178" s="7">
        <f>F178+G178</f>
        <v>383</v>
      </c>
      <c r="I178">
        <v>297</v>
      </c>
      <c r="J178">
        <v>81</v>
      </c>
      <c r="K178" s="34">
        <f>F178+G178-I178</f>
        <v>86</v>
      </c>
      <c r="L178" s="34">
        <f>J178-K178</f>
        <v>-5</v>
      </c>
      <c r="M178" s="32">
        <f>I178/((F178+J178)/2)</f>
        <v>3.7358490566037736</v>
      </c>
      <c r="N178">
        <v>21</v>
      </c>
      <c r="O178">
        <v>0.85787997587316001</v>
      </c>
      <c r="P178" s="2">
        <v>18.0158523308973</v>
      </c>
    </row>
    <row r="179" spans="1:16" x14ac:dyDescent="0.2">
      <c r="A179">
        <v>4</v>
      </c>
      <c r="B179" t="s">
        <v>13</v>
      </c>
      <c r="C179" s="7" t="str">
        <f>IF(B179="Smartphone", "Electronics", IF(B179="Laptop", "Computing", IF(B179="Tablet", "Mobile", IF(B179="Smartwatch", "Wearables", IF(B179="Headphones", "Audio", "Photography")))))</f>
        <v>Wearables</v>
      </c>
      <c r="D179" s="1">
        <v>44348</v>
      </c>
      <c r="E179" s="13" t="str">
        <f t="shared" si="2"/>
        <v>Winter</v>
      </c>
      <c r="F179">
        <v>26</v>
      </c>
      <c r="G179">
        <v>315</v>
      </c>
      <c r="H179" s="7">
        <f>F179+G179</f>
        <v>341</v>
      </c>
      <c r="I179">
        <v>226</v>
      </c>
      <c r="J179">
        <v>89</v>
      </c>
      <c r="K179" s="34">
        <f>F179+G179-I179</f>
        <v>115</v>
      </c>
      <c r="L179" s="34">
        <f>J179-K179</f>
        <v>-26</v>
      </c>
      <c r="M179" s="32">
        <f>I179/((F179+J179)/2)</f>
        <v>3.9304347826086956</v>
      </c>
      <c r="N179">
        <v>4</v>
      </c>
      <c r="O179">
        <v>0.92052379219472202</v>
      </c>
      <c r="P179" s="2">
        <v>59.522487254195298</v>
      </c>
    </row>
    <row r="180" spans="1:16" x14ac:dyDescent="0.2">
      <c r="A180">
        <v>5</v>
      </c>
      <c r="B180" t="s">
        <v>14</v>
      </c>
      <c r="C180" s="7" t="str">
        <f>IF(B180="Smartphone", "Electronics", IF(B180="Laptop", "Computing", IF(B180="Tablet", "Mobile", IF(B180="Smartwatch", "Wearables", IF(B180="Headphones", "Audio", "Photography")))))</f>
        <v>Audio</v>
      </c>
      <c r="D180" s="1">
        <v>44348</v>
      </c>
      <c r="E180" s="13" t="str">
        <f t="shared" si="2"/>
        <v>Winter</v>
      </c>
      <c r="F180">
        <v>62</v>
      </c>
      <c r="G180">
        <v>74</v>
      </c>
      <c r="H180" s="7">
        <f>F180+G180</f>
        <v>136</v>
      </c>
      <c r="I180">
        <v>0</v>
      </c>
      <c r="J180">
        <v>74</v>
      </c>
      <c r="K180" s="34">
        <f>F180+G180-I180</f>
        <v>136</v>
      </c>
      <c r="L180" s="34">
        <f>J180-K180</f>
        <v>-62</v>
      </c>
      <c r="M180" s="32">
        <f>I180/((F180+J180)/2)</f>
        <v>0</v>
      </c>
      <c r="N180">
        <v>19</v>
      </c>
      <c r="O180">
        <v>0.92750475285138401</v>
      </c>
      <c r="P180" s="2">
        <v>68.159526396595098</v>
      </c>
    </row>
    <row r="181" spans="1:16" x14ac:dyDescent="0.2">
      <c r="A181">
        <v>6</v>
      </c>
      <c r="B181" t="s">
        <v>15</v>
      </c>
      <c r="C181" s="7" t="str">
        <f>IF(B181="Smartphone", "Electronics", IF(B181="Laptop", "Computing", IF(B181="Tablet", "Mobile", IF(B181="Smartwatch", "Wearables", IF(B181="Headphones", "Audio", "Photography")))))</f>
        <v>Photography</v>
      </c>
      <c r="D181" s="1">
        <v>44348</v>
      </c>
      <c r="E181" s="13" t="str">
        <f t="shared" si="2"/>
        <v>Winter</v>
      </c>
      <c r="F181">
        <v>197</v>
      </c>
      <c r="G181">
        <v>499</v>
      </c>
      <c r="H181" s="7">
        <f>F181+G181</f>
        <v>696</v>
      </c>
      <c r="I181">
        <v>509</v>
      </c>
      <c r="J181">
        <v>279</v>
      </c>
      <c r="K181" s="34">
        <f>F181+G181-I181</f>
        <v>187</v>
      </c>
      <c r="L181" s="34">
        <f>J181-K181</f>
        <v>92</v>
      </c>
      <c r="M181" s="32">
        <f>I181/((F181+J181)/2)</f>
        <v>2.1386554621848739</v>
      </c>
      <c r="N181">
        <v>16</v>
      </c>
      <c r="O181">
        <v>0.88199839426725701</v>
      </c>
      <c r="P181" s="2">
        <v>59.428070307739603</v>
      </c>
    </row>
    <row r="182" spans="1:16" x14ac:dyDescent="0.2">
      <c r="A182">
        <v>1</v>
      </c>
      <c r="B182" t="s">
        <v>10</v>
      </c>
      <c r="C182" s="7" t="str">
        <f>IF(B182="Smartphone", "Electronics", IF(B182="Laptop", "Computing", IF(B182="Tablet", "Mobile", IF(B182="Smartwatch", "Wearables", IF(B182="Headphones", "Audio", "Photography")))))</f>
        <v>Electronics</v>
      </c>
      <c r="D182" s="1">
        <v>44378</v>
      </c>
      <c r="E182" s="13" t="str">
        <f t="shared" si="2"/>
        <v>Winter</v>
      </c>
      <c r="F182">
        <v>22</v>
      </c>
      <c r="G182">
        <v>330</v>
      </c>
      <c r="H182" s="7">
        <f>F182+G182</f>
        <v>352</v>
      </c>
      <c r="I182">
        <v>277</v>
      </c>
      <c r="J182">
        <v>53</v>
      </c>
      <c r="K182" s="34">
        <f>F182+G182-I182</f>
        <v>75</v>
      </c>
      <c r="L182" s="34">
        <f>J182-K182</f>
        <v>-22</v>
      </c>
      <c r="M182" s="32">
        <f>I182/((F182+J182)/2)</f>
        <v>7.3866666666666667</v>
      </c>
      <c r="N182">
        <v>13</v>
      </c>
      <c r="O182">
        <v>0.87100314820435298</v>
      </c>
      <c r="P182" s="2">
        <v>53.884403269264602</v>
      </c>
    </row>
    <row r="183" spans="1:16" x14ac:dyDescent="0.2">
      <c r="A183">
        <v>2</v>
      </c>
      <c r="B183" t="s">
        <v>11</v>
      </c>
      <c r="C183" s="7" t="str">
        <f>IF(B183="Smartphone", "Electronics", IF(B183="Laptop", "Computing", IF(B183="Tablet", "Mobile", IF(B183="Smartwatch", "Wearables", IF(B183="Headphones", "Audio", "Photography")))))</f>
        <v>Computing</v>
      </c>
      <c r="D183" s="1">
        <v>44378</v>
      </c>
      <c r="E183" s="13" t="str">
        <f t="shared" si="2"/>
        <v>Winter</v>
      </c>
      <c r="F183">
        <v>62</v>
      </c>
      <c r="G183">
        <v>302</v>
      </c>
      <c r="H183" s="7">
        <f>F183+G183</f>
        <v>364</v>
      </c>
      <c r="I183">
        <v>251</v>
      </c>
      <c r="J183">
        <v>51</v>
      </c>
      <c r="K183" s="34">
        <f>F183+G183-I183</f>
        <v>113</v>
      </c>
      <c r="L183" s="34">
        <f>J183-K183</f>
        <v>-62</v>
      </c>
      <c r="M183" s="32">
        <f>I183/((F183+J183)/2)</f>
        <v>4.4424778761061949</v>
      </c>
      <c r="N183">
        <v>4</v>
      </c>
      <c r="O183">
        <v>0.85848724054813996</v>
      </c>
      <c r="P183" s="2">
        <v>68.652666110072204</v>
      </c>
    </row>
    <row r="184" spans="1:16" x14ac:dyDescent="0.2">
      <c r="A184">
        <v>3</v>
      </c>
      <c r="B184" t="s">
        <v>12</v>
      </c>
      <c r="C184" s="7" t="str">
        <f>IF(B184="Smartphone", "Electronics", IF(B184="Laptop", "Computing", IF(B184="Tablet", "Mobile", IF(B184="Smartwatch", "Wearables", IF(B184="Headphones", "Audio", "Photography")))))</f>
        <v>Mobile</v>
      </c>
      <c r="D184" s="1">
        <v>44378</v>
      </c>
      <c r="E184" s="13" t="str">
        <f t="shared" si="2"/>
        <v>Winter</v>
      </c>
      <c r="F184">
        <v>8</v>
      </c>
      <c r="G184">
        <v>359</v>
      </c>
      <c r="H184" s="7">
        <f>F184+G184</f>
        <v>367</v>
      </c>
      <c r="I184">
        <v>312</v>
      </c>
      <c r="J184">
        <v>47</v>
      </c>
      <c r="K184" s="34">
        <f>F184+G184-I184</f>
        <v>55</v>
      </c>
      <c r="L184" s="34">
        <f>J184-K184</f>
        <v>-8</v>
      </c>
      <c r="M184" s="32">
        <f>I184/((F184+J184)/2)</f>
        <v>11.345454545454546</v>
      </c>
      <c r="N184">
        <v>23</v>
      </c>
      <c r="O184">
        <v>0.91911274695724599</v>
      </c>
      <c r="P184" s="2">
        <v>105.38041628419499</v>
      </c>
    </row>
    <row r="185" spans="1:16" x14ac:dyDescent="0.2">
      <c r="A185">
        <v>4</v>
      </c>
      <c r="B185" t="s">
        <v>13</v>
      </c>
      <c r="C185" s="7" t="str">
        <f>IF(B185="Smartphone", "Electronics", IF(B185="Laptop", "Computing", IF(B185="Tablet", "Mobile", IF(B185="Smartwatch", "Wearables", IF(B185="Headphones", "Audio", "Photography")))))</f>
        <v>Wearables</v>
      </c>
      <c r="D185" s="1">
        <v>44378</v>
      </c>
      <c r="E185" s="13" t="str">
        <f t="shared" si="2"/>
        <v>Winter</v>
      </c>
      <c r="F185">
        <v>82</v>
      </c>
      <c r="G185">
        <v>338</v>
      </c>
      <c r="H185" s="7">
        <f>F185+G185</f>
        <v>420</v>
      </c>
      <c r="I185">
        <v>285</v>
      </c>
      <c r="J185">
        <v>53</v>
      </c>
      <c r="K185" s="34">
        <f>F185+G185-I185</f>
        <v>135</v>
      </c>
      <c r="L185" s="34">
        <f>J185-K185</f>
        <v>-82</v>
      </c>
      <c r="M185" s="32">
        <f>I185/((F185+J185)/2)</f>
        <v>4.2222222222222223</v>
      </c>
      <c r="N185">
        <v>17</v>
      </c>
      <c r="O185">
        <v>0.85980114631796301</v>
      </c>
      <c r="P185" s="2">
        <v>58.6740960577376</v>
      </c>
    </row>
    <row r="186" spans="1:16" x14ac:dyDescent="0.2">
      <c r="A186">
        <v>5</v>
      </c>
      <c r="B186" t="s">
        <v>14</v>
      </c>
      <c r="C186" s="7" t="str">
        <f>IF(B186="Smartphone", "Electronics", IF(B186="Laptop", "Computing", IF(B186="Tablet", "Mobile", IF(B186="Smartwatch", "Wearables", IF(B186="Headphones", "Audio", "Photography")))))</f>
        <v>Audio</v>
      </c>
      <c r="D186" s="1">
        <v>44378</v>
      </c>
      <c r="E186" s="13" t="str">
        <f t="shared" si="2"/>
        <v>Winter</v>
      </c>
      <c r="F186">
        <v>33</v>
      </c>
      <c r="G186">
        <v>213</v>
      </c>
      <c r="H186" s="7">
        <f>F186+G186</f>
        <v>246</v>
      </c>
      <c r="I186">
        <v>165</v>
      </c>
      <c r="J186">
        <v>48</v>
      </c>
      <c r="K186" s="34">
        <f>F186+G186-I186</f>
        <v>81</v>
      </c>
      <c r="L186" s="34">
        <f>J186-K186</f>
        <v>-33</v>
      </c>
      <c r="M186" s="32">
        <f>I186/((F186+J186)/2)</f>
        <v>4.0740740740740744</v>
      </c>
      <c r="N186">
        <v>23</v>
      </c>
      <c r="O186">
        <v>1</v>
      </c>
      <c r="P186" s="2">
        <v>69.658116504079999</v>
      </c>
    </row>
    <row r="187" spans="1:16" x14ac:dyDescent="0.2">
      <c r="A187">
        <v>6</v>
      </c>
      <c r="B187" t="s">
        <v>15</v>
      </c>
      <c r="C187" s="7" t="str">
        <f>IF(B187="Smartphone", "Electronics", IF(B187="Laptop", "Computing", IF(B187="Tablet", "Mobile", IF(B187="Smartwatch", "Wearables", IF(B187="Headphones", "Audio", "Photography")))))</f>
        <v>Photography</v>
      </c>
      <c r="D187" s="1">
        <v>44378</v>
      </c>
      <c r="E187" s="13" t="str">
        <f t="shared" si="2"/>
        <v>Winter</v>
      </c>
      <c r="F187">
        <v>4</v>
      </c>
      <c r="G187">
        <v>144</v>
      </c>
      <c r="H187" s="7">
        <f>F187+G187</f>
        <v>148</v>
      </c>
      <c r="I187">
        <v>50</v>
      </c>
      <c r="J187">
        <v>94</v>
      </c>
      <c r="K187" s="34">
        <f>F187+G187-I187</f>
        <v>98</v>
      </c>
      <c r="L187" s="34">
        <f>J187-K187</f>
        <v>-4</v>
      </c>
      <c r="M187" s="32">
        <f>I187/((F187+J187)/2)</f>
        <v>1.0204081632653061</v>
      </c>
      <c r="N187">
        <v>1</v>
      </c>
      <c r="O187">
        <v>0.87948592820145</v>
      </c>
      <c r="P187" s="2">
        <v>62.126651015397101</v>
      </c>
    </row>
    <row r="188" spans="1:16" x14ac:dyDescent="0.2">
      <c r="A188">
        <v>1</v>
      </c>
      <c r="B188" t="s">
        <v>10</v>
      </c>
      <c r="C188" s="7" t="str">
        <f>IF(B188="Smartphone", "Electronics", IF(B188="Laptop", "Computing", IF(B188="Tablet", "Mobile", IF(B188="Smartwatch", "Wearables", IF(B188="Headphones", "Audio", "Photography")))))</f>
        <v>Electronics</v>
      </c>
      <c r="D188" s="1">
        <v>44409</v>
      </c>
      <c r="E188" s="13" t="str">
        <f t="shared" si="2"/>
        <v>Winter</v>
      </c>
      <c r="F188">
        <v>93</v>
      </c>
      <c r="G188">
        <v>319</v>
      </c>
      <c r="H188" s="7">
        <f>F188+G188</f>
        <v>412</v>
      </c>
      <c r="I188">
        <v>304</v>
      </c>
      <c r="J188">
        <v>15</v>
      </c>
      <c r="K188" s="34">
        <f>F188+G188-I188</f>
        <v>108</v>
      </c>
      <c r="L188" s="34">
        <f>J188-K188</f>
        <v>-93</v>
      </c>
      <c r="M188" s="32">
        <f>I188/((F188+J188)/2)</f>
        <v>5.6296296296296298</v>
      </c>
      <c r="N188">
        <v>18</v>
      </c>
      <c r="O188">
        <v>0.8</v>
      </c>
      <c r="P188" s="2">
        <v>56.5327900111592</v>
      </c>
    </row>
    <row r="189" spans="1:16" x14ac:dyDescent="0.2">
      <c r="A189">
        <v>2</v>
      </c>
      <c r="B189" t="s">
        <v>11</v>
      </c>
      <c r="C189" s="7" t="str">
        <f>IF(B189="Smartphone", "Electronics", IF(B189="Laptop", "Computing", IF(B189="Tablet", "Mobile", IF(B189="Smartwatch", "Wearables", IF(B189="Headphones", "Audio", "Photography")))))</f>
        <v>Computing</v>
      </c>
      <c r="D189" s="1">
        <v>44409</v>
      </c>
      <c r="E189" s="13" t="str">
        <f t="shared" si="2"/>
        <v>Winter</v>
      </c>
      <c r="F189">
        <v>60</v>
      </c>
      <c r="G189">
        <v>370</v>
      </c>
      <c r="H189" s="7">
        <f>F189+G189</f>
        <v>430</v>
      </c>
      <c r="I189">
        <v>404</v>
      </c>
      <c r="J189">
        <v>80</v>
      </c>
      <c r="K189" s="34">
        <f>F189+G189-I189</f>
        <v>26</v>
      </c>
      <c r="L189" s="34">
        <f>J189-K189</f>
        <v>54</v>
      </c>
      <c r="M189" s="32">
        <f>I189/((F189+J189)/2)</f>
        <v>5.7714285714285714</v>
      </c>
      <c r="N189">
        <v>20</v>
      </c>
      <c r="O189">
        <v>0.89849141666854304</v>
      </c>
      <c r="P189" s="2">
        <v>33.324794759041701</v>
      </c>
    </row>
    <row r="190" spans="1:16" x14ac:dyDescent="0.2">
      <c r="A190">
        <v>3</v>
      </c>
      <c r="B190" t="s">
        <v>12</v>
      </c>
      <c r="C190" s="7" t="str">
        <f>IF(B190="Smartphone", "Electronics", IF(B190="Laptop", "Computing", IF(B190="Tablet", "Mobile", IF(B190="Smartwatch", "Wearables", IF(B190="Headphones", "Audio", "Photography")))))</f>
        <v>Mobile</v>
      </c>
      <c r="D190" s="1">
        <v>44409</v>
      </c>
      <c r="E190" s="13" t="str">
        <f t="shared" si="2"/>
        <v>Winter</v>
      </c>
      <c r="F190">
        <v>149</v>
      </c>
      <c r="G190">
        <v>159</v>
      </c>
      <c r="H190" s="7">
        <f>F190+G190</f>
        <v>308</v>
      </c>
      <c r="I190">
        <v>293</v>
      </c>
      <c r="J190">
        <v>115</v>
      </c>
      <c r="K190" s="34">
        <f>F190+G190-I190</f>
        <v>15</v>
      </c>
      <c r="L190" s="34">
        <f>J190-K190</f>
        <v>100</v>
      </c>
      <c r="M190" s="32">
        <f>I190/((F190+J190)/2)</f>
        <v>2.2196969696969697</v>
      </c>
      <c r="N190">
        <v>17</v>
      </c>
      <c r="O190">
        <v>0.896348326009059</v>
      </c>
      <c r="P190" s="2">
        <v>109.05433648499999</v>
      </c>
    </row>
    <row r="191" spans="1:16" x14ac:dyDescent="0.2">
      <c r="A191">
        <v>4</v>
      </c>
      <c r="B191" t="s">
        <v>13</v>
      </c>
      <c r="C191" s="7" t="str">
        <f>IF(B191="Smartphone", "Electronics", IF(B191="Laptop", "Computing", IF(B191="Tablet", "Mobile", IF(B191="Smartwatch", "Wearables", IF(B191="Headphones", "Audio", "Photography")))))</f>
        <v>Wearables</v>
      </c>
      <c r="D191" s="1">
        <v>44409</v>
      </c>
      <c r="E191" s="13" t="str">
        <f t="shared" si="2"/>
        <v>Winter</v>
      </c>
      <c r="F191">
        <v>14</v>
      </c>
      <c r="G191">
        <v>385</v>
      </c>
      <c r="H191" s="7">
        <f>F191+G191</f>
        <v>399</v>
      </c>
      <c r="I191">
        <v>290</v>
      </c>
      <c r="J191">
        <v>95</v>
      </c>
      <c r="K191" s="34">
        <f>F191+G191-I191</f>
        <v>109</v>
      </c>
      <c r="L191" s="34">
        <f>J191-K191</f>
        <v>-14</v>
      </c>
      <c r="M191" s="32">
        <f>I191/((F191+J191)/2)</f>
        <v>5.3211009174311927</v>
      </c>
      <c r="N191">
        <v>27</v>
      </c>
      <c r="O191">
        <v>0.95558592837620904</v>
      </c>
      <c r="P191" s="2">
        <v>10.190156365221</v>
      </c>
    </row>
    <row r="192" spans="1:16" x14ac:dyDescent="0.2">
      <c r="A192">
        <v>5</v>
      </c>
      <c r="B192" t="s">
        <v>14</v>
      </c>
      <c r="C192" s="7" t="str">
        <f>IF(B192="Smartphone", "Electronics", IF(B192="Laptop", "Computing", IF(B192="Tablet", "Mobile", IF(B192="Smartwatch", "Wearables", IF(B192="Headphones", "Audio", "Photography")))))</f>
        <v>Audio</v>
      </c>
      <c r="D192" s="1">
        <v>44409</v>
      </c>
      <c r="E192" s="13" t="str">
        <f t="shared" si="2"/>
        <v>Winter</v>
      </c>
      <c r="F192">
        <v>8</v>
      </c>
      <c r="G192">
        <v>359</v>
      </c>
      <c r="H192" s="7">
        <f>F192+G192</f>
        <v>367</v>
      </c>
      <c r="I192">
        <v>324</v>
      </c>
      <c r="J192">
        <v>35</v>
      </c>
      <c r="K192" s="34">
        <f>F192+G192-I192</f>
        <v>43</v>
      </c>
      <c r="L192" s="34">
        <f>J192-K192</f>
        <v>-8</v>
      </c>
      <c r="M192" s="32">
        <f>I192/((F192+J192)/2)</f>
        <v>15.069767441860465</v>
      </c>
      <c r="N192">
        <v>28</v>
      </c>
      <c r="O192">
        <v>0.91440631183638499</v>
      </c>
      <c r="P192" s="2">
        <v>36.476803274869098</v>
      </c>
    </row>
    <row r="193" spans="1:16" x14ac:dyDescent="0.2">
      <c r="A193">
        <v>6</v>
      </c>
      <c r="B193" t="s">
        <v>15</v>
      </c>
      <c r="C193" s="7" t="str">
        <f>IF(B193="Smartphone", "Electronics", IF(B193="Laptop", "Computing", IF(B193="Tablet", "Mobile", IF(B193="Smartwatch", "Wearables", IF(B193="Headphones", "Audio", "Photography")))))</f>
        <v>Photography</v>
      </c>
      <c r="D193" s="1">
        <v>44409</v>
      </c>
      <c r="E193" s="13" t="str">
        <f t="shared" si="2"/>
        <v>Winter</v>
      </c>
      <c r="F193">
        <v>15</v>
      </c>
      <c r="G193">
        <v>287</v>
      </c>
      <c r="H193" s="7">
        <f>F193+G193</f>
        <v>302</v>
      </c>
      <c r="I193">
        <v>197</v>
      </c>
      <c r="J193">
        <v>90</v>
      </c>
      <c r="K193" s="34">
        <f>F193+G193-I193</f>
        <v>105</v>
      </c>
      <c r="L193" s="34">
        <f>J193-K193</f>
        <v>-15</v>
      </c>
      <c r="M193" s="32">
        <f>I193/((F193+J193)/2)</f>
        <v>3.7523809523809524</v>
      </c>
      <c r="N193">
        <v>27</v>
      </c>
      <c r="O193">
        <v>0.85830824082800905</v>
      </c>
      <c r="P193" s="2">
        <v>120.243965221918</v>
      </c>
    </row>
    <row r="194" spans="1:16" x14ac:dyDescent="0.2">
      <c r="A194">
        <v>1</v>
      </c>
      <c r="B194" t="s">
        <v>10</v>
      </c>
      <c r="C194" s="7" t="str">
        <f>IF(B194="Smartphone", "Electronics", IF(B194="Laptop", "Computing", IF(B194="Tablet", "Mobile", IF(B194="Smartwatch", "Wearables", IF(B194="Headphones", "Audio", "Photography")))))</f>
        <v>Electronics</v>
      </c>
      <c r="D194" s="1">
        <v>44440</v>
      </c>
      <c r="E194" s="13" t="str">
        <f t="shared" si="2"/>
        <v>Spring</v>
      </c>
      <c r="F194">
        <v>89</v>
      </c>
      <c r="G194">
        <v>430</v>
      </c>
      <c r="H194" s="7">
        <f>F194+G194</f>
        <v>519</v>
      </c>
      <c r="I194">
        <v>381</v>
      </c>
      <c r="J194">
        <v>49</v>
      </c>
      <c r="K194" s="34">
        <f>F194+G194-I194</f>
        <v>138</v>
      </c>
      <c r="L194" s="34">
        <f>J194-K194</f>
        <v>-89</v>
      </c>
      <c r="M194" s="32">
        <f>I194/((F194+J194)/2)</f>
        <v>5.5217391304347823</v>
      </c>
      <c r="N194">
        <v>15</v>
      </c>
      <c r="O194">
        <v>0.88568040632516098</v>
      </c>
      <c r="P194" s="2">
        <v>93.759052377770203</v>
      </c>
    </row>
    <row r="195" spans="1:16" x14ac:dyDescent="0.2">
      <c r="A195">
        <v>2</v>
      </c>
      <c r="B195" t="s">
        <v>11</v>
      </c>
      <c r="C195" s="7" t="str">
        <f>IF(B195="Smartphone", "Electronics", IF(B195="Laptop", "Computing", IF(B195="Tablet", "Mobile", IF(B195="Smartwatch", "Wearables", IF(B195="Headphones", "Audio", "Photography")))))</f>
        <v>Computing</v>
      </c>
      <c r="D195" s="1">
        <v>44440</v>
      </c>
      <c r="E195" s="13" t="str">
        <f t="shared" ref="E195:E217" si="3">IF(OR(MONTH(D195)=9, MONTH(D195)=10, MONTH(D195)=11), "Spring",
 IF(OR(MONTH(D195)=12, MONTH(D195)=1, MONTH(D195)=2), "Summer",
 IF(OR(MONTH(D195)=3, MONTH(D195)=4, MONTH(D195)=5), "Autumn",
 IF(OR(MONTH(D195)=6, MONTH(D195)=7, MONTH(D195)=8), "Winter", "Unknown"
))))</f>
        <v>Spring</v>
      </c>
      <c r="F195">
        <v>24</v>
      </c>
      <c r="G195">
        <v>485</v>
      </c>
      <c r="H195" s="7">
        <f>F195+G195</f>
        <v>509</v>
      </c>
      <c r="I195">
        <v>640</v>
      </c>
      <c r="J195">
        <v>4</v>
      </c>
      <c r="K195" s="34">
        <f>F195+G195-I195</f>
        <v>-131</v>
      </c>
      <c r="L195" s="34">
        <f>J195-K195</f>
        <v>135</v>
      </c>
      <c r="M195" s="32">
        <f>I195/((F195+J195)/2)</f>
        <v>45.714285714285715</v>
      </c>
      <c r="N195">
        <v>11</v>
      </c>
      <c r="O195">
        <v>0.91637098858254895</v>
      </c>
      <c r="P195" s="2">
        <v>24.202351363579201</v>
      </c>
    </row>
    <row r="196" spans="1:16" x14ac:dyDescent="0.2">
      <c r="A196">
        <v>3</v>
      </c>
      <c r="B196" t="s">
        <v>12</v>
      </c>
      <c r="C196" s="7" t="str">
        <f>IF(B196="Smartphone", "Electronics", IF(B196="Laptop", "Computing", IF(B196="Tablet", "Mobile", IF(B196="Smartwatch", "Wearables", IF(B196="Headphones", "Audio", "Photography")))))</f>
        <v>Mobile</v>
      </c>
      <c r="D196" s="1">
        <v>44440</v>
      </c>
      <c r="E196" s="13" t="str">
        <f t="shared" si="3"/>
        <v>Spring</v>
      </c>
      <c r="F196">
        <v>18</v>
      </c>
      <c r="G196">
        <v>436</v>
      </c>
      <c r="H196" s="7">
        <f>F196+G196</f>
        <v>454</v>
      </c>
      <c r="I196">
        <v>346</v>
      </c>
      <c r="J196">
        <v>90</v>
      </c>
      <c r="K196" s="34">
        <f>F196+G196-I196</f>
        <v>108</v>
      </c>
      <c r="L196" s="34">
        <f>J196-K196</f>
        <v>-18</v>
      </c>
      <c r="M196" s="32">
        <f>I196/((F196+J196)/2)</f>
        <v>6.4074074074074074</v>
      </c>
      <c r="N196">
        <v>25</v>
      </c>
      <c r="O196">
        <v>0.8</v>
      </c>
      <c r="P196" s="2">
        <v>54.764481133549602</v>
      </c>
    </row>
    <row r="197" spans="1:16" x14ac:dyDescent="0.2">
      <c r="A197">
        <v>4</v>
      </c>
      <c r="B197" t="s">
        <v>13</v>
      </c>
      <c r="C197" s="7" t="str">
        <f>IF(B197="Smartphone", "Electronics", IF(B197="Laptop", "Computing", IF(B197="Tablet", "Mobile", IF(B197="Smartwatch", "Wearables", IF(B197="Headphones", "Audio", "Photography")))))</f>
        <v>Wearables</v>
      </c>
      <c r="D197" s="1">
        <v>44440</v>
      </c>
      <c r="E197" s="13" t="str">
        <f t="shared" si="3"/>
        <v>Spring</v>
      </c>
      <c r="F197">
        <v>1</v>
      </c>
      <c r="G197">
        <v>474</v>
      </c>
      <c r="H197" s="7">
        <f>F197+G197</f>
        <v>475</v>
      </c>
      <c r="I197">
        <v>466</v>
      </c>
      <c r="J197">
        <v>8</v>
      </c>
      <c r="K197" s="34">
        <f>F197+G197-I197</f>
        <v>9</v>
      </c>
      <c r="L197" s="34">
        <f>J197-K197</f>
        <v>-1</v>
      </c>
      <c r="M197" s="32">
        <f>I197/((F197+J197)/2)</f>
        <v>103.55555555555556</v>
      </c>
      <c r="N197">
        <v>28</v>
      </c>
      <c r="O197">
        <v>0.96693108671952199</v>
      </c>
      <c r="P197" s="2">
        <v>46.268139921801001</v>
      </c>
    </row>
    <row r="198" spans="1:16" x14ac:dyDescent="0.2">
      <c r="A198">
        <v>5</v>
      </c>
      <c r="B198" t="s">
        <v>14</v>
      </c>
      <c r="C198" s="7" t="str">
        <f>IF(B198="Smartphone", "Electronics", IF(B198="Laptop", "Computing", IF(B198="Tablet", "Mobile", IF(B198="Smartwatch", "Wearables", IF(B198="Headphones", "Audio", "Photography")))))</f>
        <v>Audio</v>
      </c>
      <c r="D198" s="1">
        <v>44440</v>
      </c>
      <c r="E198" s="13" t="str">
        <f t="shared" si="3"/>
        <v>Spring</v>
      </c>
      <c r="F198">
        <v>90</v>
      </c>
      <c r="G198">
        <v>439</v>
      </c>
      <c r="H198" s="7">
        <f>F198+G198</f>
        <v>529</v>
      </c>
      <c r="I198">
        <v>425</v>
      </c>
      <c r="J198">
        <v>14</v>
      </c>
      <c r="K198" s="34">
        <f>F198+G198-I198</f>
        <v>104</v>
      </c>
      <c r="L198" s="34">
        <f>J198-K198</f>
        <v>-90</v>
      </c>
      <c r="M198" s="32">
        <f>I198/((F198+J198)/2)</f>
        <v>8.1730769230769234</v>
      </c>
      <c r="N198">
        <v>22</v>
      </c>
      <c r="O198">
        <v>0.85844150570976596</v>
      </c>
      <c r="P198" s="2">
        <v>47.334920398744103</v>
      </c>
    </row>
    <row r="199" spans="1:16" x14ac:dyDescent="0.2">
      <c r="A199">
        <v>6</v>
      </c>
      <c r="B199" t="s">
        <v>15</v>
      </c>
      <c r="C199" s="7" t="str">
        <f>IF(B199="Smartphone", "Electronics", IF(B199="Laptop", "Computing", IF(B199="Tablet", "Mobile", IF(B199="Smartwatch", "Wearables", IF(B199="Headphones", "Audio", "Photography")))))</f>
        <v>Photography</v>
      </c>
      <c r="D199" s="1">
        <v>44440</v>
      </c>
      <c r="E199" s="13" t="str">
        <f t="shared" si="3"/>
        <v>Spring</v>
      </c>
      <c r="F199">
        <v>86</v>
      </c>
      <c r="G199">
        <v>74</v>
      </c>
      <c r="H199" s="7">
        <f>F199+G199</f>
        <v>160</v>
      </c>
      <c r="I199">
        <v>46</v>
      </c>
      <c r="J199">
        <v>28</v>
      </c>
      <c r="K199" s="34">
        <f>F199+G199-I199</f>
        <v>114</v>
      </c>
      <c r="L199" s="34">
        <f>J199-K199</f>
        <v>-86</v>
      </c>
      <c r="M199" s="32">
        <f>I199/((F199+J199)/2)</f>
        <v>0.80701754385964908</v>
      </c>
      <c r="N199">
        <v>13</v>
      </c>
      <c r="O199">
        <v>0.97085219104737996</v>
      </c>
      <c r="P199" s="2">
        <v>118.88114084035401</v>
      </c>
    </row>
    <row r="200" spans="1:16" x14ac:dyDescent="0.2">
      <c r="A200">
        <v>1</v>
      </c>
      <c r="B200" t="s">
        <v>10</v>
      </c>
      <c r="C200" s="7" t="str">
        <f>IF(B200="Smartphone", "Electronics", IF(B200="Laptop", "Computing", IF(B200="Tablet", "Mobile", IF(B200="Smartwatch", "Wearables", IF(B200="Headphones", "Audio", "Photography")))))</f>
        <v>Electronics</v>
      </c>
      <c r="D200" s="1">
        <v>44470</v>
      </c>
      <c r="E200" s="13" t="str">
        <f t="shared" si="3"/>
        <v>Spring</v>
      </c>
      <c r="F200">
        <v>58</v>
      </c>
      <c r="G200">
        <v>190</v>
      </c>
      <c r="H200" s="7">
        <f>F200+G200</f>
        <v>248</v>
      </c>
      <c r="I200">
        <v>168</v>
      </c>
      <c r="J200">
        <v>22</v>
      </c>
      <c r="K200" s="34">
        <f>F200+G200-I200</f>
        <v>80</v>
      </c>
      <c r="L200" s="34">
        <f>J200-K200</f>
        <v>-58</v>
      </c>
      <c r="M200" s="32">
        <f>I200/((F200+J200)/2)</f>
        <v>4.2</v>
      </c>
      <c r="N200">
        <v>1</v>
      </c>
      <c r="O200">
        <v>0.91962325705632897</v>
      </c>
      <c r="P200" s="2">
        <v>60.3453059656186</v>
      </c>
    </row>
    <row r="201" spans="1:16" x14ac:dyDescent="0.2">
      <c r="A201">
        <v>2</v>
      </c>
      <c r="B201" t="s">
        <v>11</v>
      </c>
      <c r="C201" s="7" t="str">
        <f>IF(B201="Smartphone", "Electronics", IF(B201="Laptop", "Computing", IF(B201="Tablet", "Mobile", IF(B201="Smartwatch", "Wearables", IF(B201="Headphones", "Audio", "Photography")))))</f>
        <v>Computing</v>
      </c>
      <c r="D201" s="1">
        <v>44470</v>
      </c>
      <c r="E201" s="13" t="str">
        <f t="shared" si="3"/>
        <v>Spring</v>
      </c>
      <c r="F201">
        <v>310</v>
      </c>
      <c r="G201">
        <v>166</v>
      </c>
      <c r="H201" s="7">
        <f>F201+G201</f>
        <v>476</v>
      </c>
      <c r="I201">
        <v>460</v>
      </c>
      <c r="J201">
        <v>92</v>
      </c>
      <c r="K201" s="34">
        <f>F201+G201-I201</f>
        <v>16</v>
      </c>
      <c r="L201" s="34">
        <f>J201-K201</f>
        <v>76</v>
      </c>
      <c r="M201" s="32">
        <f>I201/((F201+J201)/2)</f>
        <v>2.2885572139303481</v>
      </c>
      <c r="N201">
        <v>17</v>
      </c>
      <c r="O201">
        <v>0.93147970681969805</v>
      </c>
      <c r="P201" s="2">
        <v>44.896162545966398</v>
      </c>
    </row>
    <row r="202" spans="1:16" x14ac:dyDescent="0.2">
      <c r="A202">
        <v>3</v>
      </c>
      <c r="B202" t="s">
        <v>12</v>
      </c>
      <c r="C202" s="7" t="str">
        <f>IF(B202="Smartphone", "Electronics", IF(B202="Laptop", "Computing", IF(B202="Tablet", "Mobile", IF(B202="Smartwatch", "Wearables", IF(B202="Headphones", "Audio", "Photography")))))</f>
        <v>Mobile</v>
      </c>
      <c r="D202" s="1">
        <v>44470</v>
      </c>
      <c r="E202" s="13" t="str">
        <f t="shared" si="3"/>
        <v>Spring</v>
      </c>
      <c r="F202">
        <v>54</v>
      </c>
      <c r="G202">
        <v>268</v>
      </c>
      <c r="H202" s="7">
        <f>F202+G202</f>
        <v>322</v>
      </c>
      <c r="I202">
        <v>348</v>
      </c>
      <c r="J202">
        <v>93</v>
      </c>
      <c r="K202" s="34">
        <f>F202+G202-I202</f>
        <v>-26</v>
      </c>
      <c r="L202" s="34">
        <f>J202-K202</f>
        <v>119</v>
      </c>
      <c r="M202" s="32">
        <f>I202/((F202+J202)/2)</f>
        <v>4.7346938775510203</v>
      </c>
      <c r="N202">
        <v>6</v>
      </c>
      <c r="O202">
        <v>0.95747117180006303</v>
      </c>
      <c r="P202" s="2">
        <v>12.1569248275547</v>
      </c>
    </row>
    <row r="203" spans="1:16" x14ac:dyDescent="0.2">
      <c r="A203">
        <v>4</v>
      </c>
      <c r="B203" t="s">
        <v>13</v>
      </c>
      <c r="C203" s="7" t="str">
        <f>IF(B203="Smartphone", "Electronics", IF(B203="Laptop", "Computing", IF(B203="Tablet", "Mobile", IF(B203="Smartwatch", "Wearables", IF(B203="Headphones", "Audio", "Photography")))))</f>
        <v>Wearables</v>
      </c>
      <c r="D203" s="1">
        <v>44470</v>
      </c>
      <c r="E203" s="13" t="str">
        <f t="shared" si="3"/>
        <v>Spring</v>
      </c>
      <c r="F203">
        <v>9</v>
      </c>
      <c r="G203">
        <v>454</v>
      </c>
      <c r="H203" s="7">
        <f>F203+G203</f>
        <v>463</v>
      </c>
      <c r="I203">
        <v>325</v>
      </c>
      <c r="J203">
        <v>129</v>
      </c>
      <c r="K203" s="34">
        <f>F203+G203-I203</f>
        <v>138</v>
      </c>
      <c r="L203" s="34">
        <f>J203-K203</f>
        <v>-9</v>
      </c>
      <c r="M203" s="32">
        <f>I203/((F203+J203)/2)</f>
        <v>4.7101449275362315</v>
      </c>
      <c r="N203">
        <v>4</v>
      </c>
      <c r="O203">
        <v>0.92865660263462402</v>
      </c>
      <c r="P203" s="2">
        <v>38.403486457617298</v>
      </c>
    </row>
    <row r="204" spans="1:16" x14ac:dyDescent="0.2">
      <c r="A204">
        <v>5</v>
      </c>
      <c r="B204" t="s">
        <v>14</v>
      </c>
      <c r="C204" s="7" t="str">
        <f>IF(B204="Smartphone", "Electronics", IF(B204="Laptop", "Computing", IF(B204="Tablet", "Mobile", IF(B204="Smartwatch", "Wearables", IF(B204="Headphones", "Audio", "Photography")))))</f>
        <v>Audio</v>
      </c>
      <c r="D204" s="1">
        <v>44470</v>
      </c>
      <c r="E204" s="13" t="str">
        <f t="shared" si="3"/>
        <v>Spring</v>
      </c>
      <c r="F204">
        <v>3</v>
      </c>
      <c r="G204">
        <v>74</v>
      </c>
      <c r="H204" s="7">
        <f>F204+G204</f>
        <v>77</v>
      </c>
      <c r="I204">
        <v>73</v>
      </c>
      <c r="J204">
        <v>1</v>
      </c>
      <c r="K204" s="34">
        <f>F204+G204-I204</f>
        <v>4</v>
      </c>
      <c r="L204" s="34">
        <f>J204-K204</f>
        <v>-3</v>
      </c>
      <c r="M204" s="32">
        <f>I204/((F204+J204)/2)</f>
        <v>36.5</v>
      </c>
      <c r="N204">
        <v>20</v>
      </c>
      <c r="O204">
        <v>0.93364431081587196</v>
      </c>
      <c r="P204" s="2">
        <v>35.008653059620599</v>
      </c>
    </row>
    <row r="205" spans="1:16" x14ac:dyDescent="0.2">
      <c r="A205">
        <v>6</v>
      </c>
      <c r="B205" t="s">
        <v>15</v>
      </c>
      <c r="C205" s="7" t="str">
        <f>IF(B205="Smartphone", "Electronics", IF(B205="Laptop", "Computing", IF(B205="Tablet", "Mobile", IF(B205="Smartwatch", "Wearables", IF(B205="Headphones", "Audio", "Photography")))))</f>
        <v>Photography</v>
      </c>
      <c r="D205" s="1">
        <v>44470</v>
      </c>
      <c r="E205" s="13" t="str">
        <f t="shared" si="3"/>
        <v>Spring</v>
      </c>
      <c r="F205">
        <v>129</v>
      </c>
      <c r="G205">
        <v>128</v>
      </c>
      <c r="H205" s="7">
        <f>F205+G205</f>
        <v>257</v>
      </c>
      <c r="I205">
        <v>243</v>
      </c>
      <c r="J205">
        <v>71</v>
      </c>
      <c r="K205" s="34">
        <f>F205+G205-I205</f>
        <v>14</v>
      </c>
      <c r="L205" s="34">
        <f>J205-K205</f>
        <v>57</v>
      </c>
      <c r="M205" s="32">
        <f>I205/((F205+J205)/2)</f>
        <v>2.4300000000000002</v>
      </c>
      <c r="N205">
        <v>16</v>
      </c>
      <c r="O205">
        <v>0.89177917797693096</v>
      </c>
      <c r="P205" s="2">
        <v>10.162026533108699</v>
      </c>
    </row>
    <row r="206" spans="1:16" x14ac:dyDescent="0.2">
      <c r="A206">
        <v>1</v>
      </c>
      <c r="B206" t="s">
        <v>10</v>
      </c>
      <c r="C206" s="7" t="str">
        <f>IF(B206="Smartphone", "Electronics", IF(B206="Laptop", "Computing", IF(B206="Tablet", "Mobile", IF(B206="Smartwatch", "Wearables", IF(B206="Headphones", "Audio", "Photography")))))</f>
        <v>Electronics</v>
      </c>
      <c r="D206" s="1">
        <v>44501</v>
      </c>
      <c r="E206" s="13" t="str">
        <f t="shared" si="3"/>
        <v>Spring</v>
      </c>
      <c r="F206">
        <v>21</v>
      </c>
      <c r="G206">
        <v>117</v>
      </c>
      <c r="H206" s="7">
        <f>F206+G206</f>
        <v>138</v>
      </c>
      <c r="I206">
        <v>84</v>
      </c>
      <c r="J206">
        <v>33</v>
      </c>
      <c r="K206" s="34">
        <f>F206+G206-I206</f>
        <v>54</v>
      </c>
      <c r="L206" s="34">
        <f>J206-K206</f>
        <v>-21</v>
      </c>
      <c r="M206" s="32">
        <f>I206/((F206+J206)/2)</f>
        <v>3.1111111111111112</v>
      </c>
      <c r="N206">
        <v>15</v>
      </c>
      <c r="O206">
        <v>0.91860843407360404</v>
      </c>
      <c r="P206" s="2">
        <v>86.868711900739399</v>
      </c>
    </row>
    <row r="207" spans="1:16" x14ac:dyDescent="0.2">
      <c r="A207">
        <v>2</v>
      </c>
      <c r="B207" t="s">
        <v>11</v>
      </c>
      <c r="C207" s="7" t="str">
        <f>IF(B207="Smartphone", "Electronics", IF(B207="Laptop", "Computing", IF(B207="Tablet", "Mobile", IF(B207="Smartwatch", "Wearables", IF(B207="Headphones", "Audio", "Photography")))))</f>
        <v>Computing</v>
      </c>
      <c r="D207" s="1">
        <v>44501</v>
      </c>
      <c r="E207" s="13" t="str">
        <f t="shared" si="3"/>
        <v>Spring</v>
      </c>
      <c r="F207">
        <v>59</v>
      </c>
      <c r="G207">
        <v>222</v>
      </c>
      <c r="H207" s="7">
        <f>F207+G207</f>
        <v>281</v>
      </c>
      <c r="I207">
        <v>166</v>
      </c>
      <c r="J207">
        <v>73</v>
      </c>
      <c r="K207" s="34">
        <f>F207+G207-I207</f>
        <v>115</v>
      </c>
      <c r="L207" s="34">
        <f>J207-K207</f>
        <v>-42</v>
      </c>
      <c r="M207" s="32">
        <f>I207/((F207+J207)/2)</f>
        <v>2.5151515151515151</v>
      </c>
      <c r="N207">
        <v>27</v>
      </c>
      <c r="O207">
        <v>0.87062510925141201</v>
      </c>
      <c r="P207" s="2">
        <v>16.941834846070499</v>
      </c>
    </row>
    <row r="208" spans="1:16" x14ac:dyDescent="0.2">
      <c r="A208">
        <v>3</v>
      </c>
      <c r="B208" t="s">
        <v>12</v>
      </c>
      <c r="C208" s="7" t="str">
        <f>IF(B208="Smartphone", "Electronics", IF(B208="Laptop", "Computing", IF(B208="Tablet", "Mobile", IF(B208="Smartwatch", "Wearables", IF(B208="Headphones", "Audio", "Photography")))))</f>
        <v>Mobile</v>
      </c>
      <c r="D208" s="1">
        <v>44501</v>
      </c>
      <c r="E208" s="13" t="str">
        <f t="shared" si="3"/>
        <v>Spring</v>
      </c>
      <c r="F208">
        <v>4</v>
      </c>
      <c r="G208">
        <v>493</v>
      </c>
      <c r="H208" s="7">
        <f>F208+G208</f>
        <v>497</v>
      </c>
      <c r="I208">
        <v>197</v>
      </c>
      <c r="J208">
        <v>346</v>
      </c>
      <c r="K208" s="34">
        <f>F208+G208-I208</f>
        <v>300</v>
      </c>
      <c r="L208" s="34">
        <f>J208-K208</f>
        <v>46</v>
      </c>
      <c r="M208" s="32">
        <f>I208/((F208+J208)/2)</f>
        <v>1.1257142857142857</v>
      </c>
      <c r="N208">
        <v>15</v>
      </c>
      <c r="O208">
        <v>0.88282944502060101</v>
      </c>
      <c r="P208" s="2">
        <v>171.95325993788401</v>
      </c>
    </row>
    <row r="209" spans="1:16" x14ac:dyDescent="0.2">
      <c r="A209">
        <v>4</v>
      </c>
      <c r="B209" t="s">
        <v>13</v>
      </c>
      <c r="C209" s="7" t="str">
        <f>IF(B209="Smartphone", "Electronics", IF(B209="Laptop", "Computing", IF(B209="Tablet", "Mobile", IF(B209="Smartwatch", "Wearables", IF(B209="Headphones", "Audio", "Photography")))))</f>
        <v>Wearables</v>
      </c>
      <c r="D209" s="1">
        <v>44501</v>
      </c>
      <c r="E209" s="13" t="str">
        <f t="shared" si="3"/>
        <v>Spring</v>
      </c>
      <c r="F209">
        <v>46</v>
      </c>
      <c r="G209">
        <v>61</v>
      </c>
      <c r="H209" s="7">
        <f>F209+G209</f>
        <v>107</v>
      </c>
      <c r="I209">
        <v>85</v>
      </c>
      <c r="J209">
        <v>89</v>
      </c>
      <c r="K209" s="34">
        <f>F209+G209-I209</f>
        <v>22</v>
      </c>
      <c r="L209" s="34">
        <f>J209-K209</f>
        <v>67</v>
      </c>
      <c r="M209" s="32">
        <f>I209/((F209+J209)/2)</f>
        <v>1.2592592592592593</v>
      </c>
      <c r="N209">
        <v>6</v>
      </c>
      <c r="O209">
        <v>0.99823475239844495</v>
      </c>
      <c r="P209" s="2">
        <v>44.038389136708197</v>
      </c>
    </row>
    <row r="210" spans="1:16" x14ac:dyDescent="0.2">
      <c r="A210">
        <v>5</v>
      </c>
      <c r="B210" t="s">
        <v>14</v>
      </c>
      <c r="C210" s="7" t="str">
        <f>IF(B210="Smartphone", "Electronics", IF(B210="Laptop", "Computing", IF(B210="Tablet", "Mobile", IF(B210="Smartwatch", "Wearables", IF(B210="Headphones", "Audio", "Photography")))))</f>
        <v>Audio</v>
      </c>
      <c r="D210" s="1">
        <v>44501</v>
      </c>
      <c r="E210" s="13" t="str">
        <f t="shared" si="3"/>
        <v>Spring</v>
      </c>
      <c r="F210">
        <v>99</v>
      </c>
      <c r="G210">
        <v>337</v>
      </c>
      <c r="H210" s="7">
        <f>F210+G210</f>
        <v>436</v>
      </c>
      <c r="I210">
        <v>290</v>
      </c>
      <c r="J210">
        <v>47</v>
      </c>
      <c r="K210" s="34">
        <f>F210+G210-I210</f>
        <v>146</v>
      </c>
      <c r="L210" s="34">
        <f>J210-K210</f>
        <v>-99</v>
      </c>
      <c r="M210" s="32">
        <f>I210/((F210+J210)/2)</f>
        <v>3.9726027397260273</v>
      </c>
      <c r="N210">
        <v>15</v>
      </c>
      <c r="O210">
        <v>0.85959032074747799</v>
      </c>
      <c r="P210" s="2">
        <v>27.6353524234245</v>
      </c>
    </row>
    <row r="211" spans="1:16" x14ac:dyDescent="0.2">
      <c r="A211">
        <v>6</v>
      </c>
      <c r="B211" t="s">
        <v>15</v>
      </c>
      <c r="C211" s="7" t="str">
        <f>IF(B211="Smartphone", "Electronics", IF(B211="Laptop", "Computing", IF(B211="Tablet", "Mobile", IF(B211="Smartwatch", "Wearables", IF(B211="Headphones", "Audio", "Photography")))))</f>
        <v>Photography</v>
      </c>
      <c r="D211" s="1">
        <v>44501</v>
      </c>
      <c r="E211" s="13" t="str">
        <f t="shared" si="3"/>
        <v>Spring</v>
      </c>
      <c r="F211">
        <v>36</v>
      </c>
      <c r="G211">
        <v>177</v>
      </c>
      <c r="H211" s="7">
        <f>F211+G211</f>
        <v>213</v>
      </c>
      <c r="I211">
        <v>164</v>
      </c>
      <c r="J211">
        <v>13</v>
      </c>
      <c r="K211" s="34">
        <f>F211+G211-I211</f>
        <v>49</v>
      </c>
      <c r="L211" s="34">
        <f>J211-K211</f>
        <v>-36</v>
      </c>
      <c r="M211" s="32">
        <f>I211/((F211+J211)/2)</f>
        <v>6.6938775510204085</v>
      </c>
      <c r="N211">
        <v>14</v>
      </c>
      <c r="O211">
        <v>0.90771585633181395</v>
      </c>
      <c r="P211" s="2">
        <v>41.542877780843703</v>
      </c>
    </row>
    <row r="212" spans="1:16" x14ac:dyDescent="0.2">
      <c r="A212">
        <v>1</v>
      </c>
      <c r="B212" t="s">
        <v>10</v>
      </c>
      <c r="C212" s="7" t="str">
        <f>IF(B212="Smartphone", "Electronics", IF(B212="Laptop", "Computing", IF(B212="Tablet", "Mobile", IF(B212="Smartwatch", "Wearables", IF(B212="Headphones", "Audio", "Photography")))))</f>
        <v>Electronics</v>
      </c>
      <c r="D212" s="1">
        <v>44531</v>
      </c>
      <c r="E212" s="13" t="str">
        <f t="shared" si="3"/>
        <v>Summer</v>
      </c>
      <c r="F212">
        <v>61</v>
      </c>
      <c r="G212">
        <v>145</v>
      </c>
      <c r="H212" s="7">
        <f>F212+G212</f>
        <v>206</v>
      </c>
      <c r="I212">
        <v>124</v>
      </c>
      <c r="J212">
        <v>21</v>
      </c>
      <c r="K212" s="34">
        <f>F212+G212-I212</f>
        <v>82</v>
      </c>
      <c r="L212" s="34">
        <f>J212-K212</f>
        <v>-61</v>
      </c>
      <c r="M212" s="32">
        <f>I212/((F212+J212)/2)</f>
        <v>3.024390243902439</v>
      </c>
      <c r="N212">
        <v>28</v>
      </c>
      <c r="O212">
        <v>0.90567345183577397</v>
      </c>
      <c r="P212" s="2">
        <v>42.640129015191597</v>
      </c>
    </row>
    <row r="213" spans="1:16" x14ac:dyDescent="0.2">
      <c r="A213">
        <v>2</v>
      </c>
      <c r="B213" t="s">
        <v>11</v>
      </c>
      <c r="C213" s="7" t="str">
        <f>IF(B213="Smartphone", "Electronics", IF(B213="Laptop", "Computing", IF(B213="Tablet", "Mobile", IF(B213="Smartwatch", "Wearables", IF(B213="Headphones", "Audio", "Photography")))))</f>
        <v>Computing</v>
      </c>
      <c r="D213" s="1">
        <v>44531</v>
      </c>
      <c r="E213" s="13" t="str">
        <f t="shared" si="3"/>
        <v>Summer</v>
      </c>
      <c r="F213">
        <v>62</v>
      </c>
      <c r="G213">
        <v>268</v>
      </c>
      <c r="H213" s="7">
        <f>F213+G213</f>
        <v>330</v>
      </c>
      <c r="I213">
        <v>79</v>
      </c>
      <c r="J213">
        <v>62</v>
      </c>
      <c r="K213" s="34">
        <f>F213+G213-I213</f>
        <v>251</v>
      </c>
      <c r="L213" s="34">
        <f>J213-K213</f>
        <v>-189</v>
      </c>
      <c r="M213" s="32">
        <f>I213/((F213+J213)/2)</f>
        <v>1.2741935483870968</v>
      </c>
      <c r="N213">
        <v>11</v>
      </c>
      <c r="O213">
        <v>0.88446227641095998</v>
      </c>
      <c r="P213" s="2">
        <v>62.443330706435802</v>
      </c>
    </row>
    <row r="214" spans="1:16" x14ac:dyDescent="0.2">
      <c r="A214">
        <v>3</v>
      </c>
      <c r="B214" t="s">
        <v>12</v>
      </c>
      <c r="C214" s="7" t="str">
        <f>IF(B214="Smartphone", "Electronics", IF(B214="Laptop", "Computing", IF(B214="Tablet", "Mobile", IF(B214="Smartwatch", "Wearables", IF(B214="Headphones", "Audio", "Photography")))))</f>
        <v>Mobile</v>
      </c>
      <c r="D214" s="1">
        <v>44531</v>
      </c>
      <c r="E214" s="13" t="str">
        <f t="shared" si="3"/>
        <v>Summer</v>
      </c>
      <c r="F214">
        <v>53</v>
      </c>
      <c r="G214">
        <v>190</v>
      </c>
      <c r="H214" s="7">
        <f>F214+G214</f>
        <v>243</v>
      </c>
      <c r="I214">
        <v>100</v>
      </c>
      <c r="J214">
        <v>90</v>
      </c>
      <c r="K214" s="34">
        <f>F214+G214-I214</f>
        <v>143</v>
      </c>
      <c r="L214" s="34">
        <f>J214-K214</f>
        <v>-53</v>
      </c>
      <c r="M214" s="32">
        <f>I214/((F214+J214)/2)</f>
        <v>1.3986013986013985</v>
      </c>
      <c r="N214">
        <v>7</v>
      </c>
      <c r="O214">
        <v>0.92572004682852205</v>
      </c>
      <c r="P214" s="2">
        <v>400.62786852270102</v>
      </c>
    </row>
    <row r="215" spans="1:16" x14ac:dyDescent="0.2">
      <c r="A215">
        <v>4</v>
      </c>
      <c r="B215" t="s">
        <v>13</v>
      </c>
      <c r="C215" s="7" t="str">
        <f>IF(B215="Smartphone", "Electronics", IF(B215="Laptop", "Computing", IF(B215="Tablet", "Mobile", IF(B215="Smartwatch", "Wearables", IF(B215="Headphones", "Audio", "Photography")))))</f>
        <v>Wearables</v>
      </c>
      <c r="D215" s="1">
        <v>44531</v>
      </c>
      <c r="E215" s="13" t="str">
        <f t="shared" si="3"/>
        <v>Summer</v>
      </c>
      <c r="F215">
        <v>15</v>
      </c>
      <c r="G215">
        <v>80</v>
      </c>
      <c r="H215" s="7">
        <f>F215+G215</f>
        <v>95</v>
      </c>
      <c r="I215">
        <v>132</v>
      </c>
      <c r="J215">
        <v>72</v>
      </c>
      <c r="K215" s="34">
        <f>F215+G215-I215</f>
        <v>-37</v>
      </c>
      <c r="L215" s="34">
        <f>J215-K215</f>
        <v>109</v>
      </c>
      <c r="M215" s="32">
        <f>I215/((F215+J215)/2)</f>
        <v>3.0344827586206895</v>
      </c>
      <c r="N215">
        <v>9</v>
      </c>
      <c r="O215">
        <v>0.92948610463706904</v>
      </c>
      <c r="P215" s="2">
        <v>119.737911352681</v>
      </c>
    </row>
    <row r="216" spans="1:16" x14ac:dyDescent="0.2">
      <c r="A216">
        <v>5</v>
      </c>
      <c r="B216" t="s">
        <v>14</v>
      </c>
      <c r="C216" s="7" t="str">
        <f>IF(B216="Smartphone", "Electronics", IF(B216="Laptop", "Computing", IF(B216="Tablet", "Mobile", IF(B216="Smartwatch", "Wearables", IF(B216="Headphones", "Audio", "Photography")))))</f>
        <v>Audio</v>
      </c>
      <c r="D216" s="1">
        <v>44531</v>
      </c>
      <c r="E216" s="13" t="str">
        <f t="shared" si="3"/>
        <v>Summer</v>
      </c>
      <c r="F216">
        <v>33</v>
      </c>
      <c r="G216">
        <v>383</v>
      </c>
      <c r="H216" s="7">
        <f>F216+G216</f>
        <v>416</v>
      </c>
      <c r="I216">
        <v>378</v>
      </c>
      <c r="J216">
        <v>5</v>
      </c>
      <c r="K216" s="34">
        <f>F216+G216-I216</f>
        <v>38</v>
      </c>
      <c r="L216" s="34">
        <f>J216-K216</f>
        <v>-33</v>
      </c>
      <c r="M216" s="32">
        <f>I216/((F216+J216)/2)</f>
        <v>19.894736842105264</v>
      </c>
      <c r="N216">
        <v>26</v>
      </c>
      <c r="O216">
        <v>0.853709040842621</v>
      </c>
      <c r="P216" s="2">
        <v>49.521782892855697</v>
      </c>
    </row>
    <row r="217" spans="1:16" x14ac:dyDescent="0.2">
      <c r="A217">
        <v>6</v>
      </c>
      <c r="B217" t="s">
        <v>15</v>
      </c>
      <c r="C217" s="7" t="str">
        <f>IF(B217="Smartphone", "Electronics", IF(B217="Laptop", "Computing", IF(B217="Tablet", "Mobile", IF(B217="Smartwatch", "Wearables", IF(B217="Headphones", "Audio", "Photography")))))</f>
        <v>Photography</v>
      </c>
      <c r="D217" s="1">
        <v>44531</v>
      </c>
      <c r="E217" s="13" t="str">
        <f t="shared" si="3"/>
        <v>Summer</v>
      </c>
      <c r="F217">
        <v>376</v>
      </c>
      <c r="G217">
        <v>69</v>
      </c>
      <c r="H217" s="7">
        <f>F217+G217</f>
        <v>445</v>
      </c>
      <c r="I217">
        <v>461</v>
      </c>
      <c r="J217">
        <v>108</v>
      </c>
      <c r="K217" s="34">
        <f>F217+G217-I217</f>
        <v>-16</v>
      </c>
      <c r="L217" s="34">
        <f>J217-K217</f>
        <v>124</v>
      </c>
      <c r="M217" s="32">
        <f>I217/((F217+J217)/2)</f>
        <v>1.9049586776859504</v>
      </c>
      <c r="N217">
        <v>16</v>
      </c>
      <c r="O217">
        <v>0.90506783557732695</v>
      </c>
      <c r="P217" s="2">
        <v>93.844434067556605</v>
      </c>
    </row>
  </sheetData>
  <autoFilter ref="A1:P217" xr:uid="{00000000-0001-0000-0000-000000000000}">
    <sortState xmlns:xlrd2="http://schemas.microsoft.com/office/spreadsheetml/2017/richdata2" ref="A2:P217">
      <sortCondition ref="D1:D217"/>
    </sortState>
  </autoFilter>
  <sortState xmlns:xlrd2="http://schemas.microsoft.com/office/spreadsheetml/2017/richdata2" ref="A182:P217">
    <sortCondition ref="D217"/>
  </sortState>
  <dataValidations count="1">
    <dataValidation type="decimal" allowBlank="1" showInputMessage="1" showErrorMessage="1" sqref="O1:O1048576" xr:uid="{58BF3B96-C85A-4FE3-BB9E-FEEF8FD7678F}">
      <formula1>0.8</formula1>
      <formula2>1</formula2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B11"/>
  <sheetViews>
    <sheetView zoomScale="160" zoomScaleNormal="160" workbookViewId="0">
      <selection activeCell="B14" sqref="B14"/>
    </sheetView>
  </sheetViews>
  <sheetFormatPr baseColWidth="10" defaultColWidth="8.83203125" defaultRowHeight="15" x14ac:dyDescent="0.2"/>
  <cols>
    <col min="1" max="1" width="19.33203125" customWidth="1"/>
    <col min="2" max="2" width="107.6640625" customWidth="1"/>
  </cols>
  <sheetData>
    <row r="1" spans="1:2" ht="16" x14ac:dyDescent="0.2">
      <c r="A1" s="5" t="s">
        <v>16</v>
      </c>
      <c r="B1" s="5" t="s">
        <v>17</v>
      </c>
    </row>
    <row r="2" spans="1:2" ht="16" x14ac:dyDescent="0.2">
      <c r="A2" s="4" t="s">
        <v>0</v>
      </c>
      <c r="B2" s="4" t="s">
        <v>19</v>
      </c>
    </row>
    <row r="3" spans="1:2" ht="16" x14ac:dyDescent="0.2">
      <c r="A3" s="4" t="s">
        <v>1</v>
      </c>
      <c r="B3" s="4" t="s">
        <v>20</v>
      </c>
    </row>
    <row r="4" spans="1:2" ht="16" x14ac:dyDescent="0.2">
      <c r="A4" s="4" t="s">
        <v>2</v>
      </c>
      <c r="B4" s="4" t="s">
        <v>21</v>
      </c>
    </row>
    <row r="5" spans="1:2" ht="32" x14ac:dyDescent="0.2">
      <c r="A5" s="4" t="s">
        <v>3</v>
      </c>
      <c r="B5" s="4" t="s">
        <v>22</v>
      </c>
    </row>
    <row r="6" spans="1:2" ht="16" x14ac:dyDescent="0.2">
      <c r="A6" s="4" t="s">
        <v>4</v>
      </c>
      <c r="B6" s="4" t="s">
        <v>18</v>
      </c>
    </row>
    <row r="7" spans="1:2" ht="16" x14ac:dyDescent="0.2">
      <c r="A7" s="4" t="s">
        <v>5</v>
      </c>
      <c r="B7" s="4" t="s">
        <v>23</v>
      </c>
    </row>
    <row r="8" spans="1:2" ht="16" x14ac:dyDescent="0.2">
      <c r="A8" s="4" t="s">
        <v>6</v>
      </c>
      <c r="B8" s="4" t="s">
        <v>24</v>
      </c>
    </row>
    <row r="9" spans="1:2" ht="32" x14ac:dyDescent="0.2">
      <c r="A9" s="4" t="s">
        <v>7</v>
      </c>
      <c r="B9" s="4" t="s">
        <v>25</v>
      </c>
    </row>
    <row r="10" spans="1:2" ht="32" x14ac:dyDescent="0.2">
      <c r="A10" s="4" t="s">
        <v>8</v>
      </c>
      <c r="B10" s="4" t="s">
        <v>26</v>
      </c>
    </row>
    <row r="11" spans="1:2" ht="32" x14ac:dyDescent="0.2">
      <c r="A11" s="4" t="s">
        <v>9</v>
      </c>
      <c r="B11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Safety Stock</vt:lpstr>
      <vt:lpstr>Score across Products</vt:lpstr>
      <vt:lpstr>Score across Seasons</vt:lpstr>
      <vt:lpstr>Score across Rec' Units Ranges</vt:lpstr>
      <vt:lpstr>Lead Time</vt:lpstr>
      <vt:lpstr>Forecast Error</vt:lpstr>
      <vt:lpstr>Inventory Forecast</vt:lpstr>
      <vt:lpstr>Inventory_Supplier_Performance</vt:lpstr>
      <vt:lpstr>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Upul</dc:creator>
  <cp:lastModifiedBy>Kyle Leung</cp:lastModifiedBy>
  <dcterms:created xsi:type="dcterms:W3CDTF">2024-03-10T05:26:14Z</dcterms:created>
  <dcterms:modified xsi:type="dcterms:W3CDTF">2024-04-28T16:08:20Z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f1383e-0cf1-49d7-bb8e-31d3dc5215a9_Enabled">
    <vt:lpwstr>true</vt:lpwstr>
  </property>
  <property fmtid="{D5CDD505-2E9C-101B-9397-08002B2CF9AE}" pid="3" name="MSIP_Label_10f1383e-0cf1-49d7-bb8e-31d3dc5215a9_SetDate">
    <vt:lpwstr>2024-04-04T01:26:08Z</vt:lpwstr>
  </property>
  <property fmtid="{D5CDD505-2E9C-101B-9397-08002B2CF9AE}" pid="4" name="MSIP_Label_10f1383e-0cf1-49d7-bb8e-31d3dc5215a9_Method">
    <vt:lpwstr>Privileged</vt:lpwstr>
  </property>
  <property fmtid="{D5CDD505-2E9C-101B-9397-08002B2CF9AE}" pid="5" name="MSIP_Label_10f1383e-0cf1-49d7-bb8e-31d3dc5215a9_Name">
    <vt:lpwstr>10f1383e-0cf1-49d7-bb8e-31d3dc5215a9</vt:lpwstr>
  </property>
  <property fmtid="{D5CDD505-2E9C-101B-9397-08002B2CF9AE}" pid="6" name="MSIP_Label_10f1383e-0cf1-49d7-bb8e-31d3dc5215a9_SiteId">
    <vt:lpwstr>9d95cde8-c4ec-4b9c-8ee2-249d44b79acf</vt:lpwstr>
  </property>
  <property fmtid="{D5CDD505-2E9C-101B-9397-08002B2CF9AE}" pid="7" name="MSIP_Label_10f1383e-0cf1-49d7-bb8e-31d3dc5215a9_ActionId">
    <vt:lpwstr>f66fca11-216a-47c5-85c1-28a268a2f256</vt:lpwstr>
  </property>
  <property fmtid="{D5CDD505-2E9C-101B-9397-08002B2CF9AE}" pid="8" name="MSIP_Label_10f1383e-0cf1-49d7-bb8e-31d3dc5215a9_ContentBits">
    <vt:lpwstr>0</vt:lpwstr>
  </property>
</Properties>
</file>